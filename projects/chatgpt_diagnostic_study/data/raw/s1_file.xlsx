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var/folders/dk/21nfnd612slbn25782zksp940000gn/T/com.apple.mail/com.apple.mail.SavedAttachment-T0x600002838640.tmp.9SzuqE/"/>
    </mc:Choice>
  </mc:AlternateContent>
  <xr:revisionPtr revIDLastSave="0" documentId="13_ncr:1_{8E2E3800-2570-6147-811A-C75F677ADDB8}" xr6:coauthVersionLast="47" xr6:coauthVersionMax="47" xr10:uidLastSave="{00000000-0000-0000-0000-000000000000}"/>
  <bookViews>
    <workbookView xWindow="0" yWindow="500" windowWidth="28800" windowHeight="16380" activeTab="1" xr2:uid="{00000000-000D-0000-FFFF-FFFF00000000}"/>
  </bookViews>
  <sheets>
    <sheet name="README" sheetId="1" r:id="rId1"/>
    <sheet name="CGPT data extraction Reviewer 1" sheetId="2" r:id="rId2"/>
    <sheet name="CGPT data extraction Reviewer 2" sheetId="3" r:id="rId3"/>
    <sheet name="CGPT data extraction Reviewer 3"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u7KG6JBC3mHCWzX37S6OsJuMBbPbOKxnDFTme8sLuFU="/>
    </ext>
  </extLst>
</workbook>
</file>

<file path=xl/calcChain.xml><?xml version="1.0" encoding="utf-8"?>
<calcChain xmlns="http://schemas.openxmlformats.org/spreadsheetml/2006/main">
  <c r="G110" i="4" l="1"/>
  <c r="G109" i="4"/>
  <c r="G111" i="4" s="1"/>
  <c r="B2" i="4"/>
  <c r="F108" i="3"/>
  <c r="H106" i="3"/>
  <c r="G106" i="3"/>
  <c r="F106" i="3"/>
  <c r="H105" i="3"/>
  <c r="G105" i="3"/>
  <c r="F105" i="3"/>
  <c r="H104" i="3"/>
  <c r="G104" i="3"/>
  <c r="F104" i="3"/>
  <c r="G10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3" authorId="0" shapeId="0" xr:uid="{00000000-0006-0000-0100-00006B000000}">
      <text>
        <r>
          <rPr>
            <sz val="12"/>
            <color theme="1"/>
            <rFont val="Calibri"/>
            <scheme val="minor"/>
          </rPr>
          <t>======
ID#AAAAk5q4dqU
Branavan Nagarajan    (2023-02-14 19:54:00)
Her antibody profile and her symptoms suggest a diagnosis of systemic lupus erythematosus (SLE); therefore, lupus nephritis is an important consideration for the cause of her renal injury. However, the absence of hematuria in the urine studies, which is typically present in approximately 80% of cases of lupus nephritis, should prompt a broader differential for the etiology of her renal injury.</t>
        </r>
      </text>
    </comment>
    <comment ref="M4" authorId="0" shapeId="0" xr:uid="{00000000-0006-0000-0100-00006C000000}">
      <text>
        <r>
          <rPr>
            <sz val="12"/>
            <color theme="1"/>
            <rFont val="Calibri"/>
            <scheme val="minor"/>
          </rPr>
          <t>======
ID#AAAAk5q4dqM
Branavan Nagarajan    (2023-02-14 19:50:32)
In fact, adrenomyeloneuropathy is considered a phenotypic variation of adrenoleukodystrophy.
------
ID#AAAAk5q4dqQ
Branavan Nagarajan    (2023-02-14 19:50:55)
The genetic defect and the pathogenesis of adrenomyeloneuropathy are identical to those of cerebral adrenoleukodystrophy.</t>
        </r>
      </text>
    </comment>
    <comment ref="L5" authorId="0" shapeId="0" xr:uid="{00000000-0006-0000-0100-00006D000000}">
      <text>
        <r>
          <rPr>
            <sz val="12"/>
            <color theme="1"/>
            <rFont val="Calibri"/>
            <scheme val="minor"/>
          </rPr>
          <t>======
ID#AAAAk5q4dqA
Branavan Nagarajan    (2023-02-14 19:45:43)
Commotio cordis is believed to be underreported and underrecognized. Less than 30 cases are reported each year.</t>
        </r>
      </text>
    </comment>
    <comment ref="K9" authorId="0" shapeId="0" xr:uid="{00000000-0006-0000-0100-00006A000000}">
      <text>
        <r>
          <rPr>
            <sz val="12"/>
            <color theme="1"/>
            <rFont val="Calibri"/>
            <scheme val="minor"/>
          </rPr>
          <t>======
ID#AAAAqezKcTg
Branavan Nagarajan    (2023-02-17 20:33:16)
Use of medical terms ("primary epiploic appendagitis" and "mesenteric panniculitis"), provides differential diagnosis</t>
        </r>
      </text>
    </comment>
    <comment ref="K10" authorId="0" shapeId="0" xr:uid="{00000000-0006-0000-0100-000069000000}">
      <text>
        <r>
          <rPr>
            <sz val="12"/>
            <color theme="1"/>
            <rFont val="Calibri"/>
            <scheme val="minor"/>
          </rPr>
          <t>======
ID#AAAAqezKcTk
Branavan Nagarajan    (2023-02-17 20:34:29)
Concise explanation, however, uses complex medical terms and provide differential diagnosis</t>
        </r>
      </text>
    </comment>
    <comment ref="M10" authorId="0" shapeId="0" xr:uid="{00000000-0006-0000-0100-00002C000000}">
      <text>
        <r>
          <rPr>
            <sz val="12"/>
            <color theme="1"/>
            <rFont val="Calibri"/>
            <scheme val="minor"/>
          </rPr>
          <t>======
ID#AAAAqgAu12w
Branavan Nagarajan    (2023-02-20 23:35:41)
Misses out on the possibility of blood accumulating in the pleural cavity from the gun shot wound trauma.
"patient's acutely worsening anemia and chest radiography provided a clear diagnosis of hemothorax."
Doesn't consider the source of bleeding or variation in physical exam that may explain the hemothorax</t>
        </r>
      </text>
    </comment>
    <comment ref="K11" authorId="0" shapeId="0" xr:uid="{00000000-0006-0000-0100-000068000000}">
      <text>
        <r>
          <rPr>
            <sz val="12"/>
            <color theme="1"/>
            <rFont val="Calibri"/>
            <scheme val="minor"/>
          </rPr>
          <t>======
ID#AAAAqezKcTo
Branavan Nagarajan    (2023-02-17 20:37:22)
Explanation requires understanding why clostridial infection would cause metabolic acidosis, generalized tonic-clonic seizures, and multiple hemorrhages
Clostridium perfringens sepsis is a fairly uncommon medical term</t>
        </r>
      </text>
    </comment>
    <comment ref="M11" authorId="0" shapeId="0" xr:uid="{00000000-0006-0000-0100-00002B000000}">
      <text>
        <r>
          <rPr>
            <sz val="12"/>
            <color theme="1"/>
            <rFont val="Calibri"/>
            <scheme val="minor"/>
          </rPr>
          <t>======
ID#AAAAqgAu120
Branavan Nagarajan    (2023-02-20 23:45:33)
Doesn't consider anthrax in the answer anywhere
Includes patient's symptoms, physical examination findings, laboratory test results, and imaging findings
Explains why other potential diagnoses are ruled out based on the absence of typical symptoms and clinical features</t>
        </r>
      </text>
    </comment>
    <comment ref="K12" authorId="0" shapeId="0" xr:uid="{00000000-0006-0000-0100-000067000000}">
      <text>
        <r>
          <rPr>
            <sz val="12"/>
            <color theme="1"/>
            <rFont val="Calibri"/>
            <scheme val="minor"/>
          </rPr>
          <t>======
ID#AAAAqezKcTs
Branavan Nagarajan    (2023-02-17 20:38:54)
Complex medical terms used "malar angiofibromas", "periungal fibromas", and "bilateral renal angiomyolipomas"
Suggests these findings are suggestive of TS, however, this association requires more complex medical understanding</t>
        </r>
      </text>
    </comment>
    <comment ref="K13" authorId="0" shapeId="0" xr:uid="{00000000-0006-0000-0100-000066000000}">
      <text>
        <r>
          <rPr>
            <sz val="12"/>
            <color theme="1"/>
            <rFont val="Calibri"/>
            <scheme val="minor"/>
          </rPr>
          <t>======
ID#AAAAqezKcTw
Branavan Nagarajan    (2023-02-17 20:46:59)
Use of uncommon medical terms "normolipemic plane xanthoma" and "smoldering multiple myeloma"
Requires the reader to understand the relationship between lipid levels and type of xanthoma
States the finding of smoldering multiple myeloma is important to consider but doesn't explain why</t>
        </r>
      </text>
    </comment>
    <comment ref="M13" authorId="0" shapeId="0" xr:uid="{00000000-0006-0000-0100-00002A000000}">
      <text>
        <r>
          <rPr>
            <sz val="12"/>
            <color theme="1"/>
            <rFont val="Calibri"/>
            <scheme val="minor"/>
          </rPr>
          <t>======
ID#AAAAqgAu124
Branavan Nagarajan    (2023-02-20 23:49:16)
Considers the pathophysiology of NPX (smoldering multiple myeloma)
Includes lab findings and physical exam findings within the diagnosis</t>
        </r>
      </text>
    </comment>
    <comment ref="K14" authorId="0" shapeId="0" xr:uid="{00000000-0006-0000-0100-000065000000}">
      <text>
        <r>
          <rPr>
            <sz val="12"/>
            <color theme="1"/>
            <rFont val="Calibri"/>
            <scheme val="minor"/>
          </rPr>
          <t>======
ID#AAAAqezKcT0
Branavan Nagarajan    (2023-02-17 20:48:46)
Requires reader to understand the different lab values associated with celiac disease
Requires reader to understand the difference between each of the diagnosis and the associated lab values for each of them</t>
        </r>
      </text>
    </comment>
    <comment ref="M14" authorId="0" shapeId="0" xr:uid="{00000000-0006-0000-0100-000029000000}">
      <text>
        <r>
          <rPr>
            <sz val="12"/>
            <color theme="1"/>
            <rFont val="Calibri"/>
            <scheme val="minor"/>
          </rPr>
          <t>======
ID#AAAAqgAu128
Branavan Nagarajan    (2023-02-20 23:57:21)
Relavant: Takes into account physical exam, lab tests, and alternative diagnoses. Mentions PUD
Incomplete: Did not consider the absence of serology and other extraintestinal symptoms that make CD unlikely</t>
        </r>
      </text>
    </comment>
    <comment ref="K16" authorId="0" shapeId="0" xr:uid="{00000000-0006-0000-0100-000064000000}">
      <text>
        <r>
          <rPr>
            <sz val="12"/>
            <color theme="1"/>
            <rFont val="Calibri"/>
            <scheme val="minor"/>
          </rPr>
          <t>======
ID#AAAAqezKcT4
Branavan Nagarajan    (2023-02-17 20:53:34)
Understanding the relationship between BE, coronary artery bypass grafting, history of positive blood cultures
Need to understand the organisms commonly associated with BE
Need to understand the lab values commonly associated with BE</t>
        </r>
      </text>
    </comment>
    <comment ref="M16" authorId="0" shapeId="0" xr:uid="{00000000-0006-0000-0100-000028000000}">
      <text>
        <r>
          <rPr>
            <sz val="12"/>
            <color theme="1"/>
            <rFont val="Calibri"/>
            <scheme val="minor"/>
          </rPr>
          <t>======
ID#AAAAqgAu13A
Branavan Nagarajan    (2023-02-21 00:04:50)
Fails to consider the patient's history of AA repair
"AEFs are rare clinical entities that often result in fatal exsanguination if not recognized early. 
Gastrointestinal (GI) bleeding in a patient with a known or repaired abdominal aortic aneurysm should be considered secondary to an AEF until proven otherwise."</t>
        </r>
      </text>
    </comment>
    <comment ref="K17" authorId="0" shapeId="0" xr:uid="{00000000-0006-0000-0100-000063000000}">
      <text>
        <r>
          <rPr>
            <sz val="12"/>
            <color theme="1"/>
            <rFont val="Calibri"/>
            <scheme val="minor"/>
          </rPr>
          <t>======
ID#AAAAqezKcT8
Branavan Nagarajan    (2023-02-17 21:08:22)
Requires understanding of RF, anti-CCP, and HLA B27</t>
        </r>
      </text>
    </comment>
    <comment ref="K18" authorId="0" shapeId="0" xr:uid="{00000000-0006-0000-0100-000062000000}">
      <text>
        <r>
          <rPr>
            <sz val="12"/>
            <color theme="1"/>
            <rFont val="Calibri"/>
            <scheme val="minor"/>
          </rPr>
          <t>======
ID#AAAAqezKcUA
Branavan Nagarajan    (2023-02-17 21:10:16)
Requires interpretation of abdominal ultrasound
Requires understanding of liver enzyme levels
More obscure procedures (e.g. cholecystogram)</t>
        </r>
      </text>
    </comment>
    <comment ref="M18" authorId="0" shapeId="0" xr:uid="{00000000-0006-0000-0100-000027000000}">
      <text>
        <r>
          <rPr>
            <sz val="12"/>
            <color theme="1"/>
            <rFont val="Calibri"/>
            <scheme val="minor"/>
          </rPr>
          <t>======
ID#AAAAqgAu13E
Branavan Nagarajan    (2023-02-21 00:10:34)
Case explicitly states "The diarrhea increases when he consumes a high-fat diet and improves when he lowers his fat intake."
Mentions this within the explanation, yet decided to pick acute cholecystitis</t>
        </r>
      </text>
    </comment>
    <comment ref="K19" authorId="0" shapeId="0" xr:uid="{00000000-0006-0000-0100-000061000000}">
      <text>
        <r>
          <rPr>
            <sz val="12"/>
            <color theme="1"/>
            <rFont val="Calibri"/>
            <scheme val="minor"/>
          </rPr>
          <t>======
ID#AAAAqezKcUE
Branavan Nagarajan    (2023-02-17 21:47:45)
Specialized understanding of cell types and step-wise process for the development of EMPD</t>
        </r>
      </text>
    </comment>
    <comment ref="M19" authorId="0" shapeId="0" xr:uid="{00000000-0006-0000-0100-000026000000}">
      <text>
        <r>
          <rPr>
            <sz val="12"/>
            <color theme="1"/>
            <rFont val="Calibri"/>
            <scheme val="minor"/>
          </rPr>
          <t>======
ID#AAAAqgAu13I
Branavan Nagarajan    (2023-02-21 00:19:08)
Fails to mention clinical features - can be summarized with the acronym AEIOU (asymptomatic/painless, expanding rapidly, immune suppression, older than 50 years, ultraviolet-exposed skin in a fair-skinned individual)
Irrelevant: Doesn't focus on specific sun-exposed skin areas or the etiology of the cancer
Tendency of these tumors to occur in sun-exposed skin, suggest solar irradiation damage as an etiology for Merkel cell carcinoma.</t>
        </r>
      </text>
    </comment>
    <comment ref="K20" authorId="0" shapeId="0" xr:uid="{00000000-0006-0000-0100-000060000000}">
      <text>
        <r>
          <rPr>
            <sz val="12"/>
            <color theme="1"/>
            <rFont val="Calibri"/>
            <scheme val="minor"/>
          </rPr>
          <t>======
ID#AAAAqezKcUI
Branavan Nagarajan    (2023-02-17 21:48:53)
Mentions CPK and myoglobin</t>
        </r>
      </text>
    </comment>
    <comment ref="K21" authorId="0" shapeId="0" xr:uid="{00000000-0006-0000-0100-00005F000000}">
      <text>
        <r>
          <rPr>
            <sz val="12"/>
            <color theme="1"/>
            <rFont val="Calibri"/>
            <scheme val="minor"/>
          </rPr>
          <t>======
ID#AAAAqezKcUM
Branavan Nagarajan    (2023-02-17 21:49:54)
Discussion of the rare complication of pregnancy
Mention of elevated enzymes</t>
        </r>
      </text>
    </comment>
    <comment ref="M21" authorId="0" shapeId="0" xr:uid="{00000000-0006-0000-0100-000025000000}">
      <text>
        <r>
          <rPr>
            <sz val="12"/>
            <color theme="1"/>
            <rFont val="Calibri"/>
            <scheme val="minor"/>
          </rPr>
          <t>======
ID#AAAAqgAu13M
Branavan Nagarajan    (2023-02-21 00:21:17)
Doesn't mention the results of the Hepatitis C antibody test and Hepatitis C RNA PCR test. Both were reactive</t>
        </r>
      </text>
    </comment>
    <comment ref="K22" authorId="0" shapeId="0" xr:uid="{00000000-0006-0000-0100-00005E000000}">
      <text>
        <r>
          <rPr>
            <sz val="12"/>
            <color theme="1"/>
            <rFont val="Calibri"/>
            <scheme val="minor"/>
          </rPr>
          <t>======
ID#AAAAqezKcUQ
Branavan Nagarajan    (2023-02-17 21:51:05)
Most medical students would have heard of this condition, however, requires understanding of hormone levels</t>
        </r>
      </text>
    </comment>
    <comment ref="M22" authorId="0" shapeId="0" xr:uid="{00000000-0006-0000-0100-000024000000}">
      <text>
        <r>
          <rPr>
            <sz val="12"/>
            <color theme="1"/>
            <rFont val="Calibri"/>
            <scheme val="minor"/>
          </rPr>
          <t>======
ID#AAAAqgAu13Q
Branavan Nagarajan    (2023-02-21 00:26:19)
Masculinizing features are not a common presentation of McCune-Albright syndrome.
Presents as a triad with: precocious puberty, fibrous dysplasia of bones, and irregular café-au-lait spots</t>
        </r>
      </text>
    </comment>
    <comment ref="K23" authorId="0" shapeId="0" xr:uid="{00000000-0006-0000-0100-00005D000000}">
      <text>
        <r>
          <rPr>
            <sz val="12"/>
            <color theme="1"/>
            <rFont val="Calibri"/>
            <scheme val="minor"/>
          </rPr>
          <t>======
ID#AAAAqezKcUU
Branavan Nagarajan    (2023-02-17 21:52:59)
Mentions rare terminology ("nonfollicular pustular rash" and "spongiform subcorneal pustules")</t>
        </r>
      </text>
    </comment>
    <comment ref="M23" authorId="0" shapeId="0" xr:uid="{00000000-0006-0000-0100-000023000000}">
      <text>
        <r>
          <rPr>
            <sz val="12"/>
            <color theme="1"/>
            <rFont val="Calibri"/>
            <scheme val="minor"/>
          </rPr>
          <t>======
ID#AAAAqgAu13U
Branavan Nagarajan    (2023-02-21 00:30:55)
Fails to consider azithromycin is a macrolide antibiotic. AGEP is often caused by beta-lactam or macrolide drugs.</t>
        </r>
      </text>
    </comment>
    <comment ref="K24" authorId="0" shapeId="0" xr:uid="{00000000-0006-0000-0100-00005C000000}">
      <text>
        <r>
          <rPr>
            <sz val="12"/>
            <color theme="1"/>
            <rFont val="Calibri"/>
            <scheme val="minor"/>
          </rPr>
          <t>======
ID#AAAAqezKcUY
Branavan Nagarajan    (2023-02-17 21:54:11)
Requires interpretation of chest x-ray
------
ID#AAAAqe0gQOg
Branavan Nagarajan    (2023-02-17 21:55:24)
Requires interpretation of ECG</t>
        </r>
      </text>
    </comment>
    <comment ref="M24" authorId="0" shapeId="0" xr:uid="{00000000-0006-0000-0100-000022000000}">
      <text>
        <r>
          <rPr>
            <sz val="12"/>
            <color theme="1"/>
            <rFont val="Calibri"/>
            <scheme val="minor"/>
          </rPr>
          <t>======
ID#AAAAqgAu13Y
Branavan Nagarajan    (2023-02-21 00:35:04)
Doesn't consider the patient's neurological history. Prior stroke may have impaired his swallowing ability, thereby, making him susceptible to foreign body aspiration</t>
        </r>
      </text>
    </comment>
    <comment ref="K25" authorId="0" shapeId="0" xr:uid="{00000000-0006-0000-0100-00005B000000}">
      <text>
        <r>
          <rPr>
            <sz val="12"/>
            <color theme="1"/>
            <rFont val="Calibri"/>
            <scheme val="minor"/>
          </rPr>
          <t>======
ID#AAAAqe0gQOk
Branavan Nagarajan    (2023-02-17 21:55:53)
Requires higher level immunological understanding</t>
        </r>
      </text>
    </comment>
    <comment ref="M25" authorId="0" shapeId="0" xr:uid="{00000000-0006-0000-0100-000021000000}">
      <text>
        <r>
          <rPr>
            <sz val="12"/>
            <color theme="1"/>
            <rFont val="Calibri"/>
            <scheme val="minor"/>
          </rPr>
          <t>======
ID#AAAAqgAu13c
Branavan Nagarajan    (2023-02-21 00:36:22)
IgG4-related disease is not likely due to the absence of pancreatitis, lymphadenopathy, and salivary and/or lacrimal gland enlargement; in addition, the patient has no history of eosinophilia.</t>
        </r>
      </text>
    </comment>
    <comment ref="M26" authorId="0" shapeId="0" xr:uid="{00000000-0006-0000-0100-000020000000}">
      <text>
        <r>
          <rPr>
            <sz val="12"/>
            <color theme="1"/>
            <rFont val="Calibri"/>
            <scheme val="minor"/>
          </rPr>
          <t>======
ID#AAAAqgAu13g
Branavan Nagarajan    (2023-02-21 00:39:04)
Incomplete: Doesn't consider patient's history of Crohn's disease. PG is a know extra intestinal manifestation of IBD.
------
ID#AAAAqgAu13k
Branavan Nagarajan    (2023-02-21 00:39:34)
PG is difficult to diagnose and is often a diagnosis of exclusion.</t>
        </r>
      </text>
    </comment>
    <comment ref="K27" authorId="0" shapeId="0" xr:uid="{00000000-0006-0000-0100-00005A000000}">
      <text>
        <r>
          <rPr>
            <sz val="12"/>
            <color theme="1"/>
            <rFont val="Calibri"/>
            <scheme val="minor"/>
          </rPr>
          <t>======
ID#AAAAqe0gQOo
Branavan Nagarajan    (2023-02-17 21:57:20)
Obscure diagnosis (ABPA), requires understanding lab results</t>
        </r>
      </text>
    </comment>
    <comment ref="M27" authorId="0" shapeId="0" xr:uid="{00000000-0006-0000-0100-00001F000000}">
      <text>
        <r>
          <rPr>
            <sz val="12"/>
            <color theme="1"/>
            <rFont val="Calibri"/>
            <scheme val="minor"/>
          </rPr>
          <t>======
ID#AAAAqgAu13o
Branavan Nagarajan    (2023-02-21 00:42:09)
Allergic bronchopulmonary aspergillosis was ruled out because CT scanning did not show central bronchiectasis or fleeting pulmonary opacities. 
The patient's IgE levels were elevated; however, they were not above 1000 kU/L, which is common in aspergillosis. 
IgG and IgE antibodies to Aspergillus, which confirm the diagnosis, were not present in this case.</t>
        </r>
      </text>
    </comment>
    <comment ref="K28" authorId="0" shapeId="0" xr:uid="{00000000-0006-0000-0100-000059000000}">
      <text>
        <r>
          <rPr>
            <sz val="12"/>
            <color theme="1"/>
            <rFont val="Calibri"/>
            <scheme val="minor"/>
          </rPr>
          <t>======
ID#AAAAqe0gQOs
Branavan Nagarajan    (2023-02-17 21:59:37)
Requires understanding the findings of the MRI (e.g bilateral caudate atrophy with increased intercaudate distance)</t>
        </r>
      </text>
    </comment>
    <comment ref="L28" authorId="0" shapeId="0" xr:uid="{00000000-0006-0000-0100-00002F000000}">
      <text>
        <r>
          <rPr>
            <sz val="12"/>
            <color theme="1"/>
            <rFont val="Calibri"/>
            <scheme val="minor"/>
          </rPr>
          <t>======
ID#AAAAqfxzkKw
Branavan Nagarajan    (2023-02-19 19:39:34)
Mentions other diagnoses but not the ones provided by the case</t>
        </r>
      </text>
    </comment>
    <comment ref="K29" authorId="0" shapeId="0" xr:uid="{00000000-0006-0000-0100-000058000000}">
      <text>
        <r>
          <rPr>
            <sz val="12"/>
            <color theme="1"/>
            <rFont val="Calibri"/>
            <scheme val="minor"/>
          </rPr>
          <t>======
ID#AAAAqe0gQOw
Branavan Nagarajan    (2023-02-17 22:02:40)
Patient presents with multiple co-morbidities. Requires understanding of enzyme levels and CT findings and why they relate to autoimmune pancreatitis.</t>
        </r>
      </text>
    </comment>
    <comment ref="M29" authorId="0" shapeId="0" xr:uid="{00000000-0006-0000-0100-00001E000000}">
      <text>
        <r>
          <rPr>
            <sz val="12"/>
            <color theme="1"/>
            <rFont val="Calibri"/>
            <scheme val="minor"/>
          </rPr>
          <t>======
ID#AAAAqgAu13s
Branavan Nagarajan    (2023-02-21 00:44:29)
His imaging studies show no evidence of pancreatic masses or diffuse enlargement.</t>
        </r>
      </text>
    </comment>
    <comment ref="K30" authorId="0" shapeId="0" xr:uid="{00000000-0006-0000-0100-000057000000}">
      <text>
        <r>
          <rPr>
            <sz val="12"/>
            <color theme="1"/>
            <rFont val="Calibri"/>
            <scheme val="minor"/>
          </rPr>
          <t>======
ID#AAAAqe4aS1g
Branavan Nagarajan    (2023-02-17 22:05:51)
Requires understanding of why seropositive RA is a risk factor for developing lung involvement. Requires CT knowledge.
Mentions side-effects of medication and bronchoscopy.</t>
        </r>
      </text>
    </comment>
    <comment ref="L30" authorId="0" shapeId="0" xr:uid="{00000000-0006-0000-0100-00002E000000}">
      <text>
        <r>
          <rPr>
            <sz val="12"/>
            <color theme="1"/>
            <rFont val="Calibri"/>
            <scheme val="minor"/>
          </rPr>
          <t>======
ID#AAAAqfxzkK0
Branavan Nagarajan    (2023-02-19 19:41:53)
Explicitly ruled out nontuberculous mycobacterial infection</t>
        </r>
      </text>
    </comment>
    <comment ref="M30" authorId="0" shapeId="0" xr:uid="{00000000-0006-0000-0100-00001D000000}">
      <text>
        <r>
          <rPr>
            <sz val="12"/>
            <color theme="1"/>
            <rFont val="Calibri"/>
            <scheme val="minor"/>
          </rPr>
          <t>======
ID#AAAAqgAu13w
Branavan Nagarajan    (2023-02-21 00:47:20)
rheumatoid lung nodules occur more frequently in patients who have severe or long-standing rheumatoid disease, with concomitant subcutaneous nodules, which this patient does not have.</t>
        </r>
      </text>
    </comment>
    <comment ref="K31" authorId="0" shapeId="0" xr:uid="{00000000-0006-0000-0100-000056000000}">
      <text>
        <r>
          <rPr>
            <sz val="12"/>
            <color theme="1"/>
            <rFont val="Calibri"/>
            <scheme val="minor"/>
          </rPr>
          <t>======
ID#AAAAqe4aS1k
Branavan Nagarajan    (2023-02-17 22:06:53)
Requires interpretation of EKG and troponin levels</t>
        </r>
      </text>
    </comment>
    <comment ref="M31" authorId="0" shapeId="0" xr:uid="{00000000-0006-0000-0100-00001C000000}">
      <text>
        <r>
          <rPr>
            <sz val="12"/>
            <color theme="1"/>
            <rFont val="Calibri"/>
            <scheme val="minor"/>
          </rPr>
          <t>======
ID#AAAAqgAu130
Branavan Nagarajan    (2023-02-21 00:51:19)
As a sodium-channel blocker, a TCA overdose may present with seizures and ventricular dysrhythmias. An EKG often reveals a QRS duration &gt; 100 ms, with an associated R wave in aVR. In the patient in this case, the QRS duration was within normal limits, and no R wave was noted in aVR.
------
ID#AAAAqgAu134
Branavan Nagarajan    (2023-02-21 00:51:59)
Acknowledges 88 ms is prolonged, however, isn't able to contextualize it
------
ID#AAAAqgAu138
Branavan Nagarajan    (2023-02-21 00:52:22)
Claims there aren't any R waves, however, the case explanation states that there is</t>
        </r>
      </text>
    </comment>
    <comment ref="K33" authorId="0" shapeId="0" xr:uid="{00000000-0006-0000-0100-000055000000}">
      <text>
        <r>
          <rPr>
            <sz val="12"/>
            <color theme="1"/>
            <rFont val="Calibri"/>
            <scheme val="minor"/>
          </rPr>
          <t>======
ID#AAAAqe4aS1o
Branavan Nagarajan    (2023-02-17 22:07:53)
Mentions specific blood markers that would require prior medical knowledge</t>
        </r>
      </text>
    </comment>
    <comment ref="M33" authorId="0" shapeId="0" xr:uid="{00000000-0006-0000-0100-00001B000000}">
      <text>
        <r>
          <rPr>
            <sz val="12"/>
            <color theme="1"/>
            <rFont val="Calibri"/>
            <scheme val="minor"/>
          </rPr>
          <t>======
ID#AAAArbZADXU
Branavan Nagarajan    (2023-02-21 17:16:21)
Misinterpreted the cortisol reading. A morning cortisol level &lt; 3 µg/dL is highly suggestive of adrenal insufficiency. Her morning cortisol levels were normal.</t>
        </r>
      </text>
    </comment>
    <comment ref="K34" authorId="0" shapeId="0" xr:uid="{00000000-0006-0000-0100-000054000000}">
      <text>
        <r>
          <rPr>
            <sz val="12"/>
            <color theme="1"/>
            <rFont val="Calibri"/>
            <scheme val="minor"/>
          </rPr>
          <t>======
ID#AAAAqe4aS1s
Branavan Nagarajan    (2023-02-17 22:09:10)
Mentions specific pathogen/parasite associated with the disease. Requires microbiology knowledge.</t>
        </r>
      </text>
    </comment>
    <comment ref="M34" authorId="0" shapeId="0" xr:uid="{00000000-0006-0000-0100-00001A000000}">
      <text>
        <r>
          <rPr>
            <sz val="12"/>
            <color theme="1"/>
            <rFont val="Calibri"/>
            <scheme val="minor"/>
          </rPr>
          <t>======
ID#AAAArbZADXY
Branavan Nagarajan    (2023-02-21 17:19:11)
Hydatid disease is possible because of the splenic focal lesions and some cystic lesions.
However, GPT doesn't mention those.
------
ID#AAAArbZADXc
Branavan Nagarajan    (2023-02-21 17:20:01)
Relevant: Identifies the most common pathogen (Echinococcus granulosus)
------
ID#AAAArbZADXg
Branavan Nagarajan    (2023-02-21 17:20:37)
Fails to consider the type of lesion. Solid lesions are not typical of hydatid disease</t>
        </r>
      </text>
    </comment>
    <comment ref="M36" authorId="0" shapeId="0" xr:uid="{00000000-0006-0000-0100-000019000000}">
      <text>
        <r>
          <rPr>
            <sz val="12"/>
            <color theme="1"/>
            <rFont val="Calibri"/>
            <scheme val="minor"/>
          </rPr>
          <t>======
ID#AAAArb1M3Sk
Branavan Nagarajan    (2023-02-21 17:28:09)
Failed to interpret the imaging. EE has an identical appearance to a Schatzki ring, as seen in this case.</t>
        </r>
      </text>
    </comment>
    <comment ref="K37" authorId="0" shapeId="0" xr:uid="{00000000-0006-0000-0100-000053000000}">
      <text>
        <r>
          <rPr>
            <sz val="12"/>
            <color theme="1"/>
            <rFont val="Calibri"/>
            <scheme val="minor"/>
          </rPr>
          <t>======
ID#AAAAqe4aS1w
Branavan Nagarajan    (2023-02-17 22:10:54)
Requires endocrine understanding that equivalent of second year medical students</t>
        </r>
      </text>
    </comment>
    <comment ref="K38" authorId="0" shapeId="0" xr:uid="{00000000-0006-0000-0100-000052000000}">
      <text>
        <r>
          <rPr>
            <sz val="12"/>
            <color theme="1"/>
            <rFont val="Calibri"/>
            <scheme val="minor"/>
          </rPr>
          <t>======
ID#AAAAqe4zSlc
Branavan Nagarajan    (2023-02-17 22:11:56)
Association between lithium use and nephrogenic diabetes</t>
        </r>
      </text>
    </comment>
    <comment ref="K39" authorId="0" shapeId="0" xr:uid="{00000000-0006-0000-0100-000051000000}">
      <text>
        <r>
          <rPr>
            <sz val="12"/>
            <color theme="1"/>
            <rFont val="Calibri"/>
            <scheme val="minor"/>
          </rPr>
          <t>======
ID#AAAAqe4zSlg
Branavan Nagarajan    (2023-02-17 22:12:56)
Understanding of anatomy and stroke localization. These are expected for second year medical students.</t>
        </r>
      </text>
    </comment>
    <comment ref="M39" authorId="0" shapeId="0" xr:uid="{00000000-0006-0000-0100-000018000000}">
      <text>
        <r>
          <rPr>
            <sz val="12"/>
            <color theme="1"/>
            <rFont val="Calibri"/>
            <scheme val="minor"/>
          </rPr>
          <t>======
ID#AAAArb1M3So
Branavan Nagarajan    (2023-02-21 17:30:40)
Wrong answer but had the correct reasoning!</t>
        </r>
      </text>
    </comment>
    <comment ref="K40" authorId="0" shapeId="0" xr:uid="{00000000-0006-0000-0100-000050000000}">
      <text>
        <r>
          <rPr>
            <sz val="12"/>
            <color theme="1"/>
            <rFont val="Calibri"/>
            <scheme val="minor"/>
          </rPr>
          <t>======
ID#AAAAqe4zSlk
Branavan Nagarajan    (2023-02-17 22:14:29)
Could be moderate because this is expected for second year students.
Mentions right eye ptosis - requires understanding of cranial nerves and innervation patterns/functions.</t>
        </r>
      </text>
    </comment>
    <comment ref="M40" authorId="0" shapeId="0" xr:uid="{00000000-0006-0000-0100-000017000000}">
      <text>
        <r>
          <rPr>
            <sz val="12"/>
            <color theme="1"/>
            <rFont val="Calibri"/>
            <scheme val="minor"/>
          </rPr>
          <t>======
ID#AAAArb1M3Ss
Branavan Nagarajan    (2023-02-21 17:34:26)
This is an accurate diagnosis as a Pituitary Tumor Apoplexy is a specific type of hemorrhage. To diagnose PTA you'd require results from further MRI imaging that weren't provided.</t>
        </r>
      </text>
    </comment>
    <comment ref="K42" authorId="0" shapeId="0" xr:uid="{00000000-0006-0000-0100-00004F000000}">
      <text>
        <r>
          <rPr>
            <sz val="12"/>
            <color theme="1"/>
            <rFont val="Calibri"/>
            <scheme val="minor"/>
          </rPr>
          <t>======
ID#AAAAqe4zSlo
Branavan Nagarajan    (2023-02-17 22:16:36)
Second year medical understanding required. Mentions obscure tests (e.g. 4D-CT)</t>
        </r>
      </text>
    </comment>
    <comment ref="K43" authorId="0" shapeId="0" xr:uid="{00000000-0006-0000-0100-00004E000000}">
      <text>
        <r>
          <rPr>
            <sz val="12"/>
            <color theme="1"/>
            <rFont val="Calibri"/>
            <scheme val="minor"/>
          </rPr>
          <t>======
ID#AAAAqe4zSls
Branavan Nagarajan    (2023-02-17 22:18:10)
Doesn't require specialized knowledge to understand the answer. Average student would be able to understand the explanation using online resources.</t>
        </r>
      </text>
    </comment>
    <comment ref="M43" authorId="0" shapeId="0" xr:uid="{00000000-0006-0000-0100-000016000000}">
      <text>
        <r>
          <rPr>
            <sz val="12"/>
            <color theme="1"/>
            <rFont val="Calibri"/>
            <scheme val="minor"/>
          </rPr>
          <t>======
ID#AAAArb1M3Sw
Branavan Nagarajan    (2023-02-21 17:43:39)
Fails to consider that the patient's worries are primarily centred around dysphoric physical symptoms
------
ID#AAAArb1M3S4
Branavan Nagarajan    (2023-02-21 17:47:42)
Doesn't consider other diagnoses</t>
        </r>
      </text>
    </comment>
    <comment ref="K44" authorId="0" shapeId="0" xr:uid="{00000000-0006-0000-0100-00004D000000}">
      <text>
        <r>
          <rPr>
            <sz val="12"/>
            <color theme="1"/>
            <rFont val="Calibri"/>
            <scheme val="minor"/>
          </rPr>
          <t>======
ID#AAAAqe42-G4
Branavan Nagarajan    (2023-02-17 22:21:48)
Cystitis is a common medical condition. There is mention of leukocyte esterase and WBC which may be beyond the understanding of an average person, however, it isn't critical to understanding the diagnosis of cystitis.
Possibly moderate because mentions erythematous papules and scattered pustules on the mons</t>
        </r>
      </text>
    </comment>
    <comment ref="K45" authorId="0" shapeId="0" xr:uid="{00000000-0006-0000-0100-00004C000000}">
      <text>
        <r>
          <rPr>
            <sz val="12"/>
            <color theme="1"/>
            <rFont val="Calibri"/>
            <scheme val="minor"/>
          </rPr>
          <t>======
ID#AAAAqe42-G8
Branavan Nagarajan    (2023-02-17 22:23:35)
Requires understanding that dysphagia and GI reflux are not associated with hypertrophic cardiomyopathy.
Requires understanding CT of the thorax</t>
        </r>
      </text>
    </comment>
    <comment ref="K46" authorId="0" shapeId="0" xr:uid="{00000000-0006-0000-0100-00004B000000}">
      <text>
        <r>
          <rPr>
            <sz val="12"/>
            <color theme="1"/>
            <rFont val="Calibri"/>
            <scheme val="minor"/>
          </rPr>
          <t>======
ID#AAAAqe42-HA
Branavan Nagarajan    (2023-02-17 22:24:33)
Could be moderate because it mentions MSLT. Otherwise, it's fairly straightforward and easy to understand</t>
        </r>
      </text>
    </comment>
    <comment ref="K47" authorId="0" shapeId="0" xr:uid="{00000000-0006-0000-0100-00004A000000}">
      <text>
        <r>
          <rPr>
            <sz val="12"/>
            <color theme="1"/>
            <rFont val="Calibri"/>
            <scheme val="minor"/>
          </rPr>
          <t>======
ID#AAAAqe42-HE
Branavan Nagarajan    (2023-02-17 22:25:33)
Requires understanding of ECG and different side effects cause by each of the medication.</t>
        </r>
      </text>
    </comment>
    <comment ref="L47" authorId="0" shapeId="0" xr:uid="{00000000-0006-0000-0100-00002D000000}">
      <text>
        <r>
          <rPr>
            <sz val="12"/>
            <color theme="1"/>
            <rFont val="Calibri"/>
            <scheme val="minor"/>
          </rPr>
          <t>======
ID#AAAAqfxzkK4
Branavan Nagarajan    (2023-02-19 19:51:25)
Immediately rules out the other diagnoses but doesn't consider them at all</t>
        </r>
      </text>
    </comment>
    <comment ref="M47" authorId="0" shapeId="0" xr:uid="{00000000-0006-0000-0100-000015000000}">
      <text>
        <r>
          <rPr>
            <sz val="12"/>
            <color theme="1"/>
            <rFont val="Calibri"/>
            <scheme val="minor"/>
          </rPr>
          <t>======
ID#AAAArb1M3S8
Branavan Nagarajan    (2023-02-21 17:51:29)
QRS widening and QT interval prolongation are common side effects of quinine toxicity, however, the answer states hydroxychloroquine is not associated with QT prolongation</t>
        </r>
      </text>
    </comment>
    <comment ref="K48" authorId="0" shapeId="0" xr:uid="{00000000-0006-0000-0100-000049000000}">
      <text>
        <r>
          <rPr>
            <sz val="12"/>
            <color theme="1"/>
            <rFont val="Calibri"/>
            <scheme val="minor"/>
          </rPr>
          <t>======
ID#AAAAqe42-HI
Branavan Nagarajan    (2023-02-17 22:26:20)
Mentions different types of anemia and elevated enzyme levels</t>
        </r>
      </text>
    </comment>
    <comment ref="K49" authorId="0" shapeId="0" xr:uid="{00000000-0006-0000-0100-000048000000}">
      <text>
        <r>
          <rPr>
            <sz val="12"/>
            <color theme="1"/>
            <rFont val="Calibri"/>
            <scheme val="minor"/>
          </rPr>
          <t>======
ID#AAAAqe42-HM
Branavan Nagarajan    (2023-02-17 22:27:12)
Uses complex medical terms and understanding of how radiation therapy and cause lumbosacral plexopathy</t>
        </r>
      </text>
    </comment>
    <comment ref="M49" authorId="0" shapeId="0" xr:uid="{00000000-0006-0000-0100-000014000000}">
      <text>
        <r>
          <rPr>
            <sz val="12"/>
            <color theme="1"/>
            <rFont val="Calibri"/>
            <scheme val="minor"/>
          </rPr>
          <t>======
ID#AAAArb1M3TA
Branavan Nagarajan    (2023-02-21 17:59:05)
LRPN is a specific type of neuropathy that affects the lumbar and sacral nerve roots and is commonly associated with diabetes, while LSP is a broader term that refers to any damage or injury to the lumbosacral plexus
Pain is a predominant symptom in this patient, radiation-induced lumbosacral plexopathy is less likely.
The electrophysiologic test results and the MRI scans support a diagnosis of lumbosacral radiculoplexus neuropathy (LRPN). Contrast enhancement in the cauda equina and active denervation potential in the paraspinal muscles are consistent with nerve root inflammation.</t>
        </r>
      </text>
    </comment>
    <comment ref="K50" authorId="0" shapeId="0" xr:uid="{00000000-0006-0000-0100-000047000000}">
      <text>
        <r>
          <rPr>
            <sz val="12"/>
            <color theme="1"/>
            <rFont val="Calibri"/>
            <scheme val="minor"/>
          </rPr>
          <t>======
ID#AAAAqe42-HQ
Branavan Nagarajan    (2023-02-17 22:28:24)
Understanding that treatment resistant hypertension is often caused by endocrine issues
Discusses hormone effects</t>
        </r>
      </text>
    </comment>
    <comment ref="K51" authorId="0" shapeId="0" xr:uid="{00000000-0006-0000-0100-000046000000}">
      <text>
        <r>
          <rPr>
            <sz val="12"/>
            <color theme="1"/>
            <rFont val="Calibri"/>
            <scheme val="minor"/>
          </rPr>
          <t>======
ID#AAAAqe42-HU
Branavan Nagarajan    (2023-02-17 22:29:51)
Understanding of neutrophils and other cell types. 
Presence of medical jargon</t>
        </r>
      </text>
    </comment>
    <comment ref="M52" authorId="0" shapeId="0" xr:uid="{00000000-0006-0000-0100-000013000000}">
      <text>
        <r>
          <rPr>
            <sz val="12"/>
            <color theme="1"/>
            <rFont val="Calibri"/>
            <scheme val="minor"/>
          </rPr>
          <t>======
ID#AAAArb1M3TE
Branavan Nagarajan    (2023-02-21 18:04:01)
Extremely uncommon: SMAS has an estimated prevalence of 0.013%-0.3%</t>
        </r>
      </text>
    </comment>
    <comment ref="L54" authorId="0" shapeId="0" xr:uid="{00000000-0006-0000-0100-000037000000}">
      <text>
        <r>
          <rPr>
            <sz val="12"/>
            <color theme="1"/>
            <rFont val="Calibri"/>
            <scheme val="minor"/>
          </rPr>
          <t>======
ID#AAAAqfxzI0o
Branavan Nagarajan    (2023-02-19 18:42:20)
How would you guys classify this? Do you feel that it considered alternative diagnosis or not?
It does mention criteria that would cause it to rule out the present diagnosis but doesn’t explicitly mention the other multiple choice options It also doesn’t mention what exactly would rule in or out the other differentials</t>
        </r>
      </text>
    </comment>
    <comment ref="K57" authorId="0" shapeId="0" xr:uid="{00000000-0006-0000-0100-000045000000}">
      <text>
        <r>
          <rPr>
            <sz val="12"/>
            <color theme="1"/>
            <rFont val="Calibri"/>
            <scheme val="minor"/>
          </rPr>
          <t>======
ID#AAAAqe42-HY
Branavan Nagarajan    (2023-02-17 22:33:10)
Requires understanding the criteria for Bipolar I - typically expected of a second year medical student</t>
        </r>
      </text>
    </comment>
    <comment ref="M57" authorId="0" shapeId="0" xr:uid="{00000000-0006-0000-0100-000012000000}">
      <text>
        <r>
          <rPr>
            <sz val="12"/>
            <color theme="1"/>
            <rFont val="Calibri"/>
            <scheme val="minor"/>
          </rPr>
          <t>======
ID#AAAArb1M3TI
Branavan Nagarajan    (2023-02-21 18:09:26)
Fails to consider the diagnostic criteria for cyclothymic disorder. Subthreshold for hypomania symptoms.</t>
        </r>
      </text>
    </comment>
    <comment ref="M58" authorId="0" shapeId="0" xr:uid="{00000000-0006-0000-0100-000011000000}">
      <text>
        <r>
          <rPr>
            <sz val="12"/>
            <color theme="1"/>
            <rFont val="Calibri"/>
            <scheme val="minor"/>
          </rPr>
          <t>======
ID#AAAArb1M3TM
Branavan Nagarajan    (2023-02-21 18:12:59)
Fails to consider the x-ray imaging</t>
        </r>
      </text>
    </comment>
    <comment ref="K59" authorId="0" shapeId="0" xr:uid="{00000000-0006-0000-0100-000044000000}">
      <text>
        <r>
          <rPr>
            <sz val="12"/>
            <color theme="1"/>
            <rFont val="Calibri"/>
            <scheme val="minor"/>
          </rPr>
          <t>======
ID#AAAAqe42-Hc
Branavan Nagarajan    (2023-02-17 22:34:39)
Rare medical condition that requires specialty knowledge</t>
        </r>
      </text>
    </comment>
    <comment ref="M60" authorId="0" shapeId="0" xr:uid="{00000000-0006-0000-0100-000010000000}">
      <text>
        <r>
          <rPr>
            <sz val="12"/>
            <color theme="1"/>
            <rFont val="Calibri"/>
            <scheme val="minor"/>
          </rPr>
          <t>======
ID#AAAArb1M3TQ
Branavan Nagarajan    (2023-02-21 18:14:03)
This patient also did not demonstrate the phenotype of a child with hypophosphatemic rickets. Not only does he not have the bowing of legs, short stature, or abnormal dentition, his serum phosphorus level is high-normal and not low.[4]</t>
        </r>
      </text>
    </comment>
    <comment ref="M61" authorId="0" shapeId="0" xr:uid="{00000000-0006-0000-0100-00000F000000}">
      <text>
        <r>
          <rPr>
            <sz val="12"/>
            <color theme="1"/>
            <rFont val="Calibri"/>
            <scheme val="minor"/>
          </rPr>
          <t>======
ID#AAAArb1M3TU
Branavan Nagarajan    (2023-02-21 18:16:22)
Although aspirin use raises suspicion for peptic ulcer disease, the small antral erosions seen on endoscopy are unlikely to explain a 7-point decrease in the hemoglobin level from baseline.</t>
        </r>
      </text>
    </comment>
    <comment ref="L62" authorId="0" shapeId="0" xr:uid="{00000000-0006-0000-0100-000036000000}">
      <text>
        <r>
          <rPr>
            <sz val="12"/>
            <color theme="1"/>
            <rFont val="Calibri"/>
            <scheme val="minor"/>
          </rPr>
          <t>======
ID#AAAAqfxzI0s
Branavan Nagarajan    (2023-02-19 18:46:20)
Does provide criteria to rule out PUD, however, doesn't explicitly mention the other diagnoses or their criteria</t>
        </r>
      </text>
    </comment>
    <comment ref="M63" authorId="0" shapeId="0" xr:uid="{00000000-0006-0000-0100-00000E000000}">
      <text>
        <r>
          <rPr>
            <sz val="12"/>
            <color theme="1"/>
            <rFont val="Calibri"/>
            <scheme val="minor"/>
          </rPr>
          <t>======
ID#AAAArb1M3TY
Branavan Nagarajan    (2023-02-21 18:18:39)
Patient doesn't present with signs of sepsis, however, GPT states they did</t>
        </r>
      </text>
    </comment>
    <comment ref="K64" authorId="0" shapeId="0" xr:uid="{00000000-0006-0000-0100-000043000000}">
      <text>
        <r>
          <rPr>
            <sz val="12"/>
            <color theme="1"/>
            <rFont val="Calibri"/>
            <scheme val="minor"/>
          </rPr>
          <t>======
ID#AAAAqe42-Hg
Branavan Nagarajan    (2023-02-17 22:36:43)
Requires understanding of cranial nerves and opening pressure during lumbar puncture</t>
        </r>
      </text>
    </comment>
    <comment ref="M65" authorId="0" shapeId="0" xr:uid="{00000000-0006-0000-0100-00000D000000}">
      <text>
        <r>
          <rPr>
            <sz val="12"/>
            <color theme="1"/>
            <rFont val="Calibri"/>
            <scheme val="minor"/>
          </rPr>
          <t>======
ID#AAAArb1M3Tc
Branavan Nagarajan    (2023-02-21 18:21:01)
CPT doesn't consider the pathophysiology of IVF treatment.
In OHSS, the enlarged and luteinized ovaries produce a large amount of vascular endothelial growth factor (VEGF). VEGF is a vasoactive substance that may cause leaky capillary membranes.</t>
        </r>
      </text>
    </comment>
    <comment ref="M66" authorId="0" shapeId="0" xr:uid="{00000000-0006-0000-0100-00000C000000}">
      <text>
        <r>
          <rPr>
            <sz val="12"/>
            <color theme="1"/>
            <rFont val="Calibri"/>
            <scheme val="minor"/>
          </rPr>
          <t>======
ID#AAAArb1M3Tg
Branavan Nagarajan    (2023-02-21 18:23:04)
Low BNP level and the lack of volume-overload status make heart failure less likely</t>
        </r>
      </text>
    </comment>
    <comment ref="L67" authorId="0" shapeId="0" xr:uid="{00000000-0006-0000-0100-000035000000}">
      <text>
        <r>
          <rPr>
            <sz val="12"/>
            <color theme="1"/>
            <rFont val="Calibri"/>
            <scheme val="minor"/>
          </rPr>
          <t>======
ID#AAAAqfxzI0w
Branavan Nagarajan    (2023-02-19 18:57:15)
Gold standard for considering other options</t>
        </r>
      </text>
    </comment>
    <comment ref="L70" authorId="0" shapeId="0" xr:uid="{00000000-0006-0000-0100-000034000000}">
      <text>
        <r>
          <rPr>
            <sz val="12"/>
            <color theme="1"/>
            <rFont val="Calibri"/>
            <scheme val="minor"/>
          </rPr>
          <t>======
ID#AAAAqfxzI00
Branavan Nagarajan    (2023-02-19 18:59:00)
Mentions other diagnoses but not the multiple choice diagnoses</t>
        </r>
      </text>
    </comment>
    <comment ref="M70" authorId="0" shapeId="0" xr:uid="{00000000-0006-0000-0100-00000B000000}">
      <text>
        <r>
          <rPr>
            <sz val="12"/>
            <color theme="1"/>
            <rFont val="Calibri"/>
            <scheme val="minor"/>
          </rPr>
          <t>======
ID#AAAArb1M3Tk
Branavan Nagarajan    (2023-02-21 18:24:26)
Requires interpretation of the CT scan to come upon this diagnosis</t>
        </r>
      </text>
    </comment>
    <comment ref="K71" authorId="0" shapeId="0" xr:uid="{00000000-0006-0000-0100-000042000000}">
      <text>
        <r>
          <rPr>
            <sz val="12"/>
            <color theme="1"/>
            <rFont val="Calibri"/>
            <scheme val="minor"/>
          </rPr>
          <t>======
ID#AAAAqe42-Hk
Branavan Nagarajan    (2023-02-17 22:40:01)
Require specialist knowledge of different cell types and drug treatments (e.g. cladribine)
Understanding of genetic mutations</t>
        </r>
      </text>
    </comment>
    <comment ref="L71" authorId="0" shapeId="0" xr:uid="{00000000-0006-0000-0100-000033000000}">
      <text>
        <r>
          <rPr>
            <sz val="12"/>
            <color theme="1"/>
            <rFont val="Calibri"/>
            <scheme val="minor"/>
          </rPr>
          <t>======
ID#AAAAqfxzI04
Branavan Nagarajan    (2023-02-19 19:00:16)
Unsure if this qualifies as a false positive
Could this be a false negative - ruling out hairy cell leukemia</t>
        </r>
      </text>
    </comment>
    <comment ref="M71" authorId="0" shapeId="0" xr:uid="{00000000-0006-0000-0100-00000A000000}">
      <text>
        <r>
          <rPr>
            <sz val="12"/>
            <color theme="1"/>
            <rFont val="Calibri"/>
            <scheme val="minor"/>
          </rPr>
          <t>======
ID#AAAArb1M3To
Branavan Nagarajan    (2023-02-21 18:26:27)
Doesn't consider CD25
HCL-v B cells lack CD25 and exhibit reduced expression (40%) or no expression (60%) of CD123, whereas B cells in HCL are typically positive for both. Because flow cytometry in this case revealed expression of CD11c, CD20, CD22, CD103, as well as diminished expression of CD123 and absence of CD25, HCL-v was suspected</t>
        </r>
      </text>
    </comment>
    <comment ref="L72" authorId="0" shapeId="0" xr:uid="{00000000-0006-0000-0100-000032000000}">
      <text>
        <r>
          <rPr>
            <sz val="12"/>
            <color theme="1"/>
            <rFont val="Calibri"/>
            <scheme val="minor"/>
          </rPr>
          <t>======
ID#AAAAqfxzI08
Branavan Nagarajan    (2023-02-19 19:01:19)
Provides reasons to rule out Torsades de pointes, however, doesn't explicitly mention the other diagnoses</t>
        </r>
      </text>
    </comment>
    <comment ref="M72" authorId="0" shapeId="0" xr:uid="{00000000-0006-0000-0100-000009000000}">
      <text>
        <r>
          <rPr>
            <sz val="12"/>
            <color theme="1"/>
            <rFont val="Calibri"/>
            <scheme val="minor"/>
          </rPr>
          <t>======
ID#AAAArb1M3Ts
Branavan Nagarajan    (2023-02-21 18:27:29)
Require interpretation of ECG</t>
        </r>
      </text>
    </comment>
    <comment ref="K73" authorId="0" shapeId="0" xr:uid="{00000000-0006-0000-0100-000041000000}">
      <text>
        <r>
          <rPr>
            <sz val="12"/>
            <color theme="1"/>
            <rFont val="Calibri"/>
            <scheme val="minor"/>
          </rPr>
          <t>======
ID#AAAAqe42-Ho
Branavan Nagarajan    (2023-02-17 22:41:56)
Does use medial terms however these are easily understandable terms that can be searched up by a lay person</t>
        </r>
      </text>
    </comment>
    <comment ref="K74" authorId="0" shapeId="0" xr:uid="{00000000-0006-0000-0100-000040000000}">
      <text>
        <r>
          <rPr>
            <sz val="12"/>
            <color theme="1"/>
            <rFont val="Calibri"/>
            <scheme val="minor"/>
          </rPr>
          <t>======
ID#AAAAqe42-Hs
Branavan Nagarajan    (2023-02-17 22:43:27)
Mentions EGD and duodenal biopsy results, however, even without understanding that sentence the average person could understand the diagnosis</t>
        </r>
      </text>
    </comment>
    <comment ref="K75" authorId="0" shapeId="0" xr:uid="{00000000-0006-0000-0100-00003F000000}">
      <text>
        <r>
          <rPr>
            <sz val="12"/>
            <color theme="1"/>
            <rFont val="Calibri"/>
            <scheme val="minor"/>
          </rPr>
          <t>======
ID#AAAAqe42-Hw
Branavan Nagarajan    (2023-02-17 22:45:22)
This is a fairly straightforward diagnosis, however, it does require some medical knowledge to rule out hyperthyroidism</t>
        </r>
      </text>
    </comment>
    <comment ref="M75" authorId="0" shapeId="0" xr:uid="{00000000-0006-0000-0100-000008000000}">
      <text>
        <r>
          <rPr>
            <sz val="12"/>
            <color theme="1"/>
            <rFont val="Calibri"/>
            <scheme val="minor"/>
          </rPr>
          <t>======
ID#AAAArb1M3Tw
Branavan Nagarajan    (2023-02-21 18:37:58)
Fails to consider the patient's recent exposure to sick contacts with SARS-CoV-2
Explicitly mentions there's low risk of exposure</t>
        </r>
      </text>
    </comment>
    <comment ref="L78" authorId="0" shapeId="0" xr:uid="{00000000-0006-0000-0100-000031000000}">
      <text>
        <r>
          <rPr>
            <sz val="12"/>
            <color theme="1"/>
            <rFont val="Calibri"/>
            <scheme val="minor"/>
          </rPr>
          <t>======
ID#AAAAqfxzI1A
Branavan Nagarajan    (2023-02-19 19:05:06)
Does consider different diagnosis (e.g. ruptured cyst) however it doesn't consider the provided diagnoses</t>
        </r>
      </text>
    </comment>
    <comment ref="K80" authorId="0" shapeId="0" xr:uid="{00000000-0006-0000-0100-00003E000000}">
      <text>
        <r>
          <rPr>
            <sz val="12"/>
            <color theme="1"/>
            <rFont val="Calibri"/>
            <scheme val="minor"/>
          </rPr>
          <t>======
ID#AAAAqe42-H0
Branavan Nagarajan    (2023-02-17 22:47:11)
Requires understanding of cranial nerves and specific motor pathways. These would be expected of a neurologist</t>
        </r>
      </text>
    </comment>
    <comment ref="M83" authorId="0" shapeId="0" xr:uid="{00000000-0006-0000-0100-000007000000}">
      <text>
        <r>
          <rPr>
            <sz val="12"/>
            <color theme="1"/>
            <rFont val="Calibri"/>
            <scheme val="minor"/>
          </rPr>
          <t>======
ID#AAAArb1M3T0
Branavan Nagarajan    (2023-02-21 18:46:39)
CT scan reveals acute lateral ventricular hydrocephalus leading to colloid cyst of the third ventricle.</t>
        </r>
      </text>
    </comment>
    <comment ref="M84" authorId="0" shapeId="0" xr:uid="{00000000-0006-0000-0100-000006000000}">
      <text>
        <r>
          <rPr>
            <sz val="12"/>
            <color theme="1"/>
            <rFont val="Calibri"/>
            <scheme val="minor"/>
          </rPr>
          <t>======
ID#AAAArb1M3T4
Branavan Nagarajan    (2023-02-21 18:48:55)
Doesn't consider pericardial rub found on auscultation</t>
        </r>
      </text>
    </comment>
    <comment ref="K85" authorId="0" shapeId="0" xr:uid="{00000000-0006-0000-0100-00003D000000}">
      <text>
        <r>
          <rPr>
            <sz val="12"/>
            <color theme="1"/>
            <rFont val="Calibri"/>
            <scheme val="minor"/>
          </rPr>
          <t>======
ID#AAAAqe42-H4
Branavan Nagarajan    (2023-02-17 22:49:23)
Requires understanding of the imaging</t>
        </r>
      </text>
    </comment>
    <comment ref="M87" authorId="0" shapeId="0" xr:uid="{00000000-0006-0000-0100-000005000000}">
      <text>
        <r>
          <rPr>
            <sz val="12"/>
            <color theme="1"/>
            <rFont val="Calibri"/>
            <scheme val="minor"/>
          </rPr>
          <t>======
ID#AAAArb1M3T8
Branavan Nagarajan    (2023-02-21 18:51:49)
Doesn't consider that there could be more than 1 endocrine gland insufficiency
Doesn't account for evidence of candidiasis on oral mucosal swab.</t>
        </r>
      </text>
    </comment>
    <comment ref="K89" authorId="0" shapeId="0" xr:uid="{00000000-0006-0000-0100-00003C000000}">
      <text>
        <r>
          <rPr>
            <sz val="12"/>
            <color theme="1"/>
            <rFont val="Calibri"/>
            <scheme val="minor"/>
          </rPr>
          <t>======
ID#AAAAqe6DqzA
Branavan Nagarajan    (2023-02-17 22:51:54)
Could be moderate because of medical jargon "miosis", however, someone can easily search on Google to understand this term
Naloxone is a common drug - doesn't require medical knowledge to understand what it's used for.
Case is fairly straight forward</t>
        </r>
      </text>
    </comment>
    <comment ref="L89" authorId="0" shapeId="0" xr:uid="{00000000-0006-0000-0100-000030000000}">
      <text>
        <r>
          <rPr>
            <sz val="12"/>
            <color theme="1"/>
            <rFont val="Calibri"/>
            <scheme val="minor"/>
          </rPr>
          <t>======
ID#AAAAqfxzI1E
Branavan Nagarajan    (2023-02-19 19:12:26)
Gold standard for considering other diagnoses</t>
        </r>
      </text>
    </comment>
    <comment ref="M90" authorId="0" shapeId="0" xr:uid="{00000000-0006-0000-0100-000004000000}">
      <text>
        <r>
          <rPr>
            <sz val="12"/>
            <color theme="1"/>
            <rFont val="Calibri"/>
            <scheme val="minor"/>
          </rPr>
          <t>======
ID#AAAArb1M3UA
Branavan Nagarajan    (2023-02-21 18:53:51)
Doesn't consider the CT scans</t>
        </r>
      </text>
    </comment>
    <comment ref="K91" authorId="0" shapeId="0" xr:uid="{00000000-0006-0000-0100-00003B000000}">
      <text>
        <r>
          <rPr>
            <sz val="12"/>
            <color theme="1"/>
            <rFont val="Calibri"/>
            <scheme val="minor"/>
          </rPr>
          <t>======
ID#AAAAq6OlVsQ
Branavan Nagarajan    (2023-02-18 22:24:44)
Requires interpretation of the CT scan and physical exam.</t>
        </r>
      </text>
    </comment>
    <comment ref="K92" authorId="0" shapeId="0" xr:uid="{00000000-0006-0000-0100-00003A000000}">
      <text>
        <r>
          <rPr>
            <sz val="12"/>
            <color theme="1"/>
            <rFont val="Calibri"/>
            <scheme val="minor"/>
          </rPr>
          <t>======
ID#AAAAq6OlVsU
Branavan Nagarajan    (2023-02-18 22:25:37)
Use of medical terms (e.g. "CEMRI")
This is a rare medical disorder</t>
        </r>
      </text>
    </comment>
    <comment ref="M92" authorId="0" shapeId="0" xr:uid="{00000000-0006-0000-0100-000003000000}">
      <text>
        <r>
          <rPr>
            <sz val="12"/>
            <color theme="1"/>
            <rFont val="Calibri"/>
            <scheme val="minor"/>
          </rPr>
          <t>======
ID#AAAArb1M3UE
Branavan Nagarajan    (2023-02-21 18:56:45)
Main difference is PBC has multiple lumps, whereas, IBC doesn't have palpable lumps</t>
        </r>
      </text>
    </comment>
    <comment ref="K93" authorId="0" shapeId="0" xr:uid="{00000000-0006-0000-0100-000039000000}">
      <text>
        <r>
          <rPr>
            <sz val="12"/>
            <color theme="1"/>
            <rFont val="Calibri"/>
            <scheme val="minor"/>
          </rPr>
          <t>======
ID#AAAAq6OlVsY
Branavan Nagarajan    (2023-02-18 22:26:30)
Requires understanding of blood tests and cell types.
Complex medical terms (e.g. chorioamnionitis)</t>
        </r>
      </text>
    </comment>
    <comment ref="M93" authorId="0" shapeId="0" xr:uid="{00000000-0006-0000-0100-000002000000}">
      <text>
        <r>
          <rPr>
            <sz val="12"/>
            <color theme="1"/>
            <rFont val="Calibri"/>
            <scheme val="minor"/>
          </rPr>
          <t>======
ID#AAAArb1M3UI
Branavan Nagarajan    (2023-02-21 18:57:50)
This patient has no known relevant risk factors for a multidrug-resistant bacterial organism (MDRO) infection, including recent or prolonged hospitalization, intravenous antibiotic therapy, an immunocompromising condition, or a prior history of an MDRO infection</t>
        </r>
      </text>
    </comment>
    <comment ref="K95" authorId="0" shapeId="0" xr:uid="{00000000-0006-0000-0100-000038000000}">
      <text>
        <r>
          <rPr>
            <sz val="12"/>
            <color theme="1"/>
            <rFont val="Calibri"/>
            <scheme val="minor"/>
          </rPr>
          <t>======
ID#AAAAq6OlVsc
Branavan Nagarajan    (2023-02-18 22:28:35)
Could make the case for high cognitive laid because of anatomical knowledge required
Complex medical terms (e.g. Virchow-Robbins spaces, subpial spread of the cells) would expected of specialists
Requires interpretation of MRI and pathology</t>
        </r>
      </text>
    </comment>
    <comment ref="M95" authorId="0" shapeId="0" xr:uid="{00000000-0006-0000-0100-000001000000}">
      <text>
        <r>
          <rPr>
            <sz val="12"/>
            <color theme="1"/>
            <rFont val="Calibri"/>
            <scheme val="minor"/>
          </rPr>
          <t>======
ID#AAAArb1N3b4
Branavan Nagarajan    (2023-02-21 19:00:05)
The characteristic histopathology of sheets of spindled-to-polygonal cells with frequent mitotic activity and dense cytoplasmic collection of brownish-black melanin pigment confirmed the clinical suspicion</t>
        </r>
      </text>
    </comment>
  </commentList>
  <extLst>
    <ext xmlns:r="http://schemas.openxmlformats.org/officeDocument/2006/relationships" uri="GoogleSheetsCustomDataVersion2">
      <go:sheetsCustomData xmlns:go="http://customooxmlschemas.google.com/" r:id="rId1" roundtripDataSignature="AMtx7mhq0uzvn1Mc7sPmboq5BFk8TALUFA=="/>
    </ext>
  </extLst>
</comments>
</file>

<file path=xl/sharedStrings.xml><?xml version="1.0" encoding="utf-8"?>
<sst xmlns="http://schemas.openxmlformats.org/spreadsheetml/2006/main" count="3636" uniqueCount="1338">
  <si>
    <t>Prompts to write to ChatGTP before you presnt the medical cases (to pretrain it before presenting case)</t>
  </si>
  <si>
    <t>@dropdown</t>
  </si>
  <si>
    <t>Types of Cases</t>
  </si>
  <si>
    <t>Prompt 1: I'm writing a literature paper on the accuracy of CGPT of correctly identified a diagnosis from complex, WRITTEN, clinical cases. I will be presenting you a series of medical cases and then presenting you with a multiple choice of what the answer to the medical cases.
Prompt 2: Come up with a differential and provide rationale for why this differential makes sense and findings that would cause you to rule out the differential. Here are your multiple choice options to choose from and give me a detailed rationale explaining your answer.
What is the most likely diagnosis in this case?
[insert multiple choice options] example:
Aspiration pneumonia.
Hypersensitivity pneumonitis.
Lymphomatoid granulomatosis.
Mycoplasma pneumonia.
Polyarteritis nodosa lung disease.
Respiratory bronchiolitis–associated interstitial lung disease.
[Case info]
Subsequent imaging revealed 
[Radiology caption]</t>
  </si>
  <si>
    <t xml:space="preserve">1) Management (Treatment)
2) Diagnosis
3) Further Investigation </t>
  </si>
  <si>
    <t>Rubric:</t>
  </si>
  <si>
    <t>rubric: 
Factual accuracy: OpenAI includes accurate information and does not include misleading information. Scoring:  0 = No, 1 = Yes
Appropriate narrowing of the differential diagnosis: OpenAI appropriately narrows their differential diagnosis by including pertinent key features of the primary problem to frame understanding, rather than reporting all information indiscriminately and Student facilitates understanding of the primary problem. Scoring: 0 = Does not narrow, 1 = Some narrowing but missing elements, 2 = Appropriately narrows. 
Transformation of information: OpenAI expresses key findings in qualified medical terminology (HR 150 = tachycardia). Student synthesizes details into unifying medical concepts (rales, S3, edema = CHF). Scoring: 0 = None, 1 = Some, 2 = Frequent and appropriate
Use of semantic qualifiers: OpenAI uses qualitative terms, more abstract than patient's signs, binary in nature (gradual versus acute, unilateral versus bilateral).Scoring: 0 = None, 1 = Some, 2 = Frequent and appropriate
Global rating: Overall rating of summary statement. Scoring: 0 = Significant problems/fatal flaws, 1 = Adequate but can be improved, 2 = Concise, complete, accurate</t>
  </si>
  <si>
    <t>We can have multiple people analyze each of GPT's responses to analyze how it answers questions using any/all of 3 different frameworks (based on some med ed lit review):
Cognitive Load Theory: The amount of cognitive load required for the answer to be understood
Diagnostic Accuracy: the proportion of true positives and true negatives
Quality of Medical Dx: The quality of the diagnostic process, including the accuracy, completeness and relevance of the information provided
For CLT each answer could be 'coded' as 
Low cognitive load: easy to understand and requires minimal cognitive effort to process
Moderate cognitive load: needs moderate cognitive effort to process
High cognitive load: complex and requires significant cognitive effort to process
For DA each answer could be 'coded' as
True positive: correctly identifies a condition that is present
False positive: incorrectly identifies a condition that is not present
True negative: correctly identifies the absence of a condition
False negative: incorrectly identifies the absence of a condition
For Qual Med each answer could be 'coded' as
Complete: all relevant information for making an accurate diagnosis
Incomplete: missing some relevant information for making an accurate diagnosis
Relevant: information that is directly relevant to the diagnosis
Irrelevant: information that is not directly relevant to the diagnosis</t>
  </si>
  <si>
    <t>case name (subtypes: management vs diagnostic cases)</t>
  </si>
  <si>
    <t>Case Link</t>
  </si>
  <si>
    <t>Imaging Required</t>
  </si>
  <si>
    <t>Type of Case</t>
  </si>
  <si>
    <t>MCQ options</t>
  </si>
  <si>
    <t>CGPT Answer</t>
  </si>
  <si>
    <t>Answer Right?</t>
  </si>
  <si>
    <t>Correlate with most popular answer</t>
  </si>
  <si>
    <t>Answers right when 50% voters got wrong</t>
  </si>
  <si>
    <t>CGPT Response</t>
  </si>
  <si>
    <t>Cognitive Load Theory</t>
  </si>
  <si>
    <t>Diagnostic Accuracy</t>
  </si>
  <si>
    <t>Quality of Medical Answer</t>
  </si>
  <si>
    <t>MedScape Cases</t>
  </si>
  <si>
    <t>Internal Medicine Case Challenge: A Teacher’s Assistant With Bipolar Disorder Has Lung Problems</t>
  </si>
  <si>
    <t>https://reference.medscape.com/viewarticle/984951</t>
  </si>
  <si>
    <r>
      <rPr>
        <sz val="12"/>
        <color theme="1"/>
        <rFont val="Calibri"/>
      </rPr>
      <t xml:space="preserve">Lupus nephritis
Interstitial nephritis
</t>
    </r>
    <r>
      <rPr>
        <b/>
        <sz val="12"/>
        <color theme="1"/>
        <rFont val="Calibri"/>
      </rPr>
      <t>Antiphospholipid syndrome nephropathy</t>
    </r>
    <r>
      <rPr>
        <sz val="12"/>
        <color theme="1"/>
        <rFont val="Calibri"/>
      </rPr>
      <t xml:space="preserve">
Thrombotic thrombocytopenic purpura</t>
    </r>
  </si>
  <si>
    <t>Lupus Nephritis</t>
  </si>
  <si>
    <t>No</t>
  </si>
  <si>
    <t>Yes</t>
  </si>
  <si>
    <t>The most likely diagnosis in this case is Lupus Nephritis.
Lupus Nephritis is a type of autoimmune disease that affects the kidneys and can cause inflammation, scarring, and damage to the renal tissue. This patient presents with several symptoms and findings that are consistent with Lupus Nephritis. The patient has a history of thrombocytopenia, recurrent lower-extremity deep venous thrombosis, oral ulcers, and bilateral hand, wrist, and elbow pain, which are all classic symptoms of systemic lupus erythematosus (SLE), the autoimmune disease that can cause Lupus Nephritis. The patient also has a positive antinuclear antibody test, a strong positive double-stranded DNA test, and a positive Smith antibody, all of which are suggestive of SLE. Additionally, her creatinine levels are elevated, which is indicative of declining kidney function, a common complication of Lupus Nephritis.
The high C-reactive protein level and elevated erythrocyte sedimentation rate also support the diagnosis of Lupus Nephritis, as these are markers of inflammation and are often elevated in patients with autoimmune diseases. Finally, the exudative effusion seen on thoracentesis, along with the presence of pseudomonads in the sputum culture, suggests the patient has a pneumonitis that is commonly seen in patients with Lupus Nephritis.
To rule out Lupus Nephritis as the diagnosis, further testing and imaging, such as a renal biopsy, would be necessary to confirm the presence of renal inflammation and tissue damage. If the renal biopsy results show no evidence of Lupus Nephritis, other differential diagnoses, such as Interstitial Nephritis or Antiphospholipid Syndrome Nephropathy, would need to be considered.</t>
  </si>
  <si>
    <t>Low Cognitive Load</t>
  </si>
  <si>
    <t xml:space="preserve">False Negative, </t>
  </si>
  <si>
    <t>Incomplete Relevant</t>
  </si>
  <si>
    <t>A 27-Year-Old Factory Worker With Incontinence and Imbalance</t>
  </si>
  <si>
    <t>https://reference.medscape.com/viewarticle/984950</t>
  </si>
  <si>
    <r>
      <rPr>
        <sz val="12"/>
        <color theme="1"/>
        <rFont val="Calibri"/>
      </rPr>
      <t xml:space="preserve">Multiple sclerosis
Familial hypercholesterolemia
</t>
    </r>
    <r>
      <rPr>
        <b/>
        <sz val="12"/>
        <color theme="1"/>
        <rFont val="Calibri"/>
      </rPr>
      <t>Adrenomyeloneuropathy</t>
    </r>
    <r>
      <rPr>
        <sz val="12"/>
        <color theme="1"/>
        <rFont val="Calibri"/>
      </rPr>
      <t xml:space="preserve">
Adrenoleukodystrophy</t>
    </r>
  </si>
  <si>
    <t>Adrenoleukodystrophy</t>
  </si>
  <si>
    <t>Based on the patient's history and physical examination findings, as well as the results of the MRI and the measurement of plasma VLCFA levels, the most likely diagnosis in this case is Adrenoleukodystrophy (ALD).
Adrenoleukodystrophy is a genetic disorder that affects the fatty acid metabolism and causes progressive damage to the myelin sheath surrounding the nerve fibers in the central nervous system. The elevated levels of plasma VLCFA (C26:0) observed in this patient are consistent with the diagnosis of ALD, as patients with ALD typically have elevated levels of VLCFAs in their plasma and tissues.
The presence of demyelination in the patient's spinal cord on MRI and the finding of brisk reflexes and spasticity in his lower extremities also support the diagnosis of ALD. In addition, the patient's history of bladder incontinence and balance problems are consistent with the symptoms commonly seen in patients with ALD.
The low cortisol levels and high adrenocorticotropic hormone levels suggest that the patient may have adrenal insufficiency, which is another hallmark of ALD. Adrenal insufficiency occurs when the adrenal gland fails to produce adequate amounts of cortisol, which is a hormone that regulates the body's response to stress.
If further testing, such as genetic testing, were to reveal a different underlying cause for the patient's symptoms, such as multiple sclerosis or familial hypercholesterolemia, this would lead to ruling out the diagnosis of ALD. However, based on the available information, ALD is the most likely diagnosis in this case.</t>
  </si>
  <si>
    <t>Moderate Cognitive Load (VLCFA, demyelination, hormone levels)</t>
  </si>
  <si>
    <t>Cardio Case Challenge: A 17-Year-Old in Cardiac Arrest After Collision Playing Sports</t>
  </si>
  <si>
    <t>https://reference.medscape.com/viewarticle/724047</t>
  </si>
  <si>
    <r>
      <rPr>
        <sz val="12"/>
        <color theme="1"/>
        <rFont val="Calibri"/>
      </rPr>
      <t xml:space="preserve">Hypertrophic cardiomyopathy
Myocardial infarction
</t>
    </r>
    <r>
      <rPr>
        <b/>
        <sz val="12"/>
        <color theme="1"/>
        <rFont val="Calibri"/>
      </rPr>
      <t>Commotio cordis</t>
    </r>
    <r>
      <rPr>
        <sz val="12"/>
        <color theme="1"/>
        <rFont val="Calibri"/>
      </rPr>
      <t xml:space="preserve">
Long-QT syndrome</t>
    </r>
  </si>
  <si>
    <t>Commotio cordis</t>
  </si>
  <si>
    <t>The most likely diagnosis in this case is Commotio cordis.
Commotio cordis is a cardiac condition caused by a direct blow to the chest, specifically to the precordial area, which can disrupt the normal electrical activity of the heart and lead to ventricular fibrillation. The patient in this case was a 17-year-old boy who was found in cardiac arrest after a blow to the chest from a baseball teammate's elbow. He regained spontaneous circulation and a normal sinus rhythm after defibrillation with 200 J. These details are highly suggestive of commotio cordis as the cause of the cardiac arrest.
Hypertrophic cardiomyopathy and Myocardial infarction can also cause cardiac arrest, but these conditions typically have other symptoms or risk factors present. The patient has no history of arrhythmias, unexplained sudden deaths, or cardiac structural diseases, and his physical examination and workup are unremarkable, making these diagnoses less likely. Long-QT syndrome is a rare genetic disorder that can cause life-threatening arrhythmias, but again, there is no history or physical examination findings to suggest this diagnosis.
Additionally, the patient did not have any symptoms like shortness of breath, palpitations, weakness, or feelings of confusion; he was alert, with normal mentation and a Glasgow coma scale rating of 15; and he had a regular heart rate, normal S1 and S2 heart sounds, and no murmurs or other abnormal cardiac sounds.
Overall, the patient's presentation, including the history of a blow to the chest and the subsequent ventricular fibrillation, along with the normal physical examination, labs and imaging, support the diagnosis of Commotio cordis.</t>
  </si>
  <si>
    <t xml:space="preserve">True Positive, </t>
  </si>
  <si>
    <t>Complete Relevant</t>
  </si>
  <si>
    <t>A 21-Year-Old Man With Epigastric Pain After a Wild Party</t>
  </si>
  <si>
    <t>https://reference.medscape.com/viewarticle/729899</t>
  </si>
  <si>
    <r>
      <rPr>
        <sz val="12"/>
        <color theme="1"/>
        <rFont val="Calibri"/>
      </rPr>
      <t xml:space="preserve">External monitoring device
Radiologic artifact
</t>
    </r>
    <r>
      <rPr>
        <b/>
        <sz val="12"/>
        <color theme="1"/>
        <rFont val="Calibri"/>
      </rPr>
      <t>Foreign-body ingestion</t>
    </r>
    <r>
      <rPr>
        <sz val="12"/>
        <color theme="1"/>
        <rFont val="Calibri"/>
      </rPr>
      <t xml:space="preserve">
An implanted medical device</t>
    </r>
  </si>
  <si>
    <t>Implanted medical device</t>
  </si>
  <si>
    <t>The abnormality seen on the x-ray is likely an implanted medical device.
The rationale for this is that the shadow seen in the central lower chest/epigastrium region on the chest and abdominal x-rays is radio-opaque, which is consistent with an implanted medical device. Additionally, the patient has a history of a deviated nasal septum surgery 11 months ago, which increases the likelihood that he may have another medical device implanted in his body.
Findings that would cause me to rule out this differential include:
Evidence of migration or displacement of the medical device seen on follow-up imaging studies.
Presence of surrounding inflammation or infection, which could indicate a problem with the device.
Evidence of gastrointestinal perforation or obstruction seen on endoscopy, which would suggest a foreign body ingestion.
Abnormal findings on the patient's electrocardiogram (ECG), such as ischemic changes, which would suggest a different etiology for the patient's symptoms.
A positive history of trauma to the epigastrium, which would suggest that the radio-opaque shadow could be due to an external monitoring device.</t>
  </si>
  <si>
    <t xml:space="preserve">False Positive, </t>
  </si>
  <si>
    <t>A 19-Year-Old With Hypercholesterolemia, Transaminitis, and IBD</t>
  </si>
  <si>
    <t>https://reference.medscape.com/viewarticle/984871</t>
  </si>
  <si>
    <r>
      <rPr>
        <sz val="12"/>
        <color theme="1"/>
        <rFont val="Calibri"/>
      </rPr>
      <t xml:space="preserve">Hepatitis B virus infection
Autoimmune hepatitis
Primary biliary cholangitis
</t>
    </r>
    <r>
      <rPr>
        <b/>
        <sz val="12"/>
        <color theme="1"/>
        <rFont val="Calibri"/>
      </rPr>
      <t>Primary sclerosing cholangitis</t>
    </r>
    <r>
      <rPr>
        <sz val="12"/>
        <color theme="1"/>
        <rFont val="Calibri"/>
      </rPr>
      <t xml:space="preserve">
Lysosomal acid lipase deficiency</t>
    </r>
  </si>
  <si>
    <t>Primary biliary cholangitis (PBC)</t>
  </si>
  <si>
    <t>The most likely diagnosis for the patient in this case is Primary biliary cholangitis (PBC).
The presence of elevated liver enzyme levels (AST and ALT) with a borderline low but higher than expected lysosomal acid lipase (LAL) activity, and negative results for hepatitis viruses, ceruloplasmin, alpha 1 antitrypsin, anti-smooth muscle antibody, antinuclear antibody (ANA), and antimitochondrial antibody all support the diagnosis of PBC. Elevated levels of alkaline phosphatase (ALP) is a common finding in PBC, as the bile ducts become obstructed, leading to an increase in ALP levels in the blood. Additionally, the negative results for other autoimmune markers and the normal results for magnetic resonance enterography and colonoscopy also support the diagnosis of PBC.
The patient's elevated cholesterol and triglyceride levels and the absence of symptoms such as abdominal pain, jaundice, pruritus, and rash further support the diagnosis of PBC.
To rule out the diagnosis of PBC, further tests such as anti-mitochondrial antibody (AMA) testing should be performed. A positive AMA test result would strongly support a diagnosis of PBC. Additionally, a liver biopsy could be performed to confirm the diagnosis and determine the extent of liver involvement.
In conclusion, the combination of elevated liver enzyme levels, elevated alkaline phosphatase levels, negative results for other autoimmune markers, and elevated cholesterol and triglyceride levels, all point towards a diagnosis of Primary biliary cholangitis.</t>
  </si>
  <si>
    <t>Moderate Cognitive Load</t>
  </si>
  <si>
    <t>Emergency Med Case Challenge: A 46-Year-Old Beauty Pageant Winner With Sudden Blindness</t>
  </si>
  <si>
    <t>https://reference.medscape.com/viewarticle/984870</t>
  </si>
  <si>
    <r>
      <rPr>
        <sz val="12"/>
        <color theme="1"/>
        <rFont val="Calibri"/>
      </rPr>
      <t xml:space="preserve">Retinal ischemia secondary to antiphospholipid antibodies
Idiopathic intracranial hypertension (pseudotumor cerebri)
Sequelae from migraine
</t>
    </r>
    <r>
      <rPr>
        <b/>
        <sz val="12"/>
        <color theme="1"/>
        <rFont val="Calibri"/>
      </rPr>
      <t>Central retinal artery occlusion from dermal fillers</t>
    </r>
  </si>
  <si>
    <t>Central retinal artery occlusion from dermal fillers</t>
  </si>
  <si>
    <t>yes</t>
  </si>
  <si>
    <t>Central retinal artery occlusion from dermal fillers is the most likely diagnosis.
Rationale: The patient's history of cosmetic procedures, including dermal fillers, is a risk factor for central retinal artery occlusion. The sudden-onset vision loss in only one eye and the funduscopic examination finding of diffuse white pallor on the retina in the right eye also support this diagnosis. Additionally, the absence of other symptoms such as headache, tinnitus, or neck pain further supports the diagnosis of central retinal artery occlusion.
Findings that would rule out this diagnosis include the presence of papilledema, retinal nicking, or cotton-wool spots on funduscopic examination, which are indicative of intracranial hypertension or retinal ischemia secondary to antiphospholipid antibodies. The presence of any ocular pain or recent ocular trauma, which could indicate a different cause for the vision loss, would also cause this diagnosis to be ruled out.</t>
  </si>
  <si>
    <t>True Positive, True</t>
  </si>
  <si>
    <t>Gastro Case Challenge: Excruciating Abdominal Pain in a Woman Taking Benzodiazepines and Narcotics</t>
  </si>
  <si>
    <t>https://reference.medscape.com/viewarticle/882400</t>
  </si>
  <si>
    <r>
      <rPr>
        <b/>
        <sz val="12"/>
        <color theme="1"/>
        <rFont val="Calibri"/>
      </rPr>
      <t>Primary epiploic appendagitis</t>
    </r>
    <r>
      <rPr>
        <sz val="12"/>
        <color theme="1"/>
        <rFont val="Calibri"/>
      </rPr>
      <t xml:space="preserve">
Acute omental infarction
Mesenteric panniculitis
Appendicitis</t>
    </r>
  </si>
  <si>
    <t>Primary Epiploic Appendagitis</t>
  </si>
  <si>
    <t>The most likely diagnosis in this case is Primary Epiploic Appendagitis.
Rationale:
The patient presents with severe, recurrent abdominal pain occurring every 3-4 weeks, lasting 2-3 days and described as "excruciating".
The pain is diffuse across the abdomen, but there is no mass or tenderness upon physical examination and no changes in bowel habits or fever.
The results of the previous CT scan and colonoscopy were unremarkable.
The patient's medical history is significant for other gastrointestinal issues (gastroesophageal reflux disease and irritable bowel syndrome) and other conditions (bilateral ovarian cysts and depression), which suggests that her abdominal pain may be due to a benign cause rather than a more serious condition.
Primary epiploic appendagitis is a benign condition that presents with sudden-onset, severe, recurrent abdominal pain and is caused by inflammation or torsion of an epiploic appendage, a fatty appendage attached to the colon. It typically occurs in patients in their 40s to 60s and can mimic other abdominal emergencies, making it a differential diagnosis for various abdominal conditions.
Findings that would cause ruling out the differential:
If the CT scan showed an inflamed or enlarged appendix, it would suggest appendicitis as the diagnosis instead of primary epiploic appendagitis.
If the patient had a fever, leukocytosis, or an enlarged or tender mass on physical examination, it would suggest mesenteric panniculitis or acute omental infarction.
If the patient's pain was more localized and accompanied by changes in bowel habits and a positive Rovsing sign on abdominal examination, it would suggest appendicitis as the diagnosis instead of primary epiploic appendagitis.</t>
  </si>
  <si>
    <t>A Teenager Shot Multiple Times Develops Further Complications</t>
  </si>
  <si>
    <t>https://reference.medscape.com/viewarticle/888178</t>
  </si>
  <si>
    <r>
      <rPr>
        <sz val="12"/>
        <color theme="1"/>
        <rFont val="Calibri"/>
      </rPr>
      <t xml:space="preserve">Dissecting aortic aneurysm
Pulmonary embolism
</t>
    </r>
    <r>
      <rPr>
        <b/>
        <sz val="12"/>
        <color theme="1"/>
        <rFont val="Calibri"/>
      </rPr>
      <t>Hemothorax</t>
    </r>
    <r>
      <rPr>
        <sz val="12"/>
        <color theme="1"/>
        <rFont val="Calibri"/>
      </rPr>
      <t xml:space="preserve">
Empyema
Pneumothorax
Disseminated intravascular coagulation
Exudative pleural effusion</t>
    </r>
  </si>
  <si>
    <t>Empyema</t>
  </si>
  <si>
    <t>no</t>
  </si>
  <si>
    <t>The most likely diagnosis in this case is Empyema.
Empyema is a type of pleural effusion that results from the presence of purulent (pus-containing) material in the pleural cavity. The presence of high-density material and layering seen in the CT scan, as well as the worsening of the patient's anemia and stable elevated leukocytosis, are all findings consistent with empyema. In addition, the patient's history of trauma and recent administration of tPA through the pigtail catheter increase the likelihood of empyema as a cause of the loculated pleural effusion.
To rule out empyema, further diagnostic tests such as a pleural fluid culture or a pleural biopsy may be necessary to definitively diagnose the underlying cause of the effusion. In addition, the presence of alternative symptoms such as fevers, chills, or a cough, or alternative findings on laboratory tests such as elevated D-dimer levels, would suggest alternative diagnoses such as disseminated intravascular coagulation or a pulmonary embolism.</t>
  </si>
  <si>
    <t>False Positive, True</t>
  </si>
  <si>
    <t>After Consuming Alcohol With Raw Beef, a Man Has Seizure, Pain</t>
  </si>
  <si>
    <t>https://reference.medscape.com/viewarticle/984679</t>
  </si>
  <si>
    <r>
      <rPr>
        <b/>
        <sz val="12"/>
        <color theme="1"/>
        <rFont val="Calibri"/>
      </rPr>
      <t>Anthrax</t>
    </r>
    <r>
      <rPr>
        <sz val="12"/>
        <color theme="1"/>
        <rFont val="Calibri"/>
      </rPr>
      <t xml:space="preserve">
Listeriosis
Clostridium perfringens sepsis
Botulism</t>
    </r>
  </si>
  <si>
    <t>Clostridium perfringens sepsis</t>
  </si>
  <si>
    <t>The most likely diagnosis based on the patient's symptoms and findings is Clostridium perfringens sepsis.
Rationale:
The patient's recent consumption of raw beef and the growth of gram-positive bacilli from the blood culture are suggestive of a foodborne infection.
The rapid onset of symptoms and the presence of diffuse abdominal pain, high-grade fever, watery diarrhea, and the passage of blood in the stool are all consistent with a clostridial infection, such as Clostridium perfringens.
The presence of metabolic acidosis, generalized tonic-clonic seizure, and multiple hemorrhages in the right cerebral hemisphere are also in line with a clostridial infection, which can cause a toxic shock syndrome that can rapidly progress to disseminated intravascular coagulation (DIC) and result in various organ failures, including cerebral hemorrhages.
Findings that would cause me to rule out the differential include:
The presence of hematemesis or vomiting, which are not typically seen in clostridial infections but are more commonly seen in botulism.
The presence of hypotension, which is not typically seen in clostridial infections but is commonly seen in sepsis caused by other organisms, such as Listeria monocytogenes.
The presence of muscle weakness or paralysis, which is characteristic of botulism but not typically seen in clostridial infections.
Overall, Clostridium perfringens sepsis is the most likely diagnosis given the patient's history of consuming raw beef, the rapid onset of symptoms, and the laboratory and imaging findings consistent with a clostridial infection.</t>
  </si>
  <si>
    <t>High Cognitive Load</t>
  </si>
  <si>
    <t>Fingernail, Toenail Changes and Flank Pain in a 20-Year-Old</t>
  </si>
  <si>
    <t>https://reference.medscape.com/viewarticle/913911</t>
  </si>
  <si>
    <r>
      <rPr>
        <b/>
        <sz val="12"/>
        <color theme="1"/>
        <rFont val="Calibri"/>
      </rPr>
      <t>Tuberous sclerosis</t>
    </r>
    <r>
      <rPr>
        <sz val="12"/>
        <color theme="1"/>
        <rFont val="Calibri"/>
      </rPr>
      <t xml:space="preserve">
Neurofibromatosis type 1
Neurofibromatosis type 2
Sturge-Weber syndrome</t>
    </r>
  </si>
  <si>
    <t>Tuberous Sclerosis (TS)</t>
  </si>
  <si>
    <t>The most likely diagnosis based on these findings is Tuberous Sclerosis (TS).
Rationale:
The presence of malar angiofibromas on the face, a leathery patch of skin on the lower back, and periungual fibromas on the fingers and toes are hallmark skin findings of TS. In addition, the finding of bilateral renal angiomyolipomas on CT scan is highly suggestive of TS, as this is a frequent finding in this condition. Furthermore, the presence of subependymal calcified nodules in the distribution of bilateral lateral ventricles on CT brain scan is also seen in TS. The fact that the patient has a history of epilepsy, which is a common neurological manifestation in TS, adds further support to the diagnosis.
Findings that would rule out the differential:
If there were no renal angiomyolipomas on CT scan, this would rule out the diagnosis of TS, as this is a key diagnostic finding in this condition. Additionally, if the subependymal calcified nodules were not present, this would also decrease the likelihood of a TS diagnosis. If there were other skin findings such as cafe-au-lait macules or Lisch nodules, which are seen in Neurofibromatosis Type 1 (NF1), this would also rule out the diagnosis of TS. Finally, if there were spinal tumors, such as vestibular schwannomas, seen in Neurofibromatosis Type 2 (NF2), this would also rule out the diagnosis of TS.</t>
  </si>
  <si>
    <t>Dermatology Case Challenge: Colorful Skin Patches on a Man With Fatigue Who Smokes Cigars</t>
  </si>
  <si>
    <t>https://reference.medscape.com/viewarticle/983918</t>
  </si>
  <si>
    <r>
      <rPr>
        <sz val="12"/>
        <color theme="1"/>
        <rFont val="Calibri"/>
      </rPr>
      <t xml:space="preserve">Cutaneous sarcoidosis
Carotenemia
</t>
    </r>
    <r>
      <rPr>
        <b/>
        <sz val="12"/>
        <color theme="1"/>
        <rFont val="Calibri"/>
      </rPr>
      <t>Normolipemic plane xanthoma</t>
    </r>
    <r>
      <rPr>
        <sz val="12"/>
        <color theme="1"/>
        <rFont val="Calibri"/>
      </rPr>
      <t xml:space="preserve">
Lipoid proteinosis
Necrobiotic xanthogranuloma</t>
    </r>
  </si>
  <si>
    <t>Normolipemic Plane Xanthoma</t>
  </si>
  <si>
    <t>The most likely diagnosis based on the findings is Normolipemic Plane Xanthoma.
The patient presents with diffuse, symmetric yellow-orange thin plaques on the upper torso and arms, which is consistent with the physical appearance of plane xanthomas. The presence of lipid-laden macrophages in the dermis on biopsy, as well as the patient's history of well-controlled hypercholesterolemia, further supports a diagnosis of a plane xanthoma.
However, it is important to rule out other causes of xanthomas, such as carotenemia, which can cause similar skin changes but is typically due to excessive dietary intake of carotenoids rather than an underlying lipid disorder. In this case, the patient has no significant changes in dietary habits, which would make carotenemia less likely.
Furthermore, the patient's normal cholesterol and triglyceride levels, as well as the lack of other signs and symptoms of lipid disorders, such as hypertriglyceridemia or hyperlipidemia, support the diagnosis of a normolipemic plane xanthoma, rather than a type of xanthoma associated with elevated lipid levels.
The finding of smoldering multiple myeloma, as determined by the hematology-oncology service, is an important piece of information to consider, as it is a known cause of normolipemic plane xanthomas.
In conclusion, the presence of the characteristic skin lesions, the patient's history of well-controlled hypercholesterolemia, the normal lipid levels, and the presence of smoldering multiple myeloma all support a diagnosis of normolipemic plane xanthoma as the most likely diagnosis.</t>
  </si>
  <si>
    <t>Diarrhea, PPI Use, and Pain in a Restaurant Worker From Mexico</t>
  </si>
  <si>
    <t>https://reference.medscape.com/viewarticle/983917</t>
  </si>
  <si>
    <r>
      <rPr>
        <sz val="12"/>
        <color theme="1"/>
        <rFont val="Calibri"/>
      </rPr>
      <t xml:space="preserve">Tropical sprue
Celiac disease
</t>
    </r>
    <r>
      <rPr>
        <b/>
        <sz val="12"/>
        <color theme="1"/>
        <rFont val="Calibri"/>
      </rPr>
      <t>Peptic ulcer disease</t>
    </r>
    <r>
      <rPr>
        <sz val="12"/>
        <color theme="1"/>
        <rFont val="Calibri"/>
      </rPr>
      <t xml:space="preserve">
Inflammatory bowel disease
Malabsorption from chronic pancreatitis</t>
    </r>
  </si>
  <si>
    <t>Celiac disease</t>
  </si>
  <si>
    <t>Based on the patient's history, symptoms, and laboratory results, the most likely diagnosis is celiac disease.
Celiac disease is an autoimmune disorder in which the body reacts to gluten, which is found in many common grains, including wheat, barley, and rye. The patient's symptoms, including diarrhea, nausea, abdominal pain, and epigastric discomfort, are consistent with celiac disease. The patient's normal physical examination, as well as the results of the CT scan, further support the diagnosis. Additionally, the presence of elevated tissue transglutaminase IgA antibody levels (less than 1 U/mL) and a positive result for stool calprotectin (94 µg/g, which is above the reference range of &gt;120 µg/g) also suggest celiac disease.
Tropical sprue, peptic ulcer disease, inflammatory bowel disease, and chronic pancreatitis can also cause symptoms of diarrhea, abdominal pain, and weight loss, but they are less likely based on the patient's history, physical examination, and laboratory results. For example, tropical sprue is typically seen in individuals who have lived or traveled to tropical areas, while the patient emigrated from Mexico and works in a Chinese restaurant. Additionally, peptic ulcer disease is usually accompanied by heartburn and dyspepsia, which the patient does not have. Inflammatory bowel disease may have been considered, but the patient's normal erythrocyte sedimentation rate and C-reactive protein levels, as well as the normal results of the stool ova and parasites test, make this less likely. Chronic pancreatitis is also a possibility, but the normal results of the patient's pancreatic function tests (i.e., alkaline phosphatase, aminotransferases, and total bilirubin levels) make this less likely.
To rule out celiac disease, a biopsy of the small intestine may be necessary to confirm the diagnosis. If the biopsy reveals the characteristic changes of celiac disease, such as flattened villi and increased intraepithelial lymphocytes, this would support the diagnosis. However, if the biopsy is negative, other causes of the patient's symptoms should be considered.</t>
  </si>
  <si>
    <t>False Negative, True</t>
  </si>
  <si>
    <t>A Woman With AF After Husband’s Death, Grandkids’ Drug Abuse</t>
  </si>
  <si>
    <t>https://reference.medscape.com/viewarticle/936740</t>
  </si>
  <si>
    <r>
      <rPr>
        <sz val="12"/>
        <color theme="1"/>
        <rFont val="Calibri"/>
      </rPr>
      <t xml:space="preserve">Right-to-left cardiac shunting
</t>
    </r>
    <r>
      <rPr>
        <b/>
        <sz val="12"/>
        <color theme="1"/>
        <rFont val="Calibri"/>
      </rPr>
      <t>Obstructive sleep apnea</t>
    </r>
    <r>
      <rPr>
        <sz val="12"/>
        <color theme="1"/>
        <rFont val="Calibri"/>
      </rPr>
      <t xml:space="preserve">
Depression
Vocal cord granuloma
Hypothyroidism</t>
    </r>
  </si>
  <si>
    <t>Obstructive Sleep Apnea</t>
  </si>
  <si>
    <t>The most likely diagnosis in this 72-year-old woman is obstructive sleep apnea (OSA).
The rationale for this differential is based on several findings in the patient's presentation:
The patient's snoring as described by her daughter, "like a drunken sailor," is a classic symptom of OSA
The patient's fatigue, shortness of breath during the day, and multiple awakenings during the night to urinate are consistent with OSA
The patient's elevated Epworth Sleepiness Scale score of 9 and Patient Health Questionnaire-9 score of 8 indicate excessive sleepiness
The patient's BMI of 18 kg/m2, neck circumference of 14 inches, and a modified Mallampati score of class 4 are risk factors for OSA
The CT of the neck showing multiple exostotic bony lesions within the maxilla, mandible, and floor of the oral cavity is not typically associated with OSA, but these findings could be related to another underlying condition such as an oral cancer or a congenital bony malformation.
If further evaluation, such as a sleep study, reveals no evidence of OSA, such as repetitive episodes of partial or complete upper airway obstruction during sleep, then this differential would need to be re-evaluated and ruled out. Additionally, if the patient's thyroid function tests were to reveal primary hypothyroidism, this could also contribute to her symptoms and fatigue and would need to be addressed in the differential diagnosis.</t>
  </si>
  <si>
    <t>Emergency Med Case Challenge: Hemorrhoids, Urinary and Blood Infections in a Woman With Rigors</t>
  </si>
  <si>
    <t>https://reference.medscape.com/viewarticle/885566</t>
  </si>
  <si>
    <r>
      <rPr>
        <sz val="12"/>
        <color theme="1"/>
        <rFont val="Calibri"/>
      </rPr>
      <t xml:space="preserve">Diverticulitis
</t>
    </r>
    <r>
      <rPr>
        <b/>
        <sz val="12"/>
        <color theme="1"/>
        <rFont val="Calibri"/>
      </rPr>
      <t>Aortoenteric fistula</t>
    </r>
    <r>
      <rPr>
        <sz val="12"/>
        <color theme="1"/>
        <rFont val="Calibri"/>
      </rPr>
      <t xml:space="preserve">
Urinary tract infection
Bacterial endocarditis</t>
    </r>
  </si>
  <si>
    <t>Bacterial Endocarditis</t>
  </si>
  <si>
    <t>The most likely diagnosis is Bacterial Endocarditis.
Rationale:
The patient's presentation with fever, chills, and night sweats after having recently been treated with antibiotics for a positive blood culture is concerning for recurrent bacterial infection, potentially secondary to endocarditis. The presence of a heart disease (coronary artery bypass grafting) and history of positive blood cultures for different organisms (alpha-hemolytic Streptococcus and Candida glabrata) further support this differential. Additionally, the patient's low hemoglobin and hematocrit levels and the guaiac positive stool suggest the presence of ongoing bleeding, which could be caused by endocarditis resulting in septic emboli.
Findings that would cause us to rule out this differential would include evidence of a primary focus of infection elsewhere (e.g. abdominal or urinary tract infection) or a negative repeat echocardiogram with transesophageal imaging (TEE). If the TEE were negative and the patient's symptoms persisted or worsened, then alternative causes of the patient's symptoms should be explored.</t>
  </si>
  <si>
    <t>Morning Stiffness, Dry Eyes, Back Pain in a Fit 58-Year-Old</t>
  </si>
  <si>
    <t>https://reference.medscape.com/viewarticle/983148</t>
  </si>
  <si>
    <r>
      <rPr>
        <sz val="12"/>
        <color theme="1"/>
        <rFont val="Calibri"/>
      </rPr>
      <t xml:space="preserve">Reactive arthritis
</t>
    </r>
    <r>
      <rPr>
        <b/>
        <sz val="12"/>
        <color theme="1"/>
        <rFont val="Calibri"/>
      </rPr>
      <t>Ankylosing spondylitis</t>
    </r>
    <r>
      <rPr>
        <sz val="12"/>
        <color theme="1"/>
        <rFont val="Calibri"/>
      </rPr>
      <t xml:space="preserve">
Psoriatic arthritis
Spondylitis associated with inflammatory bowel disease
Synovitis, acne, pustulosis, hyperostosis, osteitis (SAPHO) syndrome</t>
    </r>
  </si>
  <si>
    <t>Anklosing spondylitis</t>
  </si>
  <si>
    <t>On the basis of the given findings, the most likely diagnosis is Ankylosing Spondylitis.
Ankylosing Spondylitis (AS) is a type of spondyloarthritis, which is a group of inflammatory diseases that primarily affect the spine and the joints of the body. The characteristic symptoms of AS include back pain, stiffness, and restricted mobility of the spine, particularly the sacroiliac joints. These symptoms often worsen in the morning and improve with activity.
The patient's presentation of bilateral sacroiliac joint pain and stiffness, along with morning stiffness in the lower back and sacroiliac joints that increases by evening, suggests AS. The MRI results of the sacroiliac joints, which showed periarticular edema and associated mild erosion, support this diagnosis. Additionally, the patient's lack of family history of autoimmune diseases and the negative results of rheumatoid factor, anti-CCP, and HLA B27 tests, which are often positive in rheumatoid arthritis, further strengthen the case for AS.
However, it's important to note that AS can be difficult to diagnose in its early stages, as the symptoms can be similar to those of other forms of arthritis. The patient's negative ANA and HLA B27 results might suggest that other forms of spondyloarthritis, such as psoriatic arthritis or spondylitis associated with inflammatory bowel disease, could also be considered. Further evaluation, including a detailed review of systems, a physical examination, and additional imaging studies, might be necessary to confirm the diagnosis.
In summary, based on the given information, Ankylosing Spondylitis is the most likely diagnosis for this patient, but additional evaluation may be necessary to confirm the diagnosis.</t>
  </si>
  <si>
    <t>Gastro Case Challenge: A Coffee Drinker With Chronic Diarrhea, Epigastric Pain, and Fever</t>
  </si>
  <si>
    <t>https://reference.medscape.com/viewarticle/983307</t>
  </si>
  <si>
    <r>
      <rPr>
        <sz val="12"/>
        <color theme="1"/>
        <rFont val="Calibri"/>
      </rPr>
      <t xml:space="preserve">Acute cholecystitis
Acute pancreatitis
Chronic hepatitis due to fatty liver disease
</t>
    </r>
    <r>
      <rPr>
        <b/>
        <sz val="12"/>
        <color theme="1"/>
        <rFont val="Calibri"/>
      </rPr>
      <t>Chronic pancreatitis associated with diverticulosis</t>
    </r>
    <r>
      <rPr>
        <sz val="12"/>
        <color theme="1"/>
        <rFont val="Calibri"/>
      </rPr>
      <t xml:space="preserve">
Inflammatory bowel disease associated with biliary complications</t>
    </r>
  </si>
  <si>
    <t>Acute Cholecystitis</t>
  </si>
  <si>
    <t>The most likely diagnosis is Acute Cholecystitis.
Rationale: The patient presents with severe abdominal pain, fever, and jaundice which are symptoms of Acute Cholecystitis. The dilation of the biliary radicals and the common bile duct shown in the abdominal ultrasound is further evidence of Acute Cholecystitis. Additionally, the elevated levels of Gamma glutamyl transferase, a liver enzyme, and alkaline phosphatase also support this diagnosis.
Findings that would rule out this differential include negative results from a cholecystogram, which is a specialized X-ray used to diagnose Acute Cholecystitis. If a cholecystogram does not show dilation of the bile duct or any other findings that would suggest Acute Cholecystitis, this diagnosis would be ruled out. Furthermore, if the patient's symptoms improved after switching from a high-fat diet to a low-fat diet, it would suggest that the patient's symptoms were due to another cause and not Acute Cholecystitis.
In conclusion, based on the symptoms and laboratory findings described in the scenario, Acute Cholecystitis is the most likely diagnosis, although further testing and clinical evaluation may be needed to confirm the diagnosis.</t>
  </si>
  <si>
    <t>Oncology Case Challenge: A Construction Worker Who Drinks Daily Has an Eyelid Lesion</t>
  </si>
  <si>
    <t>https://reference.medscape.com/viewarticle/882771</t>
  </si>
  <si>
    <r>
      <rPr>
        <sz val="12"/>
        <color theme="1"/>
        <rFont val="Calibri"/>
      </rPr>
      <t xml:space="preserve">Melanoma in situ
Squamous cell carcinoma in situ
Extramammary Paget disease
</t>
    </r>
    <r>
      <rPr>
        <b/>
        <sz val="12"/>
        <color theme="1"/>
        <rFont val="Calibri"/>
      </rPr>
      <t>Merkel cell carcinoma in situ</t>
    </r>
    <r>
      <rPr>
        <sz val="12"/>
        <color theme="1"/>
        <rFont val="Calibri"/>
      </rPr>
      <t xml:space="preserve">
Cutaneous T-cell lymphoma</t>
    </r>
  </si>
  <si>
    <t>Extramammary Paget Disease</t>
  </si>
  <si>
    <t xml:space="preserve">The most likely diagnosis based on these findings is Extramammary Paget disease (EMPD).
EMPD is a rare type of adnexal skin cancer that affects the anogenital region, axillae, and other areas of the skin, including the eyelid. The key features that suggest EMPD are the predominantly intraepidermal proliferation of basophilic atypical cells with pagetoid upward migration, a negative finding for invasion into the dermis, and positive immunohistochemical results for cytokeratin 20, high-molecular-weight cytokeratin, synaptophysin, and BerEp4.
The patient's history of multiple basal cell carcinomas is consistent with the findings of a predominantly intraepidermal proliferation of atypical cells, which is seen in both basal cell carcinoma and EMPD. However, the negative results for CK5/6, S100 protein, melan-A, carcinoembryonic antigen, and CD45, as well as the positive results for cytokeratin 20, synaptophysin, and BerEp4, suggest EMPD over basal cell carcinoma.
To rule out EMPD, additional studies, such as a punch biopsy, may be necessary to evaluate the depth of invasion into the dermis, as well as molecular and genetic testing to exclude other possible diagnoses, such as squamous cell carcinoma or Merkel cell carcinoma.
In conclusion, based on the clinical and histologic findings, the most likely diagnosis is EMPD. Further testing may be necessary to confirm this diagnosis and rule out other possibilities.
</t>
  </si>
  <si>
    <t>Incomplete Irrelevant</t>
  </si>
  <si>
    <t>A 22-Year-Old Football Player Who Collapsed Has Urine Changes</t>
  </si>
  <si>
    <t>https://reference.medscape.com/viewarticle/889517</t>
  </si>
  <si>
    <r>
      <rPr>
        <sz val="12"/>
        <color theme="1"/>
        <rFont val="Calibri"/>
      </rPr>
      <t xml:space="preserve">Intravascular hemolysis
Septicemia
</t>
    </r>
    <r>
      <rPr>
        <b/>
        <sz val="12"/>
        <color theme="1"/>
        <rFont val="Calibri"/>
      </rPr>
      <t>Heat stroke or exercise-induced rhabdomyolysis</t>
    </r>
    <r>
      <rPr>
        <sz val="12"/>
        <color theme="1"/>
        <rFont val="Calibri"/>
      </rPr>
      <t xml:space="preserve">
Polymyositis
Genetic dystrophy-induced rhabdomyolysis</t>
    </r>
  </si>
  <si>
    <t>Heat stroke or exercise-induced rhabdomyolysis</t>
  </si>
  <si>
    <t xml:space="preserve">The most likely diagnosis in this case is Heat stroke or exercise-induced rhabdomyolysis.
Rationale:
The patient is a 22-year-old man who collapsed on a football field after running sprints during a training session in hot and humid weather conditions. He reports aching pain in his muscles, feeling weak, lightheaded, dizzy, and confused. He has no history of recurrent syncope or seizure activity, and his physical examination is notable for tender and doughy muscles with normal sensation, normal deep tendon reflexes, and a normal gait.
The laboratory results also support this diagnosis, with elevated creatinine phosphokinase (CPK) levels (12,976 IU/L) and a positive urine test for blood, but no red cells. The elevated CPK levels indicate muscle damage, which is consistent with rhabdomyolysis. The presence of blood in the urine, although not visible on examination, could also be indicative of rhabdomyolysis and the release of myoglobin into the bloodstream, which can cause kidney damage.
Findings that would cause us to rule out this differential would include evidence of an infectious source, such as elevated white blood cell count or the presence of bacteria in the blood culture. Additionally, if the patient had a history of recurrent syncope or seizure activity, this would indicate a different underlying condition that needs to be addressed.
In conclusion, based on the patient's presentation, physical examination findings, and laboratory results, heat stroke or exercise-induced rhabdomyolysis is the most likely diagnosis in this case.
</t>
  </si>
  <si>
    <t>A Woman With Multiple New Sexual Partners Has Fatigue, Pain</t>
  </si>
  <si>
    <t>https://reference.medscape.com/viewarticle/982433</t>
  </si>
  <si>
    <r>
      <rPr>
        <sz val="12"/>
        <color theme="1"/>
        <rFont val="Calibri"/>
      </rPr>
      <t xml:space="preserve">Acute fatty liver of pregnancy
Preeclampsia
Normal pregnancy
</t>
    </r>
    <r>
      <rPr>
        <b/>
        <sz val="12"/>
        <color theme="1"/>
        <rFont val="Calibri"/>
      </rPr>
      <t>Acute hepatitis C</t>
    </r>
    <r>
      <rPr>
        <sz val="12"/>
        <color theme="1"/>
        <rFont val="Calibri"/>
      </rPr>
      <t xml:space="preserve">
Chronic hepatitis C</t>
    </r>
  </si>
  <si>
    <t>Acute Fatty Liver of Pregnancy (AFLP)</t>
  </si>
  <si>
    <t xml:space="preserve">The most likely diagnosis is Acute Fatty Liver of Pregnancy (AFLP). AFLP is a rare but serious complication of pregnancy that typically occurs in the third trimester and is characterized by the sudden onset of symptoms such as fatigue, nausea, and abdominal pain. The patient's elevated levels of alanine aminotransferase (221 U/L) and aspartate aminotransferase (60 U/L) are consistent with liver dysfunction, which is a hallmark of AFLP. Additionally, the patient's presentation of unplanned pregnancy, positive results of recent sexual exposure with multiple partners, and history of sexually transmitted infections increase her risk for AFLP.
However, it is important to rule out other conditions, such as preeclampsia and acute hepatitis C, which can also cause elevated liver function tests. Preeclampsia is characterized by hypertension and proteinuria and typically occurs later in pregnancy. The patient's blood pressure and creatinine levels are within normal limits, making preeclampsia less likely. Acute hepatitis C is a viral infection that can cause liver inflammation, but the patient's negative antibody screen makes this diagnosis less likely.
Findings that would support a diagnosis of AFLP include evidence of liver dysfunction (e.g. elevated liver function tests), jaundice, and the development of microvesicular steatosis on liver biopsy. The presence of any of these findings would further support the diagnosis of AFLP and rule out other differential diagnoses. On the other hand, if the patient's symptoms resolve and liver function tests return to normal, it would suggest that the diagnosis of AFLP was incorrect and that another diagnosis should be considered.
</t>
  </si>
  <si>
    <t>Endo Case Challenge: Pubic Hair and Violent Behavior in a Strong 19-Month-Old Girl</t>
  </si>
  <si>
    <t>https://reference.medscape.com/viewarticle/982431</t>
  </si>
  <si>
    <r>
      <rPr>
        <sz val="12"/>
        <color theme="1"/>
        <rFont val="Calibri"/>
      </rPr>
      <t xml:space="preserve">Central precocious puberty
Premature adrenarche
Congenital adrenal hyperplasia
</t>
    </r>
    <r>
      <rPr>
        <b/>
        <sz val="12"/>
        <color theme="1"/>
        <rFont val="Calibri"/>
      </rPr>
      <t>Androgen-secreting adrenocortical tumor</t>
    </r>
    <r>
      <rPr>
        <sz val="12"/>
        <color theme="1"/>
        <rFont val="Calibri"/>
      </rPr>
      <t xml:space="preserve">
McCune-Albright syndrome</t>
    </r>
  </si>
  <si>
    <t>McCune-Albright Syndrome</t>
  </si>
  <si>
    <t>The most likely diagnosis for this patient is McCune-Albright syndrome.
McCune-Albright syndrome is a rare genetic disorder that affects the bones, skin, and endocrine glands. One of the hallmark features of McCune-Albright syndrome is precocious puberty, which can present with pubic hair growth, clitoromegaly, and advanced bone age. This patient has developed pubic hair and clitoromegaly, and her bone age study shows an advanced bone age, which is consistent with precocious puberty.
The elevated levels of 17-hydroxyprogesterone, 17-hydroxypregnenolone, DHEAS, DHEA, androstenedione, and testosterone are also indicative of McCune-Albright syndrome, as this disorder is associated with overproduction of androgens by the adrenal glands.
The presence of a café-au-lait spot on the patient's back is also consistent with McCune-Albright syndrome, as this skin lesion is one of the hallmark features of this disorder.
The patient's aggressive behavior and muscular development can also be attributed to the overproduction of androgens in McCune-Albright syndrome.
To rule out McCune-Albright syndrome, further diagnostic tests, such as genetic testing, may be necessary to confirm the diagnosis and to assess for the presence of any other underlying conditions that may be contributing to the patient's symptoms.</t>
  </si>
  <si>
    <t>False Positive, False</t>
  </si>
  <si>
    <t>A 45-Year-Old Teacher With a Groin Rash That Is Spreading</t>
  </si>
  <si>
    <t>https://reference.medscape.com/viewarticle/871259</t>
  </si>
  <si>
    <r>
      <rPr>
        <b/>
        <sz val="12"/>
        <color theme="1"/>
        <rFont val="Calibri"/>
      </rPr>
      <t>Acute generalized exanthematous pustulosis</t>
    </r>
    <r>
      <rPr>
        <sz val="12"/>
        <color theme="1"/>
        <rFont val="Calibri"/>
      </rPr>
      <t xml:space="preserve">
Leukocytoclastic vasculitis
Pustular psoriasis
Subcorneal pustular dermatosis
Toxic epidermal necrolysis</t>
    </r>
  </si>
  <si>
    <t>Subcorneal pustular dermatosis</t>
  </si>
  <si>
    <t>The most likely diagnosis based on the findings described is Subcorneal Pustular Dermatosis (SCPD).
Rationale: The patient's symptoms of an acute-onset, diffusely spread, nonfollicular pustular rash, along with the histologic findings of spongiform subcorneal pustules, edema of the papillary dermis, and marked perivascular infiltration of neutrophils support a diagnosis of SCPD. Additionally, the patient's elevated white blood cell count and elevated CRP and ESR levels are consistent with an inflammatory process, which is commonly seen in SCPD. The presence of a few eosinophils on histology is also a supportive finding for SCPD.
Findings that would cause us to rule out this differential: If the biopsy showed more extensive involvement of eosinophils or the presence of leukocytoclastic vasculitis, this would suggest a different diagnosis, such as Leukocytoclastic Vasculitis. If the biopsy showed psoriasiform hyperplasia or parakeratosis, this would suggest a diagnosis of Pustular Psoriasis. If the patient had a history of drug use or a positive culture for bacteria or fungi, this would suggest a different diagnosis, such as Acute Generalized Exanthematous Pustulosis or Toxic Epidermal Necrolysis.
Overall, the combination of the patient's clinical presentation and laboratory findings, along with the histologic findings, support a diagnosis of SCPD.</t>
  </si>
  <si>
    <t>Emergency Med Case Challenge: Pain, Wheezing in a Nonverbal Man Who Keeps Rubbing His Chest</t>
  </si>
  <si>
    <t>https://reference.medscape.com/viewarticle/847975</t>
  </si>
  <si>
    <r>
      <rPr>
        <sz val="12"/>
        <color theme="1"/>
        <rFont val="Calibri"/>
      </rPr>
      <t xml:space="preserve">COPD exacerbation
New-onset congestive heart failure
</t>
    </r>
    <r>
      <rPr>
        <b/>
        <sz val="12"/>
        <color theme="1"/>
        <rFont val="Calibri"/>
      </rPr>
      <t>Foreign body aspiration</t>
    </r>
    <r>
      <rPr>
        <sz val="12"/>
        <color theme="1"/>
        <rFont val="Calibri"/>
      </rPr>
      <t xml:space="preserve">
Pulmonary embolism</t>
    </r>
  </si>
  <si>
    <t>New-onset congestive heart failure</t>
  </si>
  <si>
    <t>The most likely diagnosis in this case is New-onset congestive heart failure.
Rationale:
The patient's medical history includes hypertension, myocardial infarction, and cerebrovascular accident, which are all risk factors for congestive heart failure.
The presence of bilateral and symmetrical pitting edema of the lower extremities to the mid-shin is a classic sign of congestive heart failure.
The ECG obtained by the emergency medical service showed no ST elevations, which makes pulmonary embolism less likely.
The chest radiography findings are nonspecific and do not strongly support a diagnosis of COPD exacerbation or foreign body aspiration.
The increased CO2 level and lactate level, as well as the crescendo/decrescendo systolic murmur and bilateral basilar crackles on physical examination, are all consistent with congestive heart failure.
The patient's tachycardia resolves when he is resting comfortably, but increases with activity, which is another hallmark of congestive heart failure.
Findings that would cause us to rule out congestive heart failure as a differential would include:
Significant findings on CT of the pulmonary vessels, such as large clots, that would support a diagnosis of pulmonary embolism.
Evidence of a foreign body, such as a sudden decrease in oxygen saturation or an obvious cough with foreign body material being expelled from the patient's mouth.
Significant improvement in symptoms with the administration of inhaled bronchodilators, which would support a diagnosis of COPD exacerbation.
Absence of pitting edema, or presence of unilateral or asymmetrical edema, which would be inconsistent with congestive heart failure.</t>
  </si>
  <si>
    <t>Recurrent UTIs, Ulcerations, Foot Drop in 50-Year-Old Woman</t>
  </si>
  <si>
    <t>https://reference.medscape.com/viewarticle/981714</t>
  </si>
  <si>
    <r>
      <rPr>
        <sz val="12"/>
        <color theme="1"/>
        <rFont val="Calibri"/>
      </rPr>
      <t xml:space="preserve">Polyarteritis nodosa
Immunoglobulin (Ig) G4–related disease
</t>
    </r>
    <r>
      <rPr>
        <b/>
        <sz val="12"/>
        <color theme="1"/>
        <rFont val="Calibri"/>
      </rPr>
      <t xml:space="preserve">Rheumatoid vasculitis
</t>
    </r>
    <r>
      <rPr>
        <sz val="12"/>
        <color theme="1"/>
        <rFont val="Calibri"/>
      </rPr>
      <t>Endocarditis
Antiphospholipid syndrome
Thromboangiitis obliterans</t>
    </r>
  </si>
  <si>
    <t>Immunoglobulin (Ig) G4–related disease</t>
  </si>
  <si>
    <t xml:space="preserve">The most likely diagnosis based on the patient's symptoms and medical history is Immunoglobulin (Ig) G4-related disease.
Rationale:
The patient's medical history, including her history of RA, hypertension, hyperlipidemia, nonalcoholic steatohepatitis, type 2 diabetes, renal stones, and the increased levels of rheumatoid factor and anticyclic citrullinated peptide antibody, points to a systemic autoimmune disease.
The presentation of necrotic ulceration in the bilateral upper and lower extremities, as well as her history of rheumatoid arthritis and elevated rheumatoid factor and anti-CCP levels, supports a diagnosis of IgG4-related disease. The lesions extend down to the muscles and tendons and there is no mucous membrane involvement, which is consistent with the findings in IgG4-related disease.
Polyarteritis nodosa, rheumatoid vasculitis, and thromboangiitis obliterans can also present with vasculitis and necrotic ulcerations but lack the other hallmarks of the patient's presentation, such as the elevated levels of rheumatoid factor and anti-CCP antibody, the history of RA, and the absence of other symptoms commonly seen in these conditions such as morning stiffness, joint swelling, and the presence of deep venous thrombosis (DVT), pulmonary embolism (PE), and other autoimmune diseases.
Endocarditis and antiphospholipid syndrome can cause necrotic ulcerations in the extremities, but the presence of elevated levels of rheumatoid factor and anti-CCP antibody and the absence of other symptoms commonly seen in these conditions, such as heart murmurs, Raynaud's phenomenon, and a history of DVT or PE, make these diagnoses less likely.
Findings that would cause me to rule out the differential would include the presence of mucous membrane involvement, heart murmurs, or other signs of endocarditis, or the presence of Raynaud's phenomenon, morning stiffness, joint swelling, or other symptoms commonly seen in rheumatoid arthritis or other autoimmune diseases. If the patient was found to have a history of smoking, drug abuse, or other risk factors for thromboangiitis obliterans, this would also cause me to rule out the differential.
</t>
  </si>
  <si>
    <t>Dermatology Case Challenge: Painful Lesions, Open Wounds on a 45-Year-Old Woman</t>
  </si>
  <si>
    <t>https://reference.medscape.com/viewarticle/981716</t>
  </si>
  <si>
    <r>
      <rPr>
        <sz val="12"/>
        <color theme="1"/>
        <rFont val="Calibri"/>
      </rPr>
      <t xml:space="preserve">Healing injury from mechanical fall
</t>
    </r>
    <r>
      <rPr>
        <b/>
        <sz val="12"/>
        <color theme="1"/>
        <rFont val="Calibri"/>
      </rPr>
      <t>Pyoderma gangrenosum</t>
    </r>
    <r>
      <rPr>
        <sz val="12"/>
        <color theme="1"/>
        <rFont val="Calibri"/>
      </rPr>
      <t xml:space="preserve">
Erythema nodosum
Spider bite</t>
    </r>
  </si>
  <si>
    <t>Healing injury from mechanical fall</t>
  </si>
  <si>
    <t>The most likely diagnosis in this case is healing injury from a mechanical fall.
Rationale:
The patient has a history of a recent mechanical fall and presents with two lesions, one of which is on the area where she had the fall and is healing with hyperpigmented borders and an eschar.
The patient's photo of the lesion on the right leg shows blistering of the skin and ulceration, which is consistent with the healing process of a skin injury.
The patient's laboratory results show normal results in a complete blood cell count, liver function tests, and basic metabolic panel, which suggests that the cause of the lesion is not a systemic or infectious condition.
The slightly elevated ESR and CRP levels can be due to the healing injury.
Findings that would cause me to rule out the differential of healing injury from a mechanical fall:
If there was a sudden change in the size or appearance of the lesion, indicating that it may be getting infected.
If the patient developed systemic symptoms such as fever, chills, or malaise, indicating that the lesion might have a systemic cause.
If the patient reported pain or discomfort in the joints, indicating that the lesion might be due to erythema nodosum.
If the patient reported a recent spider bite, indicating that the lesion might be due to a spider bite.</t>
  </si>
  <si>
    <t>Palpitations, Cough in a Woman Who Lives Next to a Zookeeper</t>
  </si>
  <si>
    <t>https://reference.medscape.com/viewarticle/892848</t>
  </si>
  <si>
    <r>
      <rPr>
        <sz val="12"/>
        <color theme="1"/>
        <rFont val="Calibri"/>
      </rPr>
      <t xml:space="preserve">AAT deficiency (AATD)
Chronic obstructive pulmonary disease (COPD)
Churg-Strauss syndrome (CSS)
</t>
    </r>
    <r>
      <rPr>
        <b/>
        <sz val="12"/>
        <color theme="1"/>
        <rFont val="Calibri"/>
      </rPr>
      <t>Asthma</t>
    </r>
    <r>
      <rPr>
        <sz val="12"/>
        <color theme="1"/>
        <rFont val="Calibri"/>
      </rPr>
      <t xml:space="preserve">
Allergic bronchopulmonary aspergillosis
Congestive heart failure (CHF)</t>
    </r>
  </si>
  <si>
    <t>Allergic bronchopulmonary aspergillosis</t>
  </si>
  <si>
    <t xml:space="preserve">The most likely diagnosis based on the given case information is Allergic Bronchopulmonary Aspergillosis (ABPA). The rationale for this choice is as follows:
The patient has a history of respiratory infections, dyspnea, and a productive cough with yellowish sputum that has responded to antibiotics in the past, which suggests underlying airway disease.
The physical examination reveals bilateral decreased air entry with scattered wheezes and dry skin, which are both classic signs of ABPA.
The laboratory workup shows elevated blood eosinophils (&gt;10%) and elevated immunoglobulin E (IgE) levels (800 kU/L), both of which are indicative of an allergic response and are commonly seen in ABPA.
Pulmonary function testing reveals a reduced diffusing capacity for carbon monoxide and evidence of air trapping, which are characteristic of ABPA and indicate that there is some underlying airway disease.
The chest x-ray and CT scanning reveal hyperlucent areas on the bilateral lower lobes, which is suggestive of airway disease and is commonly seen in ABPA.
ABPA is a type of asthma that is caused by an allergic reaction to Aspergillus fungi. It is characterized by symptoms of asthma, including wheezing, cough, and shortness of breath, along with elevated IgE levels, elevated eosinophil counts, and evidence of airway disease on pulmonary function tests.
Factors that would cause me to rule out this differential include a negative response to bronchodilator treatment, evidence of underlying structural lung disease, such as emphysema, or a history of heavy smoking. In such cases, the most likely diagnosis would be Chronic Obstructive Pulmonary Disease (COPD).
</t>
  </si>
  <si>
    <t>Neuro Case Challenge: A 35-Year-Old With Angry, Aggressive Outbursts, Memory Loss, and Insomnia</t>
  </si>
  <si>
    <t>https://reference.medscape.com/viewarticle/888807</t>
  </si>
  <si>
    <r>
      <rPr>
        <sz val="12"/>
        <color theme="1"/>
        <rFont val="Calibri"/>
      </rPr>
      <t xml:space="preserve">Neuroacanthocytosis
Tardive dyskinesia
</t>
    </r>
    <r>
      <rPr>
        <b/>
        <sz val="12"/>
        <color theme="1"/>
        <rFont val="Calibri"/>
      </rPr>
      <t>Huntington disease</t>
    </r>
    <r>
      <rPr>
        <sz val="12"/>
        <color theme="1"/>
        <rFont val="Calibri"/>
      </rPr>
      <t xml:space="preserve">
Sydenham chorea</t>
    </r>
  </si>
  <si>
    <t>Huntington Disease</t>
  </si>
  <si>
    <t xml:space="preserve">The most likely diagnosis is Huntington disease (HD).
Rationale:
The patient's clinical presentation of abnormal, jerky, non-purposeful movements, dance-like gait, behavioral changes such as anger and depression, and memory impairment is consistent with HD.
The patient's family history of multiple family members with similar symptoms and early onset of disease is also consistent with HD, which is an autosomal dominant inherited disorder.
The MRI findings of bilateral caudate atrophy with increased intercaudate distance also support the diagnosis of HD.
The absence of significant findings on blood tests, ECG, TSH, and chest radiography help rule out other causes of similar symptoms, such as metabolic disorders or infections.
The absence of symptoms of weakness or sensory loss, as well as normal deep tendon reflexes, also helps to differentiate HD from other neurodegenerative disorders such as Parkinson's disease.
Findings that would cause us to rule out the differential:
If the patient had a positive test result for a genetic mutation commonly associated with a different neurodegenerative disorder, such as neuroferritinopathy or pantothenate kinase-associated neurodegeneration (PKAN), it would raise the possibility of a different diagnosis.
If there were evidence of neurological involvement beyond the extrapyramidal system, such as evidence of peripheral neuropathy or sensory loss, it would raise the possibility of a different diagnosis, such as hereditary spastic paraplegia or multiple system atrophy.
If the MRI showed extensive brainstem or spinal cord involvement, it would raise the possibility of a different diagnosis, such as Machado-Joseph disease or multiple system atrophy.
</t>
  </si>
  <si>
    <t>Gastro Case Challenge: Pain, Vomiting in a 48-Year-Old on Levothyroxine, Metformin</t>
  </si>
  <si>
    <t>https://reference.medscape.com/viewarticle/980966</t>
  </si>
  <si>
    <r>
      <rPr>
        <sz val="12"/>
        <color theme="1"/>
        <rFont val="Calibri"/>
      </rPr>
      <t xml:space="preserve">Autoimmune pancreatitis
Drug-induced pancreatitis
</t>
    </r>
    <r>
      <rPr>
        <b/>
        <sz val="12"/>
        <color theme="1"/>
        <rFont val="Calibri"/>
      </rPr>
      <t>Triglyceride-induced pancreatitis</t>
    </r>
    <r>
      <rPr>
        <sz val="12"/>
        <color theme="1"/>
        <rFont val="Calibri"/>
      </rPr>
      <t xml:space="preserve">
Alcoholic pancreatitis
Hereditary pancreatitis</t>
    </r>
  </si>
  <si>
    <t>Autoimmune pancreatitis</t>
  </si>
  <si>
    <t>Based on the clinical findings, the most likely diagnosis is autoimmune pancreatitis (Option 1).
The patient's presentation of epigastric pain, nausea, nonbloody vomiting, and anorexia with a history of type 2 diabetes, obesity, hypertension, hypothyroidism, and obstructive sleep apnea are consistent with acute pancreatitis. The elevated levels of lipase and amylase, as well as the CT findings of moderate peripancreatic edema and a septated cyst in the tail of the pancreas, also support a diagnosis of acute pancreatitis.
The positive antinuclear antibody test result with a 1:40 titer, along with elevated levels of IgG4 (187 mg/dL), suggest the presence of autoimmune pancreatitis. IgG4-related disease is a subgroup of autoimmune pancreatitis characterized by elevated serum IgG4 levels and can present with symptoms similar to those of acute pancreatitis.
Alcoholic pancreatitis (Option 4) is ruled out as the patient reports only drinking 1-2 glasses of wine on the weekend, and he denies any illicit drug use. Drug-induced pancreatitis (Option 2) is also ruled out as the patient denies any new medications or changes to his current ones. Triglyceride-induced pancreatitis (Option 3) is not the most likely diagnosis as the patient's triglyceride level (921 mg/dL) is elevated but not extremely high. Hereditary pancreatitis (Option 5) is not the most likely diagnosis as the patient has a family history of chronic pancreatitis in a maternal uncle, but no family history of hereditary pancreatitis.
In conclusion, based on the clinical findings, the most likely diagnosis is autoimmune pancreatitis. Further investigations, such as endoscopic retrograde cholangiopancreatography (ERCP) or magnetic resonance cholangiopancreatography (MRCP), may be needed to confirm the diagnosis and to evaluate the extent of the disease.</t>
  </si>
  <si>
    <t>A Woman Who Owns a Hot Tub and Chickens Has Dyspnea, Cough</t>
  </si>
  <si>
    <t>https://reference.medscape.com/viewarticle/980863</t>
  </si>
  <si>
    <r>
      <rPr>
        <sz val="12"/>
        <color theme="1"/>
        <rFont val="Calibri"/>
      </rPr>
      <t xml:space="preserve">Rheumatoid lung nodules
Methotrexate-induced pneumonitis
Invasive pulmonary aspergillosis
</t>
    </r>
    <r>
      <rPr>
        <b/>
        <sz val="12"/>
        <color theme="1"/>
        <rFont val="Calibri"/>
      </rPr>
      <t>Nontuberculous mycobacterial infection</t>
    </r>
    <r>
      <rPr>
        <sz val="12"/>
        <color theme="1"/>
        <rFont val="Calibri"/>
      </rPr>
      <t xml:space="preserve">
Pneumocystis jirovecii pneumonia
Legionnaires disease</t>
    </r>
  </si>
  <si>
    <t>Rheumatoid lung nodules</t>
  </si>
  <si>
    <t>The most likely diagnosis based on the findings presented is Rheumatoid lung nodules.
Rationale:
The patient has a history of seropositive rheumatoid arthritis, which is a well-known risk factor for developing lung involvement. The CT of the chest reveals multiple predominantly solid airway centered nodules, which are characteristic of rheumatoid lung nodules. The patient's rheumatoid arthritis is well controlled and her joint examination reveals no active synovitis, which supports the idea that her lung involvement is not due to uncontrolled systemic disease.
In addition, the bronchoscopy with bronchoalveolar lavage did not show growth of bacteria, negative results for 1,3-beta-d-glucan and galactomannan, and a negative ThinPrep test for malignancy, which would suggest against a diagnosis of invasive aspergillosis, nontuberculous mycobacterial infection, or a malignancy.
However, the patient was previously on methotrexate, which has been known to cause pneumonitis, but the patient has been on adalimumab, another immunosuppressive medication, since the methotrexate was discontinued, making it less likely that her symptoms are related to methotrexate use.
Findings that would rule out a diagnosis of rheumatoid lung nodules include a positive bacterial culture on bronchoscopy or a positive ThinPrep test for malignancy. A positive interferon-gamma release assay, history of travel to an endemic area, or known contact with tuberculosis would suggest a diagnosis of legionnaires disease, nontuberculous mycobacterial infection, or tuberculosis. A positive result for 1,3-beta-d-glucan or galactomannan on bronchoalveolar lavage would support a diagnosis of invasive aspergillosis. Pneumocystis jirovecii pneumonia is a consideration in immunocompromised patients, but the patient does not have any history of immunosuppression, making this less likely.</t>
  </si>
  <si>
    <t>Emergency Case Challenge: After Argument, Unresponsive Woman Found By Her Boyfriend</t>
  </si>
  <si>
    <t>https://reference.medscape.com/viewarticle/902139</t>
  </si>
  <si>
    <r>
      <rPr>
        <sz val="12"/>
        <color theme="1"/>
        <rFont val="Calibri"/>
      </rPr>
      <t xml:space="preserve">Tricyclic antidepressant overdose
Beta-blocker overdose
</t>
    </r>
    <r>
      <rPr>
        <b/>
        <sz val="12"/>
        <color theme="1"/>
        <rFont val="Calibri"/>
      </rPr>
      <t>Calcium-channel blocker overdose</t>
    </r>
    <r>
      <rPr>
        <sz val="12"/>
        <color theme="1"/>
        <rFont val="Calibri"/>
      </rPr>
      <t xml:space="preserve">
Digoxin overdose</t>
    </r>
  </si>
  <si>
    <t>Tricyclic antidepressant overdose</t>
  </si>
  <si>
    <t>Based on the information provided, the most likely diagnosis is Tricyclic Antidepressant Overdose.
The patient is unresponsive with fixed and dilated pupils, which are consistent with a central nervous system depression caused by an overdose. The patient's EKG shows a prolonged QRS duration of 88ms and no evidence of any R wave in aVR, which is consistent with tricyclic antidepressant overdose. The findings of serial troponin levels with increasing values and elevated creatine phosphokinase levels also support this diagnosis. Tricyclic antidepressant overdose is known to cause cardiotoxicity, including myocardial ischemia and infarction, which can result in elevated troponin levels.
However, to rule out other differential diagnoses, further tests could be done to specifically rule in or out Tricyclic Antidepressant Overdose. These tests could include a serum or plasma assay for tricyclic antidepressant levels, and electrocardiographic monitoring to assess for specific patterns that would suggest a tricyclic antidepressant overdose.
In the case of a Beta-blocker overdose, the patient may present with bradycardia, hypotension, and decreased mental status, which are not present in this case. In the case of a Calcium-channel blocker overdose, the patient may present with hypotension, bradycardia, and decreased cardiac output, which are not present in this case. In the case of a Digoxin overdose, the patient may present with bradycardia, nausea and vomiting, and visual disturbances, which are not present in this case.</t>
  </si>
  <si>
    <t>Beer, Aspirin Worsen Nasal Issues in a 35-Year-Old With Asthma</t>
  </si>
  <si>
    <t>https://reference.medscape.com/viewarticle/926232</t>
  </si>
  <si>
    <r>
      <rPr>
        <sz val="12"/>
        <color theme="1"/>
        <rFont val="Calibri"/>
      </rPr>
      <t xml:space="preserve">Nasal polyposis related to allergic fungal rhinosinusitis
Sinonasal inverted papilloma
Nasal polyposis related to granulomatosis with polyangiitis
Sinonasal undifferentiated carcinoma
</t>
    </r>
    <r>
      <rPr>
        <b/>
        <sz val="12"/>
        <color theme="1"/>
        <rFont val="Calibri"/>
      </rPr>
      <t>Nasal polyposis related to aspirin-exacerbated respiratory disease</t>
    </r>
  </si>
  <si>
    <t>Nasal polyposis related to aspirin-exacerbated respiratory disease</t>
  </si>
  <si>
    <t>The most likely diagnosis based on these findings is Nasal polyposis related to aspirin-exacerbated respiratory disease (AERD).
The presence of adult-onset asthma and worsening of symptoms after using ibuprofen or aspirin (which are both non-steroidal anti-inflammatory drugs) along with the mild expiratory wheezing observed during auscultation of the lungs suggest a history of aspirin sensitivity. This along with the symptoms of nasal obstruction and postnasal drainage, cough, rhinorrhea, and facial pressure, which are all characteristic of AERD, support this diagnosis.
In AERD, nasal polyps are a common finding, and they can often fill the nasal cavities bilaterally, as observed in this case. CT scan findings of severe pansinusitis and mild osteitis of the paranasal sinus bone also support this diagnosis.
In order to rule out this differential, a definitive test would be needed to confirm aspirin sensitivity, such as an aspirin challenge test or the determination of the level of prostaglandin D2 (PGD2) in the patient's blood or urine. The lack of an allergy reaction on skin testing also supports this diagnosis over alternatives such as Nasal polyposis related to allergic fungal rhinosinusitis.
Additionally, the surgical pathology of the lesion being similar to images of AERD would further support this diagnosis and rule out alternatives such as Sinonasal inverted papilloma and Sinonasal undifferentiated carcinoma.</t>
  </si>
  <si>
    <t>Endo Case Challenge: Amenorrhea for Months, Mood Swings, Weight Gain in a 38-Year-Old Woman</t>
  </si>
  <si>
    <t>https://reference.medscape.com/viewarticle/980564</t>
  </si>
  <si>
    <r>
      <rPr>
        <sz val="12"/>
        <color theme="1"/>
        <rFont val="Calibri"/>
      </rPr>
      <t xml:space="preserve">Congenital adrenal hyperplasia
Ovarian insufficiency
</t>
    </r>
    <r>
      <rPr>
        <b/>
        <sz val="12"/>
        <color theme="1"/>
        <rFont val="Calibri"/>
      </rPr>
      <t>Cushing syndrome</t>
    </r>
    <r>
      <rPr>
        <sz val="12"/>
        <color theme="1"/>
        <rFont val="Calibri"/>
      </rPr>
      <t xml:space="preserve">
Adrenal insufficiency</t>
    </r>
  </si>
  <si>
    <t>Adrenal Insufficiency</t>
  </si>
  <si>
    <t>Based on the information provided, the most likely diagnosis is Adrenal Insufficiency.
Rationale:
The patient presents with new-onset amenorrhea, despite previously having regular menstrual cycles, easy bruising, and emotional lability. These symptoms suggest a hormonal disturbance.
The patient has gained 30 lb over the past year, a significant amount of weight, which can be a sign of adrenal insufficiency or Cushing syndrome.
The low level of anti-müllerian hormone (0.064 ng/mL), day 3 follicle-stimulating hormone (FSH) (8.4 mIU/mL), and estradiol (48 pg/mL) are indicative of ovarian insufficiency.
The low level of dehydroepiandrosterone sulfate (DHEA-S) (2 µg/dL) is a key finding in this case, as it is a hormone produced by the adrenal glands. The abnormally low level of DHEA-S along with normal cortisol levels (12 µg/dL AM and PM, and 24-hour free cortisol of 74 µg/24 h) suggests adrenal insufficiency.
The low level of aldosterone (8.1 ng/dL), combined with the normal plasma renin activity (0.6 ng/mL/h) and metanephrines (less than 10 pg/mL), also supports a diagnosis of adrenal insufficiency.
Findings that would rule out Adrenal Insufficiency:
If the patient's cortisol levels were elevated, it would rule out adrenal insufficiency, as elevated cortisol levels are characteristic of Cushing syndrome.
If the patient's aldosterone levels were elevated, it would rule out adrenal insufficiency, as elevated aldosterone levels are characteristic of congenital adrenal hyperplasia.
If the patient had a history of excessive corticosteroid use or pituitary dysfunction, it would also rule out adrenal insufficiency, as these can cause secondary adrenal insufficiency.</t>
  </si>
  <si>
    <t>Rectal Bleeding in a 47-Year-Old Farmer Who Can't Pass Flatus</t>
  </si>
  <si>
    <t>https://reference.medscape.com/viewarticle/980235</t>
  </si>
  <si>
    <r>
      <rPr>
        <sz val="12"/>
        <color theme="1"/>
        <rFont val="Calibri"/>
      </rPr>
      <t xml:space="preserve">Intestinal tuberculosis
Infective endocarditis
Hydatid disease
Toxic megacolon or ulcerative colitis activity
Colon cancer
</t>
    </r>
    <r>
      <rPr>
        <b/>
        <sz val="12"/>
        <color theme="1"/>
        <rFont val="Calibri"/>
      </rPr>
      <t>Lymphoma</t>
    </r>
    <r>
      <rPr>
        <sz val="12"/>
        <color theme="1"/>
        <rFont val="Calibri"/>
      </rPr>
      <t xml:space="preserve">
</t>
    </r>
  </si>
  <si>
    <t>Hydatid disease</t>
  </si>
  <si>
    <t>The most likely diagnosis based on the findings is Hydatid Disease.
Rationale:
The patient's history of living in a rural area and working as a farmer increases the likelihood of exposure to hydatid disease, which is caused by the Echinococcus granulosus parasite and commonly affects the liver and lungs in rural and agricultural areas.
In addition, the patient's presentation of fever, fatigue, headache, and body aches, as well as tender splenomegaly and abdominal tenderness with guarding and rigidity, is consistent with hydatid disease. The low hemoglobin levels, low iron levels, and low iron saturation, as well as the elevated erythrocyte sedimentation rate and lactate dehydrogenase levels, are also suggestive of hydatid disease.
Findings that would rule out this differential include the presence of a lesion in the abdomen seen on radiograph and confirmed by CT scan, which would require further evaluation to confirm the diagnosis of hydatid disease. If the lesion was found to be malignant, the diagnosis of hydatid disease would need to be ruled out in favor of a diagnosis such as colon cancer or lymphoma.
In conclusion, Hydatid disease is the most likely diagnosis based on the patient's history and presentation, but further evaluation and testing would be needed to confirm the diagnosis and rule out other potential causes.</t>
  </si>
  <si>
    <t>Derm Case Challenge: Rash on Chest, Buttocks and Toenail Changes in a Middle-Aged Man</t>
  </si>
  <si>
    <t>https://reference.medscape.com/viewarticle/979516</t>
  </si>
  <si>
    <r>
      <rPr>
        <sz val="12"/>
        <color theme="1"/>
        <rFont val="Calibri"/>
      </rPr>
      <t xml:space="preserve">Subacute cutaneous lupus erythematosus
Morbilliform drug eruption
Phototoxic drug eruption
Dermatomyositis
</t>
    </r>
    <r>
      <rPr>
        <b/>
        <sz val="12"/>
        <color theme="1"/>
        <rFont val="Calibri"/>
      </rPr>
      <t>Extensive tinea corporis</t>
    </r>
  </si>
  <si>
    <t>Morbilliform drug eruption</t>
  </si>
  <si>
    <t>Based on the information provided in the case, the most likely diagnosis is Morbilliform drug eruption.
Rationale:
The onset of the rash after initiation of a new medication, in this case hydrochlorothiazide and then lisinopril, suggests a drug-related cause of the rash.
The rash has a characteristic morbilliform appearance, which is consistent with a drug eruption.
The patient's history of immunosuppression secondary to a kidney transplant and use of immunosuppressive medications increases the likelihood of a drug-related eruption.
The patient's lack of symptoms such as photosensitivity, joint pain, fatigue, or muscle weakness further supports a diagnosis of a drug eruption, as these symptoms would be more consistent with another diagnosis such as subacute cutaneous lupus erythematosus.
Findings that would cause me to rule out the differential:
If the patient had a positive ANA test, it would raise the possibility of subacute cutaneous lupus erythematosus as the cause of the rash.
If the patient reported significant photosensitivity or had a rash that was worse with sun exposure, it would make phototoxic drug eruption more likely.
If the patient reported proximal muscle weakness or had evidence of muscle weakness on examination, it would raise the possibility of dermatomyositis.
If the patient had a history of exposure to a tinea infection or had a characteristic appearance of tinea corporis on examination, it would make tinea corporis more likely.</t>
  </si>
  <si>
    <t>Gastro Case Challenge: A 33-Year-Old Man Who Can’t Swallow His Own Saliva</t>
  </si>
  <si>
    <t>https://reference.medscape.com/viewarticle/867089</t>
  </si>
  <si>
    <r>
      <rPr>
        <sz val="12"/>
        <color theme="1"/>
        <rFont val="Calibri"/>
      </rPr>
      <t xml:space="preserve">Incidental esophageal food impaction
</t>
    </r>
    <r>
      <rPr>
        <b/>
        <sz val="12"/>
        <color theme="1"/>
        <rFont val="Calibri"/>
      </rPr>
      <t>Eosinophilic esophagitis</t>
    </r>
    <r>
      <rPr>
        <sz val="12"/>
        <color theme="1"/>
        <rFont val="Calibri"/>
      </rPr>
      <t xml:space="preserve">
Gastroesophageal reflux disease
Chemical esophagitis</t>
    </r>
  </si>
  <si>
    <t>Incidental esophageal food impaction</t>
  </si>
  <si>
    <t>The most likely diagnosis based on the findings presented is Incidental Esophageal Food Impaction.
Rationale:
The patient presents with symptoms of food being stuck in the esophagus and difficulty swallowing saliva, which is consistent with esophageal food impaction. Additionally, the patient reports a history of intermittent worsening dysphagia, which has been rectified by drinking water and chewing food carefully. This suggests that the food impaction is not an isolated event but rather a recurrent issue that the patient has experienced since childhood.
The physical examination, laboratory findings, and chest radiographs are normal, further supporting the diagnosis of food impaction as the cause of the patient's symptoms. The use of glucagon and intravenous fluids in the emergency department, as well as the decision to bring in a gastroenterologist for endoscopy and food bolus extraction, are also consistent with the diagnosis of food impaction.
Findings that would cause us to rule out this differential diagnosis would include the presence of symptoms such as chest pain, shortness of breath, odynophagia, or any visual changes, which are not present in this case. Additionally, if the patient had a history of heavy alcohol or drug use, or if there were abnormalities noted on the laboratory or imaging studies, this would also cause us to consider alternative diagnoses.
In conclusion, based on the patient's symptoms, history, and normal physical examination and laboratory findings, Incidental Esophageal Food Impaction is the most likely diagnosis.</t>
  </si>
  <si>
    <t>A Recently Married 27-Year-Old With Hot Flashes, Amenorrhea</t>
  </si>
  <si>
    <t>https://reference.medscape.com/viewarticle/827431</t>
  </si>
  <si>
    <r>
      <rPr>
        <sz val="12"/>
        <color theme="1"/>
        <rFont val="Calibri"/>
      </rPr>
      <t xml:space="preserve">Primary amenorrhea
Hypothalamic amenorrhea
Primary ovarian insufficiency from Turner syndrome
Outflow tract obstruction
</t>
    </r>
    <r>
      <rPr>
        <b/>
        <sz val="12"/>
        <color theme="1"/>
        <rFont val="Calibri"/>
      </rPr>
      <t>Autoimmune oophoritis</t>
    </r>
  </si>
  <si>
    <t>Autoimmune oophoritis</t>
  </si>
  <si>
    <t>The most likely diagnosis in this case is autoimmune oophoritis.
The patient's history of cessation of menses since stopping oral contraceptives six months ago and her symptoms of hot flashes, fatigue, and swelling sensation in her neck that sometimes "chokes" her at night suggest a potential endocrine disturbance. The presence of an elevated TSH level and elevated antithyroid peroxidase antibody level, as well as a slightly elevated absolute eosinophil count, support the presence of an autoimmune condition affecting the endocrine system.
Autoimmune oophoritis is an autoimmune disorder in which the immune system attacks and destroys the ovarian tissue, leading to premature ovarian failure and infertility. The presence of a diffuse and nontender thyroid swelling and the elevated TSH level and antithyroid peroxidase antibody level suggest that the patient may have autoimmune thyroiditis, which commonly coexists with autoimmune oophoritis.
The normal levels of prolactin, testosterone, and free thyroxin support the exclusion of other endocrine disorders such as hypothyroidism and hyperprolactinemia.
Findings that would cause me to rule out this differential include normal levels of FSH, which is usually elevated in cases of autoimmune oophoritis. Additionally, if imaging studies showed no evidence of ovarian damage or if the patient had a history of pelvic surgery or radiation, it would suggest a different cause for her symptoms, such as outflow tract obstruction.</t>
  </si>
  <si>
    <t>Delirious, Incontinent 45-Year-Old Found Crawling on the Floor</t>
  </si>
  <si>
    <t>https://reference.medscape.com/viewarticle/979595</t>
  </si>
  <si>
    <r>
      <rPr>
        <sz val="12"/>
        <color theme="1"/>
        <rFont val="Calibri"/>
      </rPr>
      <t xml:space="preserve">Lithium-induced hyperthyroidism
Lithium-induced hypothyroidism
</t>
    </r>
    <r>
      <rPr>
        <b/>
        <sz val="12"/>
        <color theme="1"/>
        <rFont val="Calibri"/>
      </rPr>
      <t>Lithium-induced nephrogenic diabetes insipidus</t>
    </r>
    <r>
      <rPr>
        <sz val="12"/>
        <color theme="1"/>
        <rFont val="Calibri"/>
      </rPr>
      <t xml:space="preserve">
Lithium-induced hyperparathyroidism</t>
    </r>
  </si>
  <si>
    <t>Lithium-induced nephrogenic diabetes insipidus</t>
  </si>
  <si>
    <t>The most likely diagnosis based on the findings in this case is Lithium-induced nephrogenic diabetes insipidus.
The rationale for this differential is as follows:
The patient has a history of taking lithium, which is known to cause nephrogenic diabetes insipidus in some cases.
The patient is presenting with a high urine output (6.5 L in the first 24 hours) despite fluid restrictions, which is a classic sign of diabetes insipidus.
The patient's urine specific gravity is &lt; 1.010, which indicates a dilute urine, consistent with diabetes insipidus.
The low serum bicarbonate level (14 mEq/L) and elevated lactate level (3.2 mg/dL) suggest metabolic acidosis, which can occur in nephrogenic diabetes insipidus due to excessive urine loss.
The patient's ECG is only significant for sinus tachycardia, which is common in cases of dehydration, as the patient is presenting with.
Findings that would rule out this differential include:
Presence of other causes for diabetes insipidus such as a pituitary or hypothalamic lesion, central nervous system disease, or an obstructive uropathy.
A high serum osmolality, which would indicate another cause for the patient's symptoms.
Normal renal function tests, as indicated by normal creatinine and BUN levels.
It's important to keep in mind that this is based on the information presented in the case and further testing and examination may be necessary to confirm the diagnosis.</t>
  </si>
  <si>
    <t>True Positive, False</t>
  </si>
  <si>
    <t>Violent Cough, Slurred Speech, and Ptosis in a Middle-Aged Man</t>
  </si>
  <si>
    <t>https://reference.medscape.com/viewarticle/889050</t>
  </si>
  <si>
    <r>
      <rPr>
        <b/>
        <sz val="12"/>
        <color theme="1"/>
        <rFont val="Calibri"/>
      </rPr>
      <t>Right internal carotid artery dissection</t>
    </r>
    <r>
      <rPr>
        <sz val="12"/>
        <color theme="1"/>
        <rFont val="Calibri"/>
      </rPr>
      <t xml:space="preserve">
Complete occlusion of right internal carotid artery due to atherosclerosis
Embolic stroke
Traumatic injury to the sympathetic chain in the right neck</t>
    </r>
  </si>
  <si>
    <t>Embolic stroke</t>
  </si>
  <si>
    <t>The most likely diagnosis based on the findings is Embolic Stroke.
Rationale: The patient's presentation of sudden left-sided facial, arm, and leg weakness, along with slurred speech after suffering violent and repetitive bouts of coughing, is consistent with an ischemic stroke. The location of the hyperdense right middle cerebral artery on the noncontrast CT scan further supports this diagnosis. Additionally, the patient's medical history of hypertension and smoking, along with his sedentary lifestyle, are risk factors for atherosclerosis, which can cause embolic strokes.
Findings that would cause me to rule out the differential: If the stenosis at the origin of the right internal carotid artery was found to be the cause of the stroke, rather than an embolism, I would rule out an embolic stroke and consider Right Internal Carotid Artery Dissection or Complete Occlusion of the Right Internal Carotid Artery due to Atherosclerosis as the diagnosis. Additionally, if there was evidence of a previous head or neck injury, I would consider Traumatic Injury to the Sympathetic Chain in the Right Neck as a possible diagnosis.
It is also worth mentioning that if the patient had a history of recent travel, drug use, or other risk factors for embolic stroke, this would further support the diagnosis of Embolic Stroke.</t>
  </si>
  <si>
    <t>Emergency Med Case Challenge: A 41-Year-Old on Sildenafil With a Headache While Sleeping</t>
  </si>
  <si>
    <t>https://reference.medscape.com/viewarticle/871819</t>
  </si>
  <si>
    <r>
      <rPr>
        <sz val="12"/>
        <color theme="1"/>
        <rFont val="Calibri"/>
      </rPr>
      <t xml:space="preserve">Subarachnoid hemorrhage
Cerebellar infarction
</t>
    </r>
    <r>
      <rPr>
        <b/>
        <sz val="12"/>
        <color theme="1"/>
        <rFont val="Calibri"/>
      </rPr>
      <t>Pituitary tumor apoplexy</t>
    </r>
    <r>
      <rPr>
        <sz val="12"/>
        <color theme="1"/>
        <rFont val="Calibri"/>
      </rPr>
      <t xml:space="preserve">
Cavernous sinus thrombosis</t>
    </r>
  </si>
  <si>
    <t>Subarachnoid hemorrhage</t>
  </si>
  <si>
    <t xml:space="preserve">Based on the given case, the most likely diagnosis is Subarachnoid Hemorrhage. The sudden onset of a severe headache with associated symptoms such as nausea, vomiting, and subjective fevers, as well as the presence of new-onset diplopia and photophobia, is highly suggestive of this diagnosis. Furthermore, the examination revealing ptosis of the right eye with a dilated and unreactive pupil and bitemporal hemianopsia is consistent with the clinical presentation of subarachnoid hemorrhage.
The elevated protein concentration and the high number of red blood cells in the cerebrospinal fluid (CSF) specimens further supports the diagnosis of subarachnoid hemorrhage. Additionally, the MRI images are likely to show evidence of blood in the subarachnoid space, which is the hallmark of this condition.
To rule out this differential, a negative CT angiogram or digital subtraction angiogram (DSA) would be needed to definitively exclude the presence of subarachnoid hemorrhage. A negative result on these imaging studies, in combination with normal MRI findings, would be more consistent with a different diagnosis, such as a pituitary tumor apoplexy, cavernous sinus thrombosis, or cerebellar infarction. However, based on the information provided in the case, subarachnoid hemorrhage is the most likely diagnosis.
</t>
  </si>
  <si>
    <t>After Unprotected Sex, 50-Year-Old Has Rash, Severe Weakness</t>
  </si>
  <si>
    <t>https://reference.medscape.com/viewarticle/979164</t>
  </si>
  <si>
    <r>
      <rPr>
        <sz val="12"/>
        <color theme="1"/>
        <rFont val="Calibri"/>
      </rPr>
      <t xml:space="preserve">Toxoplasmosis
</t>
    </r>
    <r>
      <rPr>
        <b/>
        <sz val="12"/>
        <color theme="1"/>
        <rFont val="Calibri"/>
      </rPr>
      <t>Disseminated Cryptococcus infection</t>
    </r>
    <r>
      <rPr>
        <sz val="12"/>
        <color theme="1"/>
        <rFont val="Calibri"/>
      </rPr>
      <t xml:space="preserve">
Acute HIV infection
Molluscum contagiosum</t>
    </r>
  </si>
  <si>
    <t>Disseminated Cryptococcus infection</t>
  </si>
  <si>
    <t xml:space="preserve">The most likely diagnosis based on the findings is disseminated Cryptococcus infection.
The patient presents with a 1-month history of oral thrush, skin rash, significant weight loss, diarrhea, and severe weakness, which are common symptoms of a systemic fungal infection such as disseminated Cryptococcus infection. The presence of nuchal rigidity, cervical lymphadenopathy, and a positive 1,3-beta-D-glucan test also support the diagnosis of a systemic fungal infection.
The patient's risk factors for fungal infections, including being unhoused, having multiple sex partners, and not using protection during sexual intercourse, also support the diagnosis of disseminated Cryptococcus infection.
The patient's HIV-1 positive status and the presence of bilateral interstitial infiltrates, multiple pulmonary nodules, and small pleural effusions on chest radiograph suggest that the patient may have an opportunistic infection, which is commonly seen in patients with advanced HIV infection.
To rule out disseminated Cryptococcus infection, a definitive diagnosis would require a positive culture or other diagnostic test for Cryptococcus, such as a positive result on a urine or serum cryptococcal antigen test. If the cultures and staining tests come back negative for Cryptococcus and the patient's clinical symptoms persist, further diagnostic tests and evaluations should be performed to rule out other potential causes of the patient's symptoms.
</t>
  </si>
  <si>
    <t>Endo Case Challenge: Rash, Brain Fog, and Sleep Issues in a 50-Year-Old IT Director</t>
  </si>
  <si>
    <t>https://reference.medscape.com/viewarticle/977964</t>
  </si>
  <si>
    <r>
      <rPr>
        <sz val="12"/>
        <color theme="1"/>
        <rFont val="Calibri"/>
      </rPr>
      <t xml:space="preserve">Familial hypocalciuric hypercalcemia
</t>
    </r>
    <r>
      <rPr>
        <b/>
        <sz val="12"/>
        <color theme="1"/>
        <rFont val="Calibri"/>
      </rPr>
      <t>Intrathyroidal parathyroid adenoma</t>
    </r>
    <r>
      <rPr>
        <sz val="12"/>
        <color theme="1"/>
        <rFont val="Calibri"/>
      </rPr>
      <t xml:space="preserve">
ACR TI-RADS moderately suspicious pattern thyroid nodule that does not need biopsy until it is ≥ 1.5 cm
ATA very low risk and ACR TI-RADS benign thyroid nodule that does not require biopsy</t>
    </r>
  </si>
  <si>
    <t>Intrathyroidal parathyroid adenoma</t>
  </si>
  <si>
    <t>On the basis of these findings, the most likely diagnosis is Intrathyroidal parathyroid adenoma.
The patient's medical history, which includes a family history of endocrine disease and a diagnosis of euthyroid Hashimoto's thyroiditis, is consistent with this diagnosis. Additionally, the patient's elevated parathyroid hormone (PTH) levels (146 pg/mL, reference range 11-90 pg/mL) and serum calcium level (10.5 mg/dL, reference range 8-10.5 mg/dL) suggest primary hyperparathyroidism, which is commonly caused by parathyroid adenomas. The patient's repeat office thyroid ultrasound also shows a dominant nodule within the right inferior thyroid gland with an unusual vascular pattern, which is consistent with a parathyroid adenoma.
To rule out this differential, a more definitive diagnostic test, such as an sestamibi scan or a 4-dimensional computed tomography (4D-CT) scan, would need to be performed to confirm the presence of a parathyroid adenoma. If the results of these tests were negative for a parathyroid adenoma, other causes of hyperparathyroidism, such as hyperparathyroidism-jaw tumor syndrome or multiple endocrine neoplasia type 1, would need to be considered and ruled out through further testing.</t>
  </si>
  <si>
    <t xml:space="preserve">Psychiatry Case Challenge: Nightmares and Poor Grades in a Third Grader Allergic to Cats
</t>
  </si>
  <si>
    <t>https://reference.medscape.com/viewarticle/979003</t>
  </si>
  <si>
    <r>
      <rPr>
        <sz val="12"/>
        <color theme="1"/>
        <rFont val="Calibri"/>
      </rPr>
      <t xml:space="preserve">Posttraumatic stress disorder
Attention-deficit/hyperactivity disorder
Conduct disorder
</t>
    </r>
    <r>
      <rPr>
        <b/>
        <sz val="12"/>
        <color theme="1"/>
        <rFont val="Calibri"/>
      </rPr>
      <t>Panic disorder without agoraphobia</t>
    </r>
    <r>
      <rPr>
        <sz val="12"/>
        <color theme="1"/>
        <rFont val="Calibri"/>
      </rPr>
      <t xml:space="preserve">
Generalized anxiety disorder</t>
    </r>
  </si>
  <si>
    <t>Generalized anxiety disorder</t>
  </si>
  <si>
    <t>The most likely diagnosis in this case is Generalized Anxiety Disorder (GAD).
The patient presents with symptoms of excessive worry, which are not limited to one particular situation or trigger and persist for at least 6 months, which is consistent with the diagnostic criteria for GAD. He reports feeling tightness in his chest, difficulty breathing, and heart palpitations, which may be symptoms of panic attacks. These symptoms are not solely associated with his asthma, as evidenced by their persistence despite using his inhaler and not improving after its use.
The patient also reports having trouble falling asleep due to worries about school, grades, and disappointing his parents, as well as waking up in the middle of the night frightened and feeling like he cannot breathe. He also experiences nightmares in which his parents are in the hospital and he is alone. These symptoms are consistent with the diagnostic criteria for GAD and can significantly impair the patient's daily functioning.
The patient's report of experiencing these symptoms in various different situations (e.g. recess, school play, etc.), not being associated with a particular traumatic event, and their persistence over a significant period of time, all support a diagnosis of GAD.
Findings that would cause me to rule out the differential would include evidence of a traumatic event that is triggering the symptoms, a predominant pattern of symptoms consistent with Attention-deficit/Hyperactivity Disorder (ADHD), Conduct Disorder, or Panic Disorder without Agoraphobia, or evidence of a medical condition contributing to the patient's symptoms, such as a respiratory or cardiovascular problem.
A thorough medical evaluation and psychological assessment, including a detailed history and clinical interview, would be needed to confirm the diagnosis and rule out other potential causes. The patient may also benefit from additional testing such as a sleep study, physical examination, and laboratory tests to rule out any underlying medical conditions.
Treatment for GAD may include a combination of psychotherapy and medication. Cognitive-behavioral therapy (CBT) has been shown to be effective in treating GAD, and can help the patient identify and challenge unhelpful thoughts, as well as develop healthy coping strategies. Selective serotonin reuptake inhibitors (SSRIs) and benzodiazepines are also commonly used to treat GAD, however, medication should only be prescribed by a mental health professional and only after a thorough evaluation.
It is important for the patient and his family to understand that treatment for GAD is a process and may take time, but with the right support and treatment, the patient can manage his symptoms and improve his quality of life.</t>
  </si>
  <si>
    <t>ED Case Challenge: After New Sexual Partner, Dysuria, Discharge in a 21-Year-Old</t>
  </si>
  <si>
    <t>https://reference.medscape.com/viewarticle/847159</t>
  </si>
  <si>
    <r>
      <rPr>
        <sz val="12"/>
        <color theme="1"/>
        <rFont val="Calibri"/>
      </rPr>
      <t xml:space="preserve">Pyelonephritis
</t>
    </r>
    <r>
      <rPr>
        <b/>
        <sz val="12"/>
        <color theme="1"/>
        <rFont val="Calibri"/>
      </rPr>
      <t>Cystitis</t>
    </r>
    <r>
      <rPr>
        <sz val="12"/>
        <color theme="1"/>
        <rFont val="Calibri"/>
      </rPr>
      <t xml:space="preserve">
Pelvic inflammatory disease
Appendicitis</t>
    </r>
  </si>
  <si>
    <t>Cystitis</t>
  </si>
  <si>
    <t xml:space="preserve">Based on these findings, the most likely diagnosis is cystitis.
Cystitis is an inflammation of the bladder that is most commonly caused by a bacterial infection. The symptoms described by the patient, such as suprapubic pain, dysuria, dark urine, and frequent urination, are consistent with cystitis. Additionally, the positive results on the dipstick and microscopic analysis of the urine, such as the presence of leukocyte esterase and white blood cells, further support a diagnosis of cystitis. The patient's sexual history and the presence of erythematous papules and scattered pustules on the mons also suggest that the patient may have a sexually transmitted infection, which can increase the risk of developing cystitis.
To rule out other differentials, further evaluation would be necessary. For example, if the patient had severe pain or tenderness in the lower right quadrant, this would suggest appendicitis and warrant further imaging or surgical evaluation. If the patient had significant cervical discharge or cervical motion tenderness, this would suggest pelvic inflammatory disease and require further evaluation and treatment for possible sexually transmitted infection. If the patient had signs of sepsis, such as a high fever, rapid heart rate, or altered mental status, pyelonephritis may be a concern and further evaluation with imaging would be necessary to assess the presence of a renal abscess.
</t>
  </si>
  <si>
    <t>Loss of Taste, Rash, and Dyspnea in a 46-Year-Old With GERD</t>
  </si>
  <si>
    <t>https://reference.medscape.com/viewarticle/881807</t>
  </si>
  <si>
    <r>
      <rPr>
        <sz val="12"/>
        <color theme="1"/>
        <rFont val="Calibri"/>
      </rPr>
      <t xml:space="preserve">Hypertrophic cardiomyopathy
</t>
    </r>
    <r>
      <rPr>
        <b/>
        <sz val="12"/>
        <color theme="1"/>
        <rFont val="Calibri"/>
      </rPr>
      <t>Cardiac amyloidosis</t>
    </r>
    <r>
      <rPr>
        <sz val="12"/>
        <color theme="1"/>
        <rFont val="Calibri"/>
      </rPr>
      <t xml:space="preserve">
Hemochromatosis
Systemic lupus erythematosus</t>
    </r>
  </si>
  <si>
    <t>Cardiac amyloidosis</t>
  </si>
  <si>
    <t>The most likely diagnosis based on the given findings is Cardiac Amyloidosis.
Rationale:
Cardiac Amyloidosis is a condition where amyloid, an abnormal protein, accumulates in the heart and affects its function. The findings in this case that support the diagnosis of cardiac amyloidosis include the following:
Progressive generalized weakness, increasing shortness of breath, and leg swelling, which are common symptoms of congestive heart failure.
The patient's previous hospital admissions with elevated cardiac enzyme levels, normal coronary arteries on angiography, and a diagnosis of congestive heart failure, suggest that there is an underlying condition affecting her heart function.
The patient's mild dysphagia, gastroesophageal reflux, and difficulty getting up from a sitting position, which are not typically seen in hypertrophic cardiomyopathy, lupus, or hemochromatosis, but are commonly seen in cardiac amyloidosis.
The patient's bilateral subconjunctival hemorrhaging, periorbital ecchymoses, multiple ecchymotic lesions around the anterior neck, chest, and abdomen, and swelling with imprinted tooth marks on the lateral aspect of the tongue, which are findings commonly seen in patients with systemic amyloidosis.
The elevated B-type natriuretic peptide level, low-voltage complexes with poor R-wave progression, and mild pericardial effusion seen on CT of the thorax, are additional findings that support a diagnosis of cardiac amyloidosis.
Findings that would cause me to rule out the differential include:
If the serum ferritin level was significantly elevated, this would suggest hemochromatosis, which is a condition where iron accumulates in the body and can cause heart problems.
If the patient had a positive result on autoimmune tests, this would suggest a diagnosis of systemic lupus erythematosus, a condition where the immune system attacks healthy tissue and can affect the heart.
If the echocardiography showed thickening of the left ventricular septum and a small cavity, this would suggest hypertrophic cardiomyopathy, a condition where the heart muscle thickens and can affect its function.
In conclusion, based on the findings in this case, cardiac amyloidosis is the most likely diagnosis. Further testing, including biopsy of affected tissue, may be needed to confirm the diagnosis.</t>
  </si>
  <si>
    <t>A 27-Year-Old Woman With Constant Headache Too Tired to Party</t>
  </si>
  <si>
    <t>https://reference.medscape.com/viewarticle/977791</t>
  </si>
  <si>
    <r>
      <rPr>
        <sz val="12"/>
        <color theme="1"/>
        <rFont val="Calibri"/>
      </rPr>
      <t xml:space="preserve">Hyperthyroidism
</t>
    </r>
    <r>
      <rPr>
        <b/>
        <sz val="12"/>
        <color theme="1"/>
        <rFont val="Calibri"/>
      </rPr>
      <t>Narcolepsy</t>
    </r>
    <r>
      <rPr>
        <sz val="12"/>
        <color theme="1"/>
        <rFont val="Calibri"/>
      </rPr>
      <t xml:space="preserve">
Malnutrition
Depression</t>
    </r>
  </si>
  <si>
    <t>Narcolepsy</t>
  </si>
  <si>
    <t xml:space="preserve">Based on the case information provided, the most likely diagnosis is Narcolepsy.
Rationale: The patient's symptoms of constant headaches associated with sleepiness, frequent falling asleep at work, and rapid onset of REM sleep during naps as seen on the MSLT all suggest a diagnosis of Narcolepsy. Narcolepsy is a sleep disorder characterized by excessive daytime sleepiness, along with sudden loss of muscle tone (cataplexy) and episodes of sleep that can occur at any time during the day. The patient's symptoms of excessive daytime sleepiness and short sleep latency during naps align with the symptoms seen in narcolepsy.
Findings that would rule out this differential would be if the patient did not have short sleep latency on the MSLT or if she had other symptoms such as anxiety or depression that are not associated with narcolepsy. Additionally, if the patient had any other underlying medical conditions that could cause excessive sleepiness, such as sleep apnea or a neurological disorder, these would need to be ruled out as well.
In conclusion, the patient's symptoms and results of the sleep studies support a diagnosis of narcolepsy, and additional testing should be done to rule out other possible causes of excessive daytime sleepiness.
</t>
  </si>
  <si>
    <t>Intentional Overdose in a Suicidal 28-Year-Old With Lupus</t>
  </si>
  <si>
    <t>https://reference.medscape.com/viewarticle/877044</t>
  </si>
  <si>
    <r>
      <rPr>
        <sz val="12"/>
        <color theme="1"/>
        <rFont val="Calibri"/>
      </rPr>
      <t xml:space="preserve">Amitriptyline overdose
Sotalol overdose
Celecoxib overdose
</t>
    </r>
    <r>
      <rPr>
        <b/>
        <sz val="12"/>
        <color theme="1"/>
        <rFont val="Calibri"/>
      </rPr>
      <t>Hydroxychloroquine overdose</t>
    </r>
    <r>
      <rPr>
        <sz val="12"/>
        <color theme="1"/>
        <rFont val="Calibri"/>
      </rPr>
      <t xml:space="preserve">
Methotrexate overdose</t>
    </r>
  </si>
  <si>
    <t>Sotalol overdose</t>
  </si>
  <si>
    <t>The most likely diagnosis in this case is Sotalol overdose.
The rationale for this choice is based on the patient's presentation and results of the examination and workup. The prolonged QTc interval on ECG and polymorphic ventricular tachycardia observed in the patient are both commonly seen in cases of Sotalol overdose. The fact that the patient experienced a seizure and that his potassium level dropped to 2.5 mmol/L are both consistent with Sotalol overdose as well. Additionally, the patient had a history of systemic lupus erythematosus, which could have contributed to the cardiac symptoms, but this would not account for the other symptoms seen in the case.
The other options listed (Amitriptyline, Celecoxib, Hydroxychloroquine, and Methotrexate overdoses) are not typically associated with the symptoms seen in this case, particularly the prolonged QTc interval, polymorphic ventricular tachycardia, and low potassium level.
If further investigation ruled out Sotalol overdose, such as a negative toxicology screen for the medication or a different medication being found in the patient's system, it would cause us to rule out this differential. Additionally, if the patient's cardiac symptoms were not improved with the administration of magnesium sulfate and diazepam, this would also cause us to re-evaluate the diagnosis.</t>
  </si>
  <si>
    <t>Oncology Case Challenge: A Daily Beer Drinker With Bruises, Back Pain, and Bleeding</t>
  </si>
  <si>
    <t>https://reference.medscape.com/viewarticle/752121</t>
  </si>
  <si>
    <r>
      <rPr>
        <sz val="12"/>
        <color theme="1"/>
        <rFont val="Calibri"/>
      </rPr>
      <t xml:space="preserve">Acute myeloid leukemia
Metastatic carcinoma
</t>
    </r>
    <r>
      <rPr>
        <b/>
        <sz val="12"/>
        <color theme="1"/>
        <rFont val="Calibri"/>
      </rPr>
      <t>Nonsecretory myeloma</t>
    </r>
    <r>
      <rPr>
        <sz val="12"/>
        <color theme="1"/>
        <rFont val="Calibri"/>
      </rPr>
      <t xml:space="preserve">
Paget disease
Primary amyloidosis</t>
    </r>
  </si>
  <si>
    <t>Acute myeloid leukemia</t>
  </si>
  <si>
    <t>The most likely diagnosis based on the findings is Acute Myeloid Leukemia (AML).
The patient presents with symptoms of bleeding from gums, progressive weakness, and occasional bruising, all of which can be indicative of a hematological disorder. The laboratory findings also suggest a hematological disorder, with moderate normocytic normochromic anemia and thrombocytopenia. The blood film examination demonstrates a leukoerythroblastic picture with many band neutrophils, metamyelocytes, nucleated red blood cells, and plasmacytoid lymphocytes, which are all consistent with AML. The elevated levels of lactate dehydrogenase (LDH) and beta-2 microglobulin also support the diagnosis of AML.
However, findings that would cause me to rule out the differential include a positive result for protein in the 24-hour urine sample, the presence of an M-protein spike on serum protein electrophoresis, and a positive result on the direct antiglobulin test. These findings would suggest a different hematological disorder, such as Nonsecretory Myeloma or Primary Amyloidosis.
In conclusion, based on the patient's symptoms and laboratory findings, AML is the most likely diagnosis, but other differentials must also be considered and ruled out through further investigation and testing.</t>
  </si>
  <si>
    <t>Neurology Case Challenge: A Man With Buttocks Pain, Bladder and Bowel Incontinence</t>
  </si>
  <si>
    <t>https://reference.medscape.com/viewarticle/976837</t>
  </si>
  <si>
    <r>
      <rPr>
        <sz val="12"/>
        <color theme="1"/>
        <rFont val="Calibri"/>
      </rPr>
      <t xml:space="preserve">Meningeal carcinomatosis
</t>
    </r>
    <r>
      <rPr>
        <b/>
        <sz val="12"/>
        <color theme="1"/>
        <rFont val="Calibri"/>
      </rPr>
      <t>Lumbosacral radiculoplexus neuropathy</t>
    </r>
    <r>
      <rPr>
        <sz val="12"/>
        <color theme="1"/>
        <rFont val="Calibri"/>
      </rPr>
      <t xml:space="preserve">
Chronic inflammatory demyelinating polyradiculoneuropathy
Radiation-induced lumbosacral plexopathy</t>
    </r>
  </si>
  <si>
    <t>Radiation-induced lumbosacral plexopathy</t>
  </si>
  <si>
    <r>
      <rPr>
        <sz val="10"/>
        <color theme="1"/>
        <rFont val="Calibri"/>
      </rPr>
      <t xml:space="preserve">The most likely diagnosis based on the findings is Radiation-induced lumbosacral plexopathy.
Rationale: The patient's history of radiation therapy for prostate cancer 8 years prior to presentation and the subsequent progressive lower extremity pain and muscle weakness are consistent with radiation-induced lumbosacral plexopathy. The symptoms started with severe midline lower back pain, urinary incontinence, and allodynia in the buttocks, and progressed to shooting pain in the left leg, complete loss of sensation up to the thigh, muscle atrophy, and weakness, and ultimately bowel and bladder incontinence. The patient also has </t>
    </r>
    <r>
      <rPr>
        <b/>
        <sz val="10"/>
        <color theme="1"/>
        <rFont val="Calibri"/>
      </rPr>
      <t>contrast enhancement in the cauda equina nerve roots</t>
    </r>
    <r>
      <rPr>
        <sz val="10"/>
        <color theme="1"/>
        <rFont val="Calibri"/>
      </rPr>
      <t xml:space="preserve"> and muscular edema in the lumbar plexus on MRI, which is consistent with radiation-induced lumbosacral plexopathy.
Findings that would cause us to rule out the differential: If the patient had a history of a malignancy or malignancy was found on physical examination or further testing, a diagnosis of meningeal carcinomatosis would need to be considered. If the patient had evidence of an autoimmune process, such as elevated rheumatoid factor or antineutrophil cytoplasmic antibody, a diagnosis of chronic inflammatory demyelinating polyradiculoneuropathy may need to be considered. If the patient had evidence of a lumbar radiculopathy, such as a positive straight leg raise test or focal motor or sensory deficits in the lower extremities, a diagnosis of lumbosacral radiculoplexus neuropathy may need to be considered.
</t>
    </r>
  </si>
  <si>
    <t>A Man With Hypokalemia, Sleep Apnea, and Resistant Hypertension</t>
  </si>
  <si>
    <t>https://reference.medscape.com/viewarticle/976833</t>
  </si>
  <si>
    <r>
      <rPr>
        <sz val="12"/>
        <color theme="1"/>
        <rFont val="Calibri"/>
      </rPr>
      <t xml:space="preserve">Renal artery stenosis
</t>
    </r>
    <r>
      <rPr>
        <b/>
        <sz val="12"/>
        <color theme="1"/>
        <rFont val="Calibri"/>
      </rPr>
      <t>Primary hyperaldosteronism</t>
    </r>
    <r>
      <rPr>
        <sz val="12"/>
        <color theme="1"/>
        <rFont val="Calibri"/>
      </rPr>
      <t xml:space="preserve">
Cushing syndrome
Pheochromocytoma</t>
    </r>
  </si>
  <si>
    <t>Primary hyperaldosteronism</t>
  </si>
  <si>
    <t>On the basis of the information provided, the most likely diagnosis is Primary Hyperaldosteronism.
The patient has a history of uncontrolled hypertension and hypokalemia despite treatment with three different classes of antihypertensive medications. This is a red flag for primary hyperaldosteronism, which is a condition characterized by excessive secretion of aldosterone by the adrenal glands. This can lead to sodium retention, potassium loss, and an increase in blood pressure. The patient's low potassium level (3.4 mmol/L) is consistent with hypokalemia, which is a common finding in primary hyperaldosteronism.
Cushing syndrome, which is also associated with hypercortisolism and elevated blood pressure, can be ruled out based on the patient's normal cortisol levels and lack of other signs and symptoms such as weight gain, moon facies, and buffalo hump. Pheochromocytoma, which is a tumor of the adrenal gland that causes episodes of high blood pressure and tachycardia, can also be ruled out based on the absence of symptoms such as headache, palpitations, and sweating. Renal artery stenosis can be ruled out based on the normal estimated glomerular filtration rate (98 mL/min/1.73 m2) and normal creatinine level (0.79 mg/dL).
In conclusion, primary hyperaldosteronism is the most likely diagnosis given the patient's history of uncontrolled hypertension and hypokalemia, despite treatment with multiple antihypertensive medications, and the presence of low potassium levels. Further testing, such as a 24-hour urine collection for aldosterone and renin levels and a confirmatory adrenal gland imaging study, can be performed to confirm the diagnosis.</t>
  </si>
  <si>
    <t>An Adopted 43-Year-Old With Bad Breath, Dyspnea, Dysphagia</t>
  </si>
  <si>
    <t>https://reference.medscape.com/viewarticle/858606</t>
  </si>
  <si>
    <r>
      <rPr>
        <sz val="12"/>
        <color theme="1"/>
        <rFont val="Calibri"/>
      </rPr>
      <t xml:space="preserve">Lemierre syndrome
</t>
    </r>
    <r>
      <rPr>
        <b/>
        <sz val="12"/>
        <color theme="1"/>
        <rFont val="Calibri"/>
      </rPr>
      <t xml:space="preserve">Parapharyngeal/retropharyngeal cellulitis and abscess formation
</t>
    </r>
    <r>
      <rPr>
        <sz val="12"/>
        <color theme="1"/>
        <rFont val="Calibri"/>
      </rPr>
      <t>Ludwig angina
Epiglottitis
Bacterial tracheitis</t>
    </r>
  </si>
  <si>
    <t xml:space="preserve">
Parapharyngeal/retropharyngeal cellulitis and abscess formation</t>
  </si>
  <si>
    <t>Based on the case information provided, the most likely diagnosis is Parapharyngeal/retropharyngeal cellulitis and abscess formation.
Rationale:
The patient presents with swelling in the left neck region and progressive difficulty swallowing, which are both indicative of an abscess or cellulitis in the parapharyngeal or retropharyngeal area.
The presence of an erythematous posterior pharynx without exudates and tender anterior cervical lymph nodes bilaterally supports the diagnosis of an infection.
The CT scan of the neck and soft tissues with intravenous contrast and the finding of mild leukocytosis with a neutrophilic predominance further support the diagnosis of cellulitis or an abscess.
The absence of other symptoms such as fever, chills, sore throat, and pain elsewhere also support the diagnosis of cellulitis or an abscess rather than other differential diagnoses such as Lemierre syndrome, Ludwig angina, epiglottitis, or bacterial tracheitis.
Findings that would cause us to rule out the differential would include:
The presence of stridor or trismus, as these would suggest a more serious airway obstruction such as epiglottitis or bacterial tracheitis.
The presence of a sore throat, pain elsewhere, or a recent history of dental procedures would support a diagnosis of Lemierre syndrome.
If the patient were to develop sepsis or systemic toxicity, this would suggest Lemierre syndrome or Ludwig angina as the underlying diagnosis.</t>
  </si>
  <si>
    <t>Gastro Case Challenge: A Daily Cannabis User With Sharp, Intense Epigastric Pain</t>
  </si>
  <si>
    <t>https://reference.medscape.com/viewarticle/885142</t>
  </si>
  <si>
    <r>
      <rPr>
        <sz val="12"/>
        <color theme="1"/>
        <rFont val="Calibri"/>
      </rPr>
      <t xml:space="preserve">Acute gastritis
Cannabinoid hyperemesis syndrome
</t>
    </r>
    <r>
      <rPr>
        <b/>
        <sz val="12"/>
        <color theme="1"/>
        <rFont val="Calibri"/>
      </rPr>
      <t>Superior mesenteric artery syndrome</t>
    </r>
    <r>
      <rPr>
        <sz val="12"/>
        <color theme="1"/>
        <rFont val="Calibri"/>
      </rPr>
      <t xml:space="preserve">
Peptic ulcer disease
Cholecystitis</t>
    </r>
  </si>
  <si>
    <t>Peptic ulcer disease</t>
  </si>
  <si>
    <r>
      <rPr>
        <sz val="10"/>
        <color theme="1"/>
        <rFont val="Calibri"/>
      </rPr>
      <t xml:space="preserve">Based on the patient's symptoms and medical history, the most likely diagnosis is Peptic Ulcer Disease.
The patient presents with recurrent abdominal pain, generalized weakness, progressive weight loss, and intractable nausea and vomiting, which are all common symptoms of peptic ulcer disease. Furthermore, the patient's history of gastroesophageal reflux disease and hiatal hernia, which can increase the risk of developing peptic ulcers, supports this diagnosis. Additionally, the use of nonsteroidal anti-inflammatory drugs (NSAIDs), which the patient reports using cannabis for chronic pain relief, can also increase the risk of peptic ulcers.
The CT scan and upper gastrointestinal endoscopy findings are consistent with this diagnosis, as they could show evidence of peptic ulcer disease, such as an ulcer in the stomach or duodenum.
However, other conditions such as acute gastritis, cholecystitis, and </t>
    </r>
    <r>
      <rPr>
        <b/>
        <sz val="10"/>
        <color theme="1"/>
        <rFont val="Calibri"/>
      </rPr>
      <t>Superior Mesenteric Artery Syndrome should also be considered and ruled out.</t>
    </r>
    <r>
      <rPr>
        <sz val="10"/>
        <color theme="1"/>
        <rFont val="Calibri"/>
      </rPr>
      <t xml:space="preserve"> For example, findings of gallbladder inflammation or blockage in the mesenteric artery on imaging studies would rule out peptic ulcer disease and suggest the presence of cholecystitis or Superior Mesenteric Artery Syndrome, respectively.
In the case of Cannabinoid Hyperemesis Syndrome, the patient's use of cannabis and symptoms of recurrent abdominal pain and vomiting could support this diagnosis, but the lack of other characteristic findings such as cyclic vomiting patterns and relief of symptoms after cessation of cannabis use makes it less likely.</t>
    </r>
  </si>
  <si>
    <t>False Positive, Yes</t>
  </si>
  <si>
    <t>A 51-Year-Old Man Avoiding Sexual Intercourse Due to Rectal Pain</t>
  </si>
  <si>
    <t>https://reference.medscape.com/viewarticle/976273</t>
  </si>
  <si>
    <r>
      <rPr>
        <sz val="12"/>
        <color theme="1"/>
        <rFont val="Calibri"/>
      </rPr>
      <t xml:space="preserve">Rectal syphilis
Lymphogranuloma venereum
</t>
    </r>
    <r>
      <rPr>
        <b/>
        <sz val="12"/>
        <color theme="1"/>
        <rFont val="Calibri"/>
      </rPr>
      <t>Herpes simplex virus infection</t>
    </r>
    <r>
      <rPr>
        <sz val="12"/>
        <color theme="1"/>
        <rFont val="Calibri"/>
      </rPr>
      <t xml:space="preserve">
Gonorrhea</t>
    </r>
  </si>
  <si>
    <t>Herpes simplex virus infection</t>
  </si>
  <si>
    <t xml:space="preserve">Based on the information provided, the most likely diagnosis is Herpes simplex virus infection.
Rationale:
The patient's presentation of rectal pain, intermittent episodes of hematochezia, tenesmus, weight loss, and an irregular, nodular, polypoidal mass on MRI are all consistent with a rectal herpes simplex virus (HSV) infection.
The presence of nonbleeding ulcers in the rectal mucosa and a histopathologic finding of ulcerated colorectal mucosa with abnormal granulation tissue and epithelial cells with viral nuclear inclusion supports a diagnosis of rectal HSV.
The fact that the patient has a well-controlled HIV infection, as well as negative results for common sexually transmitted infections such as gonorrhea and chlamydia, further supports the likelihood of HSV as the cause of the patient's symptoms.
The patient's history of syphilis, for which he received treatment 6 months earlier, does not exclude the possibility of HSV as the cause of his symptoms.
Findings that would cause me to rule out this differential:
If the patient's rapid plasma reagin (RPR) titer was significantly elevated, it could suggest a syphilis infection, as RPR is a test used to diagnose syphilis.
If biopsy results showed evidence of chlamydia or gonorrhea, it would suggest that one of these infections, rather than HSV, was the cause of the patient's symptoms.
If further testing showed the presence of other herpesviruses, such as varicella-zoster virus, it would suggest that a different herpesvirus, rather than HSV, was responsible for the patient's symptoms.
</t>
  </si>
  <si>
    <t>Neuro Case Challenge: A 16-Year-Old With Quadriparesis After Respiratory Infection</t>
  </si>
  <si>
    <t>https://reference.medscape.com/viewarticle/823046</t>
  </si>
  <si>
    <r>
      <rPr>
        <sz val="12"/>
        <color theme="1"/>
        <rFont val="Calibri"/>
      </rPr>
      <t xml:space="preserve">Viral encephalitis with Guillain-Barré syndrome
Bickerstaff encephalitis
</t>
    </r>
    <r>
      <rPr>
        <b/>
        <sz val="12"/>
        <color theme="1"/>
        <rFont val="Calibri"/>
      </rPr>
      <t>Acute disseminated encephalomyelitis</t>
    </r>
    <r>
      <rPr>
        <sz val="12"/>
        <color theme="1"/>
        <rFont val="Calibri"/>
      </rPr>
      <t xml:space="preserve">
Spinal cord compression</t>
    </r>
  </si>
  <si>
    <t>Acute disseminated encephalomyelitis</t>
  </si>
  <si>
    <t xml:space="preserve">The most likely diagnosis based on the findings in this case is Acute Disseminated Encephalomyelitis (ADEM).
Rationale:
The patient's symptoms, including rapid onset of weakness in the lower extremities and arms and subsequent involvement of dysesthesia, along with normal laboratory findings, suggest a neurological disorder. The absence of sphincteric dysfunction and normal cranial nerve examination findings, as well as normal findings on the MRI of the cervical spine, point towards a problem in the central nervous system.
The findings of bilateral, asymmetric areas of high signal intensity on the T2-weighted/fluid-attenuated inversion recovery (FLAIR) sequences on the MRI of the brain, along with an elevated cerebrospinal fluid (CSF) protein, lymphocytic pleocytosis, and normal glucose concentration, support a diagnosis of encephalitis.
The fact that the patient had been treated for an upper respiratory tract infection two weeks before presentation and the subsequent onset of symptoms suggest a possible immune-mediated etiology.
Finally, the presence of seizures and a drop in Glasgow Coma Scale score further supports the diagnosis of encephalitis. The fact that the patient's symptoms worsened after admission and that the EEG findings are consistent with diffuse encephalopathy are also consistent with a diagnosis of ADEM.
Findings that would cause me to rule out the differential would include evidence of a peripheral nerve disorder (e.g., nerve conduction studies consistent with axonal degeneration), evidence of an infectious cause (e.g., positive results on polymerase chain reaction for a specific pathogen), or findings suggestive of spinal cord compression (e.g., MRI of the cervical spine with contrast showing evidence of spinal cord compression).
</t>
  </si>
  <si>
    <t>Psychiatry Case Challenge: Alarming Behavior in a 26-Year-Old Soldier and Father of Three</t>
  </si>
  <si>
    <t>https://reference.medscape.com/viewarticle/975750</t>
  </si>
  <si>
    <r>
      <rPr>
        <sz val="12"/>
        <color theme="1"/>
        <rFont val="Calibri"/>
      </rPr>
      <t xml:space="preserve">Acute stress disorder
Panic disorder
Obsessive-compulsive disorder
Adjustment disorder
</t>
    </r>
    <r>
      <rPr>
        <b/>
        <sz val="12"/>
        <color theme="1"/>
        <rFont val="Calibri"/>
      </rPr>
      <t>Posttraumatic stress disorder</t>
    </r>
  </si>
  <si>
    <t>Posttraumatic stress disorder</t>
  </si>
  <si>
    <t xml:space="preserve">The most likely diagnosis based on the presented information is post-traumatic stress disorder (PTSD). PTSD is a psychiatric condition that can occur after exposure to a traumatic event or experience, such as military combat.
The patient's symptoms, including recurrent nightmares, vivid imagery, and difficulty pushing thoughts about traumatic events out of his mind, are consistent with the re-experiencing symptoms of PTSD. The patient's wife's description of his changed behavior and mood, including increased anxiety and irritability, avoidance of reminders of the trauma, and difficulty engaging in daily activities, also align with the criteria for PTSD.
The patient's physical examination, including elevated heart rate, blood pressure, and respiration rate, hyperhidrosis, and tremulousness, suggest that he is in a state of significant distress, which is consistent with the hyperarousal symptoms of PTSD.
The patient's report of feeling guilty and his poor insight and judgment, along with the observed hypervigilance, also support a diagnosis of PTSD. The negative results of the urine toxicology screen and urinalysis suggest that the patient's symptoms are not related to substance abuse.
To rule out PTSD, a thorough evaluation would be needed to identify any other potential causes of the patient's symptoms, such as a medical condition, medication side effects, or a different psychiatric disorder. The evaluation would also include a comprehensive assessment of the patient's mental and physical health and a thorough review of his medical and psychiatric history.
</t>
  </si>
  <si>
    <t>A Scrotal Rash Lasting Months in a Man With Genital Edema</t>
  </si>
  <si>
    <t>https://reference.medscape.com/viewarticle/851819</t>
  </si>
  <si>
    <r>
      <rPr>
        <sz val="12"/>
        <color theme="1"/>
        <rFont val="Calibri"/>
      </rPr>
      <t xml:space="preserve">Eczema
Scrotal dermatitis
Fungal infection
</t>
    </r>
    <r>
      <rPr>
        <b/>
        <sz val="12"/>
        <color theme="1"/>
        <rFont val="Calibri"/>
      </rPr>
      <t>Cutaneous metastatic prostatic adenocarcinoma</t>
    </r>
  </si>
  <si>
    <t>Cutaneous metastatic prostatic adenocarcinoma</t>
  </si>
  <si>
    <t>On the basis of these findings only, the most likely diagnosis is cutaneous metastatic prostatic adenocarcinoma.
Rationale: The patient has a history of prostate adenocarcinoma and recent elevated PSA levels (155 ng/dL), indicating prostate cancer progression. The presence of bone metastasis to the sternum, spine, and pelvis and the elevated alkaline phosphatase level (238 U/L) also support this diagnosis. The maculopapular rash on the scrotum, which is a rare but well-described presentation of cutaneous metastases from prostate adenocarcinoma, further supports this diagnosis.
Findings that would rule out this diagnosis include the presence of symptoms or signs suggestive of an alternative etiology for the rash, such as pruritus or tenderness, which would suggest eczema or scrotal dermatitis, or the presence of exudate or ulceration, which would suggest a fungal infection. Additionally, a biopsy of the rash that demonstrates a different type of cancer would also rule out cutaneous metastatic prostatic adenocarcinoma as the cause of the rash.</t>
  </si>
  <si>
    <t>A 22-Year-Old Female College Athlete With Wild Mood Swings</t>
  </si>
  <si>
    <t>https://reference.medscape.com/viewarticle/975378</t>
  </si>
  <si>
    <r>
      <rPr>
        <sz val="12"/>
        <color theme="1"/>
        <rFont val="Calibri"/>
      </rPr>
      <t xml:space="preserve">Bipolar I disorder
Bipolar II disorder
</t>
    </r>
    <r>
      <rPr>
        <b/>
        <sz val="12"/>
        <color theme="1"/>
        <rFont val="Calibri"/>
      </rPr>
      <t>Cyclothymic disorder</t>
    </r>
    <r>
      <rPr>
        <sz val="12"/>
        <color theme="1"/>
        <rFont val="Calibri"/>
      </rPr>
      <t xml:space="preserve">
Major depressive disorder
Borderline personality disorder</t>
    </r>
  </si>
  <si>
    <t>Bipolar I disorder</t>
  </si>
  <si>
    <t>The most likely diagnosis is Bipolar I disorder.
Bipolar I disorder is characterized by alternating episodes of manic or hypomanic symptoms and depressive symptoms. The patient in the case study describes experiencing mood fluctuations that alternate between 2-3 days of feeling euphoric and "on top of the world" and 3-5 days of feeling low, sad, and hopeless. During the "up" phase, the patient reports feeling euphoric, having increased energy and motivation, and being distractible with racing thoughts. During the "low" phase, the patient reports feeling sad, hopeless, and unmotivated with low energy and anhedonia. These symptoms align with the diagnostic criteria for Bipolar I disorder.
Additionally, the fact that the patient's mood symptoms started in early adolescence and have persisted since then, with a recent increase in frequency and intensity, also supports a diagnosis of Bipolar I disorder. The patient's family history of a possible mental breakdown in the patient's father in his 20s is also a risk factor for the development of Bipolar I disorder.
To rule out the diagnosis of Bipolar I disorder, it would be necessary to evaluate the patient further, including a more detailed psychiatric history, a thorough assessment of the patient's symptoms and their impact on functioning, and a consideration of other potential differential diagnoses such as Substance/Medication-Induced Bipolar Disorder and Schizophrenia Spectrum and Other Psychotic Disorders.</t>
  </si>
  <si>
    <t>Pediatric Case Challenge: A 7-Year-Old Boy With a Limp and Obesity Who Fell in the Street</t>
  </si>
  <si>
    <t>https://reference.medscape.com/viewarticle/868041</t>
  </si>
  <si>
    <r>
      <rPr>
        <sz val="12"/>
        <color theme="1"/>
        <rFont val="Calibri"/>
      </rPr>
      <t xml:space="preserve">Septic arthritis
Transient synovitis
</t>
    </r>
    <r>
      <rPr>
        <b/>
        <sz val="12"/>
        <color theme="1"/>
        <rFont val="Calibri"/>
      </rPr>
      <t>Legg-Calvé-Perthes disease</t>
    </r>
    <r>
      <rPr>
        <sz val="12"/>
        <color theme="1"/>
        <rFont val="Calibri"/>
      </rPr>
      <t xml:space="preserve">
Slipped capital femoral epiphysis</t>
    </r>
  </si>
  <si>
    <t>Slipped capital femoral epiphysis</t>
  </si>
  <si>
    <t>The most likely diagnosis for this 7-year-old boy is Slipped Capital Femoral Epiphysis (SCFE).
The rationale for this diagnosis is based on the patient's history of worsening limp, decreasing mobility, and increasing left hip and knee pain, without any identified inciting trauma, and the physical examination findings of decreased range of motion in the left hip with pain elicited on passive internal rotation and positive tenderness to palpation at the left groin. These findings are consistent with SCFE, a condition where the growth plate of the femoral head slips out of place, causing hip pain and decreased range of motion.
Additionally, the patient's history of being markedly obese and his weight being well above the 95th percentile for boys of the same age, further supports the diagnosis of SCFE, as obesity is a known risk factor for the development of SCFE.
The frontal and lateral radiographs of the hips, obtained during the present visit, showed an interval change, which supports the diagnosis of SCFE.
To rule out this diagnosis, further imaging studies, such as magnetic resonance imaging (MRI), may be necessary to confirm the presence of SCFE and evaluate the extent of the slip.
In conclusion, the combination of the patient's history and physical examination findings, along with the interval change seen on the radiographs of the hips, makes SCFE the most likely diagnosis for this patient.</t>
  </si>
  <si>
    <t>Endo Case Challenge: A Cannabis User With Excessive Sweating and Syncope at Work</t>
  </si>
  <si>
    <t>https://reference.medscape.com/viewarticle/975148</t>
  </si>
  <si>
    <r>
      <rPr>
        <sz val="12"/>
        <color theme="1"/>
        <rFont val="Calibri"/>
      </rPr>
      <t xml:space="preserve">Non–islet cell insulin-producing neuroendocrine tumor
</t>
    </r>
    <r>
      <rPr>
        <b/>
        <sz val="12"/>
        <color theme="1"/>
        <rFont val="Calibri"/>
      </rPr>
      <t>Insulinoma</t>
    </r>
    <r>
      <rPr>
        <sz val="12"/>
        <color theme="1"/>
        <rFont val="Calibri"/>
      </rPr>
      <t xml:space="preserve">
Factitious hypoglycemia due to insulin administration
Factitious hypoglycemia due to sulfonylurea consumption</t>
    </r>
  </si>
  <si>
    <t>Insulinoma</t>
  </si>
  <si>
    <t>The most likely diagnosis in this case is an insulinoma, which is a rare type of neuroendocrine tumor that originates from the beta cells of the pancreas and secretes insulin.
The rationale for this diagnosis is based on several key findings in the patient's clinical presentation and laboratory values. The syncopal episode, excessive sweating, and low blood glucose levels (44 mg/dL) are all consistent with hypoglycemia, which is a common symptom of an insulinoma. The patient's reports of feeling unwell and having low blood glucose levels both during fasting and after high-carbohydrate meals also support this diagnosis.
The patient's insulin level (3 µIU/mL) is significantly lower than the reference range (5-15 µIU/mL), which indicates that the patient's body is not producing sufficient insulin, a hallmark of an insulinoma. Additionally, the patient's elevated proinsulin level (5 pmol/L) and elevated insulin-like growth factor 2 (IGF-2) level (400 ng/mL) are both consistent with an insulinoma.
On the other hand, the findings that would cause us to rule out a diagnosis of non–islet cell insulin-producing neuroendocrine tumor or factitious hypoglycemia due to insulin administration or sulfonylurea consumption would include:
For non–islet cell insulin-producing neuroendocrine tumor, the absence of elevated insulin levels, as well as normal cortisol, insulin-like growth factor 1, and metanephrine levels, would suggest that the tumor is not secreting insulin.
For factitious hypoglycemia due to insulin administration, the absence of evidence of exogenously administered insulin, such as history of self-injection or the presence of therapeutic insulin in the patient's serum, would rule out this diagnosis.
For factitious hypoglycemia due to sulfonylurea consumption, the absence of sulfonylurea use and normal beta-hydroxybutyrate levels would rule out this diagnosis.
Therefore, based on these findings, insulinoma is the most likely diagnosis. Further diagnostic testing, such as imaging studies (e.g., CT scan or MRI) or endoscopic ultrasound, may be necessary to confirm the diagnosis and determine the best course of treatment for the patient.</t>
  </si>
  <si>
    <t>An Athletic Teen Suddenly Prone to Falls and Fractures</t>
  </si>
  <si>
    <t>https://reference.medscape.com/viewarticle/849308</t>
  </si>
  <si>
    <r>
      <rPr>
        <sz val="12"/>
        <color theme="1"/>
        <rFont val="Calibri"/>
      </rPr>
      <t xml:space="preserve">Paget disease
</t>
    </r>
    <r>
      <rPr>
        <b/>
        <sz val="12"/>
        <color theme="1"/>
        <rFont val="Calibri"/>
      </rPr>
      <t>Vitamin D deficiency</t>
    </r>
    <r>
      <rPr>
        <sz val="12"/>
        <color theme="1"/>
        <rFont val="Calibri"/>
      </rPr>
      <t xml:space="preserve">
Osteogenesis imperfecta
Hypophosphatemic rickets</t>
    </r>
  </si>
  <si>
    <t>Hypophosphatemic rickets</t>
  </si>
  <si>
    <t>The most likely diagnosis in this case is hypophosphatemic rickets.
Rationale: The patient presents with a history of multiple fractures, which are more common than expected given his level of physical activity, as well as an outside radiology report indicating osteopenia. The laboratory results are consistent with hypophosphatemic rickets, including low levels of phosphorus (3 mg/dL, reference range 2.7-4.6 mg/dL) and 25-hydroxy vitamin D (20 ng/mL, reference range 25-100 ng/mL) and elevated alkaline phosphatase (370 IU/L, reference range 90-420 IU/L). The DEXA scan results also support the diagnosis, with low Z-scores at the left femoral neck, left hip, and lumbar spine.
The patient's history of type 1 diabetes, Hashimoto thyroiditis, and low vitamin D levels also increase the likelihood of hypophosphatemic rickets, as these conditions can affect bone health. Additionally, the patient's family history of Hashimoto thyroiditis and osteoporosis in his grandmother further support the diagnosis.
To rule out the differential, it would be important to evaluate the patient for any other causes of hypophosphatemia, such as renal phosphate wasting or malabsorption, and to consider genetic testing for genetic disorders associated with hypophosphatemic rickets, such as X-linked hypophosphatemia.
In conclusion, based on the patient's history, physical examination, laboratory results, and imaging, hypophosphatemic rickets is the most likely diagnosis in this case.</t>
  </si>
  <si>
    <t>An Office Worker With Abdominal Cramps, Burning Chest, Dyspnea</t>
  </si>
  <si>
    <t>https://reference.medscape.com/viewarticle/974769</t>
  </si>
  <si>
    <r>
      <rPr>
        <sz val="12"/>
        <color theme="1"/>
        <rFont val="Calibri"/>
      </rPr>
      <t xml:space="preserve">Celiac disease
</t>
    </r>
    <r>
      <rPr>
        <b/>
        <sz val="12"/>
        <color theme="1"/>
        <rFont val="Calibri"/>
      </rPr>
      <t>Colorectal cancer</t>
    </r>
    <r>
      <rPr>
        <sz val="12"/>
        <color theme="1"/>
        <rFont val="Calibri"/>
      </rPr>
      <t xml:space="preserve">
Anaplasmosis
Peptic ulcer disease
Small intestinal bacterial overgrowth</t>
    </r>
  </si>
  <si>
    <r>
      <rPr>
        <sz val="10"/>
        <color theme="1"/>
        <rFont val="Calibri"/>
      </rPr>
      <t xml:space="preserve">The most likely diagnosis based on the patient's findings is Peptic Ulcer Disease (PUD).
The patient's presentation of diffuse, intermittent abdominal cramping, worsening shortness of breath, fatigue, and an 8-lb weight loss are consistent with symptoms of PUD. The burning sensation radiating to the chest with food consumption and improvement with defecation is also consistent with PUD.
Additionally, the laboratory findings of a low hemoglobin level, low iron levels, low iron saturation, and low ferritin levels, along with guaiac-positive brown stool, suggest possible internal bleeding, which can be a complication of PUD. The normal ECG and normal endoscopy findings are also consistent with PUD.
However, other findings such as elevated aspartate aminotransferase and alanine aminotransferase levels, elevated alkaline phosphatase, and a borderline prolonged QT interval are not specific to PUD and </t>
    </r>
    <r>
      <rPr>
        <b/>
        <sz val="10"/>
        <color theme="1"/>
        <rFont val="Calibri"/>
      </rPr>
      <t>could also be seen in other conditions such as liver disease, cancer</t>
    </r>
    <r>
      <rPr>
        <sz val="10"/>
        <color theme="1"/>
        <rFont val="Calibri"/>
      </rPr>
      <t xml:space="preserve">, or other gastrointestinal disorders.
To rule out other conditions and confirm the diagnosis of PUD, further testing, including colonoscopy, is necessary. If the biopsy results for Helicobacter pylori are positive, this would support the diagnosis of PUD. If the biopsy results are negative and other findings are consistent with PUD, other causes of gastrointestinal bleeding, such as </t>
    </r>
    <r>
      <rPr>
        <b/>
        <sz val="10"/>
        <color theme="1"/>
        <rFont val="Calibri"/>
      </rPr>
      <t>colorectal cancer, should be ruled out with a colonoscopy.</t>
    </r>
    <r>
      <rPr>
        <sz val="10"/>
        <color theme="1"/>
        <rFont val="Calibri"/>
      </rPr>
      <t xml:space="preserve">
In conclusion, based on the patient's presentation and laboratory findings, PUD is the most likely diagnosis, but further testing is necessary to confirm the diagnosis and rule out other conditions.</t>
    </r>
  </si>
  <si>
    <t>Cardio Case Challenge: A Confused 35-Year-Old With Headache, Fever, and Sore Chest</t>
  </si>
  <si>
    <t>https://reference.medscape.com/viewarticle/974770</t>
  </si>
  <si>
    <r>
      <rPr>
        <sz val="12"/>
        <color theme="1"/>
        <rFont val="Calibri"/>
      </rPr>
      <t xml:space="preserve">Giant cell myocarditis
</t>
    </r>
    <r>
      <rPr>
        <b/>
        <sz val="12"/>
        <color theme="1"/>
        <rFont val="Calibri"/>
      </rPr>
      <t>Eosinophilic myocarditis</t>
    </r>
    <r>
      <rPr>
        <sz val="12"/>
        <color theme="1"/>
        <rFont val="Calibri"/>
      </rPr>
      <t xml:space="preserve">
Viral myocarditis
Hypersensitivity myocarditis</t>
    </r>
  </si>
  <si>
    <t>Eosinophilic myocarditis</t>
  </si>
  <si>
    <t>The most likely diagnosis based on the given findings is Eosinophilic Myocarditis.
Eosinophilic myocarditis is a type of myocarditis that is characterized by an infiltration of eosinophils into the myocardium. In this condition, elevated eosinophil levels are seen in the blood, which is consistent with the patient's results, as he has an absolute eosinophil count of 16,640 cells/µL, which is well above the reference range of 0-500 cells/µL.
In addition to the elevated eosinophil count, the elevated troponin levels, which reached a peak of 18.2 ng/mL, suggest the presence of myocardial injury, which is consistent with myocarditis. The increased erythrocyte sedimentation rate (ESR) of 20 mm/h and the elevated C-reactive protein level of 19.60 mg/dL also support the diagnosis of inflammation.
To rule out other differential diagnoses, additional tests such as an echocardiogram, cardiac MRI, or biopsy of the myocardium may be needed to confirm the diagnosis and determine the underlying cause of the eosinophilic infiltration. The presence of other findings such as fever, headache, and confusion would also need to be thoroughly evaluated to rule out other potential causes.
In conclusion, based on the patient's elevated eosinophil count, elevated troponin levels, increased ESR and CRP, and the absence of other findings that would support alternative diagnoses, eosinophilic myocarditis is the most likely diagnosis.</t>
  </si>
  <si>
    <t>A Woman With Back, Chest Pain After Eating Wings at a Restaurant</t>
  </si>
  <si>
    <t>https://reference.medscape.com/viewarticle/885533</t>
  </si>
  <si>
    <r>
      <rPr>
        <sz val="12"/>
        <color theme="1"/>
        <rFont val="Calibri"/>
      </rPr>
      <t xml:space="preserve">Antiphospholipid syndrome
</t>
    </r>
    <r>
      <rPr>
        <b/>
        <sz val="12"/>
        <color theme="1"/>
        <rFont val="Calibri"/>
      </rPr>
      <t>Lupus-associated thrombotic thrombocytopenic purpura</t>
    </r>
    <r>
      <rPr>
        <sz val="12"/>
        <color theme="1"/>
        <rFont val="Calibri"/>
      </rPr>
      <t xml:space="preserve">
Sepsis-induced thrombocytopenia
Idiopathic thrombocytopenic purpura
Disseminated intravascular coagulation</t>
    </r>
  </si>
  <si>
    <t>Sepsis-induced thrombocytopenia</t>
  </si>
  <si>
    <r>
      <rPr>
        <sz val="10"/>
        <color theme="1"/>
        <rFont val="Calibri"/>
      </rPr>
      <t xml:space="preserve">The most likely diagnosis in this case is Sepsis-induced thrombocytopenia. The following findings support this diagnosis:
</t>
    </r>
    <r>
      <rPr>
        <b/>
        <sz val="10"/>
        <color theme="1"/>
        <rFont val="Calibri"/>
      </rPr>
      <t>The patient presents with symptoms consistent with sepsis</t>
    </r>
    <r>
      <rPr>
        <sz val="10"/>
        <color theme="1"/>
        <rFont val="Calibri"/>
      </rPr>
      <t>, including nausea, vomiting, diarrhea, abdominal pain, and chest pain.
The patient's liver function tests are elevated, with ALT levels at 109 U/L and AST levels at 234 U/L, which can be indicative of liver dysfunction often seen in sepsis.
The patient's haptoglobin level is below the reference range, at &lt;8 mg/dL, which is another laboratory finding associated with sepsis.
The peripheral blood smear reveals schistocytes, which can be indicative of microangiopathic hemolytic anemia, a known complication of sepsis.
The blood and urine cultures are negative, which rules out an active bacterial infection as the cause of the patient's sepsis.
In comparison, Antiphospholipid syndrome can be ruled out due to the negative findings on the antiphospholipid syndrome panel. Lupus-associated thrombotic thrombocytopenic purpura can be ruled out because the patient's ADAMTS13 activity is normal, and there is no evidence of thrombocytopenia due to a deficiency of this protease. Idiopathic thrombocytopenic purpura can be ruled out due to the absence of evidence of autoimmune destruction of platelets and normal Coombs test results. Disseminated intravascular coagulation can also be ruled out due to normal PT, PTT, fibrinogen level, and antithrombin III function.
In conclusion, the findings support a diagnosis of Sepsis-induced thrombocytopenia, and the presence of multiple symptoms, laboratory results, and imaging findings are consistent with this diagnosis.</t>
    </r>
  </si>
  <si>
    <t>Neurology Case Challenge: A 19-Year-Old With Tinnitus, Vision Problems, and Headaches</t>
  </si>
  <si>
    <t>https://reference.medscape.com/viewarticle/874063</t>
  </si>
  <si>
    <r>
      <rPr>
        <sz val="12"/>
        <color theme="1"/>
        <rFont val="Calibri"/>
      </rPr>
      <t xml:space="preserve">Tuberculous meningitis
Space-occupying lesion
</t>
    </r>
    <r>
      <rPr>
        <b/>
        <sz val="12"/>
        <color theme="1"/>
        <rFont val="Calibri"/>
      </rPr>
      <t>Pseudotumor cerebri</t>
    </r>
    <r>
      <rPr>
        <sz val="12"/>
        <color theme="1"/>
        <rFont val="Calibri"/>
      </rPr>
      <t xml:space="preserve">
Choroid plexus papilloma</t>
    </r>
  </si>
  <si>
    <t>Pseudotumor cerebri</t>
  </si>
  <si>
    <t>The most likely diagnosis based on the findings is Pseudotumor cerebri (also known as Idiopathic Intracranial Hypertension).
Rationale:
The patient presents with headache, pulsatile tinnitus, and transient visual obscurations, which are typical symptoms of pseudotumor cerebri.
The sixth nerve palsy on the left side and bilateral optic disc swelling seen on funduscopic examination are also consistent with this diagnosis.
The elevated opening pressure of 300 mm H20 on the lumbar puncture and the normal results on the MRI of the brain and MRA and MRV of the head further support a diagnosis of pseudotumor cerebri.
The patient's obesity is a known risk factor for developing pseudotumor cerebri.
Findings that would rule out the differential diagnosis of pseudotumor cerebri would include the presence of parenchymal lesions or meningeal enhancement on the MRI, or abnormal results on the MRA or MRV. Additionally, if the patient had a history of recurrent infections, cancer, or exposure to ototoxic drugs, it would be necessary to consider alternative diagnoses.</t>
  </si>
  <si>
    <t>Ob/Gyn Case Challenge: A 33-Year-Old Woman Trying to Conceive Has Dyspnea, Pain</t>
  </si>
  <si>
    <t>https://reference.medscape.com/viewarticle/845962</t>
  </si>
  <si>
    <r>
      <rPr>
        <sz val="12"/>
        <color theme="1"/>
        <rFont val="Calibri"/>
      </rPr>
      <t xml:space="preserve">Heterotopic pregnancy
Ovarian torsion
</t>
    </r>
    <r>
      <rPr>
        <b/>
        <sz val="12"/>
        <color theme="1"/>
        <rFont val="Calibri"/>
      </rPr>
      <t>Ovarian hyperstimulation syndrome</t>
    </r>
    <r>
      <rPr>
        <sz val="12"/>
        <color theme="1"/>
        <rFont val="Calibri"/>
      </rPr>
      <t xml:space="preserve">
Pulmonary embolism</t>
    </r>
  </si>
  <si>
    <t>Ovarian torsion</t>
  </si>
  <si>
    <t>The most likely diagnosis in this case is Ovarian Torsion.
The patient's symptoms of sudden onset of shortness of breath, generalized abdominal pain with distention, nausea, and nonbloody, nonbilious vomiting, and pain that worsens with deep breathing and lying flat are all consistent with ovarian torsion. The patient's history of polycystic ovary syndrome (PCOS) and recent controlled ovarian stimulation with gonadotropins and transvaginal ultrasonography-guided oocyte retrieval increase her risk for ovarian torsion. Additionally, the physical examination findings of distended abdomen, moderate tenderness to palpation throughout the abdomen, and positive fluid wave are all consistent with ovarian torsion.
However, findings that would cause me to rule out this differential include a positive bimanual examination or the presence of a palpable mass or organomegaly on abdominal examination. Additionally, if the patient had a known history of deep vein thrombosis or pulmonary embolism, or if her pulmonary examination revealed signs of a pulmonary embolism, such as decreased oxygen saturation, cyanosis, or rales, I would consider Pulmonary Embolism as an alternative diagnosis.
Overall, the clinical presentation, physical examination, and patient history suggest ovarian torsion as the most likely diagnosis in this case, but it is important to consider other potential causes of the patient's symptoms and to perform further testing as needed to confirm the diagnosis.</t>
  </si>
  <si>
    <t>A Patient Who Collapsed in Agony After Echocardiography</t>
  </si>
  <si>
    <t>https://reference.medscape.com/viewarticle/973953</t>
  </si>
  <si>
    <r>
      <rPr>
        <sz val="12"/>
        <color theme="1"/>
        <rFont val="Calibri"/>
      </rPr>
      <t xml:space="preserve">Chronic obstructive pulmonary disease exacerbation
Diastolic heart failure exacerbation
Severe mitral valve regurgitation
</t>
    </r>
    <r>
      <rPr>
        <b/>
        <sz val="12"/>
        <color theme="1"/>
        <rFont val="Calibri"/>
      </rPr>
      <t>Pseudoallergic reaction</t>
    </r>
    <r>
      <rPr>
        <sz val="12"/>
        <color theme="1"/>
        <rFont val="Calibri"/>
      </rPr>
      <t xml:space="preserve">
Sepsis secondary to upper respiratory tract infection</t>
    </r>
  </si>
  <si>
    <t>Diastolic heart failure exacerbation</t>
  </si>
  <si>
    <r>
      <rPr>
        <sz val="10"/>
        <color theme="1"/>
        <rFont val="Calibri"/>
      </rPr>
      <t xml:space="preserve">Diastolic heart failure exacerbation is the most likely diagnosis based on the findings in the case information.
Rationale:
The patient's past medical history of coronary artery disease, hypertension, and hyperlipidemia puts him at a higher risk for developing heart failure.
The elevated fasting glucose level and elevated low-density lipoprotein cholesterol level also contribute to the risk of developing heart failure.
The patient's presentation with orthopnea, dyspnea on exertion, and increase in peripheral edema are symptoms that are consistent with heart failure.
The normal sinus rhythm and the normal ECG intervals support the diagnosis of heart failure.
The ECG demonstrated poor R-wave progression and evidence of left ventricular hypertrophy, which are findings that are indicative of previous myocardial damage and support the diagnosis of heart failure.
</t>
    </r>
    <r>
      <rPr>
        <b/>
        <sz val="10"/>
        <color theme="1"/>
        <rFont val="Calibri"/>
      </rPr>
      <t>The patient's BNP level was within normal limits, which is also consistent with a diagnosis of heart failure.</t>
    </r>
    <r>
      <rPr>
        <sz val="10"/>
        <color theme="1"/>
        <rFont val="Calibri"/>
      </rPr>
      <t xml:space="preserve">
Findings that would cause us to rule out the differential:
If the patient's heart rate was found to be irregular or if there was evidence of an arrhythmia on the ECG, this would suggest that the patient's symptoms are not related to heart failure but rather due to an underlying cardiac rhythm disturbance.
If the patient's BNP level was elevated, this would suggest that the patient's symptoms are due to severe heart failure, rather than a simple exacerbation of diastolic heart failure.
If the patient's symptoms were found to be due to an acute infection, such as pneumonia, this would suggest that the patient's symptoms are </t>
    </r>
  </si>
  <si>
    <t>Oncology Case Challenge: A 45-Year-Old Father Seeking Vasectomy Has Alarming Findings</t>
  </si>
  <si>
    <t>https://reference.medscape.com/viewarticle/973582</t>
  </si>
  <si>
    <r>
      <rPr>
        <b/>
        <sz val="12"/>
        <color theme="1"/>
        <rFont val="Calibri"/>
      </rPr>
      <t>Renal cell carcinoma</t>
    </r>
    <r>
      <rPr>
        <sz val="12"/>
        <color theme="1"/>
        <rFont val="Calibri"/>
      </rPr>
      <t xml:space="preserve">
Wilms tumor
Polycystic kidney disease
Pheochromocytoma</t>
    </r>
  </si>
  <si>
    <t>Renal cell carcinoma</t>
  </si>
  <si>
    <t>The most likely diagnosis based on the findings is Renal Cell Carcinoma.
The presence of a right renal mass with a renal vein thrombosis and scattered round, well-circumscribed pulmonary nodules at the lung bases, as seen on the CT scan, is highly suggestive of renal cell carcinoma. This type of renal cancer often invades the renal vein and causes thrombosis. The positive urinalysis for blood and the slightly decreased hemoglobin levels and MCV are also consistent with renal cell carcinoma.
Polycystic kidney disease, while a possibility, is less likely given the presence of a discrete renal mass. Pheochromocytoma, while a possibility, is less likely given the lack of findings suggesting catecholamine excess (such as elevated blood pressure or heart rate) and the lack of an adrenal mass on the CT scan. Wilms tumor, while a possibility, is less likely given the patient's age and the absence of other characteristic findings of this tumor in children, such as an abdominal mass.
Findings that would cause us to rule out the differential of renal cell carcinoma and consider alternative diagnoses would include the presence of cysts on the CT scan, which would suggest polycystic kidney disease, or the presence of an adrenal mass, which would suggest pheochromocytoma. The presence of other symptoms or findings that would not be consistent with renal cell carcinoma, such as elevated levels of catecholamines or high blood pressure, would also cause us to reconsider this diagnosis.</t>
  </si>
  <si>
    <t>A Divorced Man With Back Pain After Trip With New Girlfriend</t>
  </si>
  <si>
    <t>https://reference.medscape.com/viewarticle/933451</t>
  </si>
  <si>
    <r>
      <rPr>
        <sz val="12"/>
        <color theme="1"/>
        <rFont val="Calibri"/>
      </rPr>
      <t xml:space="preserve">Ibuprofen-related acute kidney injury
Pott disease
</t>
    </r>
    <r>
      <rPr>
        <b/>
        <sz val="12"/>
        <color theme="1"/>
        <rFont val="Calibri"/>
      </rPr>
      <t>Multiple myeloma</t>
    </r>
    <r>
      <rPr>
        <sz val="12"/>
        <color theme="1"/>
        <rFont val="Calibri"/>
      </rPr>
      <t xml:space="preserve">
Primary paraspinal pyomyositis</t>
    </r>
  </si>
  <si>
    <t>Multiple myeloma</t>
  </si>
  <si>
    <t>Based on the information provided in the case, the most likely diagnosis is Multiple Myeloma.
Multiple myeloma is a type of cancer that affects plasma cells, which are a type of white blood cell. The primary symptoms of multiple myeloma include fatigue, bone pain, anemia, and hypercalcemia. In this case, the patient reports fatigue and low back pain, which has been relieved by over-the-counter ibuprofen, and also exhibits mild conjunctival pallor and elevated ESR, consistent with anemia. The patient also has elevated serum calcium levels, which is a hallmark of multiple myeloma. The elevated creatinine level and decreased albumin levels also support the diagnosis of multiple myeloma.
The findings that would cause me to rule out the differential diagnoses include negative results on the HIV screen test and a normal chest radiography and thoracolumbar spine radiography. Both of these findings suggest that the patient's symptoms are not being caused by a systemic infection or a vertebral or spinal cord lesion. The absence of joint pain, swelling, or other symptoms of rheumatoid arthritis also supports a diagnosis of multiple myeloma over primary paraspinal pyomyositis.
In conclusion, based on the patient's symptoms and laboratory results, multiple myeloma is the most likely diagnosis. Further testing, such as an MRI of the spine and a bone marrow biopsy, may be necessary to confirm the diagnosis and rule out other possibilities.</t>
  </si>
  <si>
    <t>Facial Spasms in a Man Recently Released From the Hospital</t>
  </si>
  <si>
    <t>https://reference.medscape.com/viewarticle/973267</t>
  </si>
  <si>
    <r>
      <rPr>
        <sz val="12"/>
        <color theme="1"/>
        <rFont val="Calibri"/>
      </rPr>
      <t xml:space="preserve">Giant cell arteritis
Myasthenia gravis
Transient ischemic attack
</t>
    </r>
    <r>
      <rPr>
        <b/>
        <sz val="12"/>
        <color theme="1"/>
        <rFont val="Calibri"/>
      </rPr>
      <t>Partial cranial nerve III palsy</t>
    </r>
  </si>
  <si>
    <t>Partial cranial nerve III palsy</t>
  </si>
  <si>
    <t xml:space="preserve">The most likely diagnosis based on the given information is Partial Cranial Nerve III Palsy.
The patient's symptoms of diplopia and impaired upgaze and medial gaze of the left eye suggest a problem with the cranial nerve III, which controls the lateral rectus and superior rectus muscles responsible for these eye movements. The fact that the extraocular movements of the right eye are intact, the diplopia occurs with binocular vision, and there is no evidence of head or jaw tremor all support the diagnosis of partial cranial nerve III palsy. Additionally, the patient's history of recent acute onset of hemicranial headache and diplopia that began unprovoked while he was walking suggests a possible compressive lesion, such as a temporal artery aneurysm, as a cause of the partial cranial nerve III palsy.
To rule out other differentials, further testing such as imaging studies, such as MRI or CT scan, may be necessary to evaluate the patient's cranial nerves and search for any evidence of a compressive lesion. In the absence of other symptoms such as facial weakness or ptosis, it is unlikely that the patient has myasthenia gravis. The absence of other symptoms such as jaw or tongue claudication, headache, or tenderness of the temporal arteries makes giant cell arteritis an unlikely diagnosis. Transient ischemic attack would not typically cause a persistent deficit in eye movement control, and the patient's history of amaurosis fugax in the past suggests a vascular cause for his symptoms rather than a transient ischemic attack.
</t>
  </si>
  <si>
    <t>Gastro Case Challenge: A Woman Who Abstains from Alcohol Has Worsening Abdominal Pain</t>
  </si>
  <si>
    <t>https://reference.medscape.com/viewarticle/720150</t>
  </si>
  <si>
    <r>
      <rPr>
        <sz val="12"/>
        <color theme="1"/>
        <rFont val="Calibri"/>
      </rPr>
      <t xml:space="preserve">Fatty infiltration of the pancreas
</t>
    </r>
    <r>
      <rPr>
        <b/>
        <sz val="12"/>
        <color theme="1"/>
        <rFont val="Calibri"/>
      </rPr>
      <t>Dorsal agenesis of the pancreas</t>
    </r>
    <r>
      <rPr>
        <sz val="12"/>
        <color theme="1"/>
        <rFont val="Calibri"/>
      </rPr>
      <t xml:space="preserve">
Pancreas divisum
Autogenesis of the pancreas</t>
    </r>
  </si>
  <si>
    <t>Pancreas divisum</t>
  </si>
  <si>
    <t>Based on the case information, the most likely diagnosis is Pancreas Divisum.
Pancreas Divisum is a congenital abnormality characterized by the failure of the ducts of the pancreas to fuse during embryonic development. This results in two separate pancreatic ducts, which can cause problems with the flow of digestive enzymes. The condition has been associated with chronic pancreatitis, as well as acute pancreatitis, which is what the patient presents with.
The absence of elevated levels of pancreatic enzymes (serum amylase, lipase) and the normal abdominal and pelvic CT scan support the diagnosis of Pancreas Divisum. Magnetic Resonance Cholangiopancreatography (MRCP) can be used to visualize the ductal anatomy of the pancreas and confirm the diagnosis. The findings on MRCP can show the separate ductal systems, which is a hallmark of Pancreas Divisum.
On the other hand, Fatty infiltration of the pancreas and Autogenesis of the pancreas are not associated with pancreatitis and are unlikely to be the cause of the patient's symptoms. Dorsal agenesis of the pancreas is a rare condition where a portion of the pancreas is missing and can lead to exocrine and endocrine insufficiency. However, this condition is usually associated with other congenital anomalies and is not typically associated with pancreatitis.
Ruling out the diagnosis of Pancreas Divisum would require further testing and imaging to identify alternative causes of the patient's symptoms. For example, if biopsy results show inflammation and/or fibrosis, this would suggest a different etiology such as autoimmune pancreatitis or a pseudocyst. Alternatively, if the MRCP shows no evidence of Pancreas Divisum and instead reveals a dilated main pancreatic duct, this would suggest a different diagnosis such as a stricture or obstruction in the duct.</t>
  </si>
  <si>
    <t>Oncology Case Challenge: A Retired Man With Left Upper Quadrant Pain, Leukocytosis</t>
  </si>
  <si>
    <t>https://reference.medscape.com/viewarticle/972696</t>
  </si>
  <si>
    <r>
      <rPr>
        <sz val="12"/>
        <color theme="1"/>
        <rFont val="Calibri"/>
      </rPr>
      <t xml:space="preserve">Acute lymphoblastic leukemia
Chronic lymphocytic leukemia
Chronic myelomonocytic leukemia
Hairy cell leukemia
</t>
    </r>
    <r>
      <rPr>
        <b/>
        <sz val="12"/>
        <color theme="1"/>
        <rFont val="Calibri"/>
      </rPr>
      <t>Hairy cell leukemia variant</t>
    </r>
  </si>
  <si>
    <t>Hairy cell leukemia</t>
  </si>
  <si>
    <r>
      <rPr>
        <sz val="10"/>
        <color theme="1"/>
        <rFont val="Calibri"/>
      </rPr>
      <t xml:space="preserve">The most likely diagnosis based on the findings described in the case is Hairy Cell Leukemia (HCL).
Rationale: The presence of peripheral blood smear showing atypical lymphocytes with cytoplasmic projections, flow cytometry examination revealing a clonal B-cell population, and positive staining for CD20 and PAX5 in the bone marrow biopsy are all indicative of a hematologic malignancy. </t>
    </r>
    <r>
      <rPr>
        <b/>
        <sz val="10"/>
        <color theme="1"/>
        <rFont val="Calibri"/>
      </rPr>
      <t>The negative staining for CD5, CD10, cyclin D1, BCL-6, and CD123</t>
    </r>
    <r>
      <rPr>
        <sz val="10"/>
        <color theme="1"/>
        <rFont val="Calibri"/>
      </rPr>
      <t xml:space="preserve"> further narrows down the possibilities to a B-cell malignancy.
Additionally, the presence of splenomegaly, the response to treatment with cladribine and rituximab, and the relapse after treatment suggest that this is a chronic leukemia. The relapse is also supported by the persistent lymphocytosis and the positive flow cytometric analysis of the peripheral blood.
Furthermore, the presence of the MAP2K1 mutation and the absence of BRAF, IGHV, and downstream MEK/ERK mutations suggest that this is a hairy cell leukemia, as these mutations are commonly seen in HCL. The presence of atypical hairy lymphoid cells in the cerebrospinal fluid further supports the diagnosis of HCL.
Findings that would cause us to rule out this differential would include the presence of a T-cell phenotype in the flow cytometry analysis, the expression of CD10 or cyclin D1, and the presence of the Philadelphia chromosome or BCR-ABL fusion gene. The absence of these findings supports the diagnosis of HCL.
Overall, based on the presence of typical clinical, laboratory, and imaging findings, Hairy Cell Leukemia is the most likely diagnosis.
</t>
    </r>
  </si>
  <si>
    <t>A Coffee Drinker With Sudden-Onset Dyspnea, Tachycardia</t>
  </si>
  <si>
    <t>https://reference.medscape.com/viewarticle/842254</t>
  </si>
  <si>
    <r>
      <rPr>
        <sz val="12"/>
        <color theme="1"/>
        <rFont val="Calibri"/>
      </rPr>
      <t xml:space="preserve">Ventricular fibrillation
</t>
    </r>
    <r>
      <rPr>
        <b/>
        <sz val="12"/>
        <color theme="1"/>
        <rFont val="Calibri"/>
      </rPr>
      <t>Atrial fibrillation</t>
    </r>
    <r>
      <rPr>
        <sz val="12"/>
        <color theme="1"/>
        <rFont val="Calibri"/>
      </rPr>
      <t xml:space="preserve">
Torsade de pointes
Sinus tachycardia</t>
    </r>
  </si>
  <si>
    <t>Torsade de pointes</t>
  </si>
  <si>
    <t>Based on the information provided in the case, the most likely diagnosis is Torsade de Pointes.
The patient presents with sudden onset of rapid heart rate and palpitations, along with shortness of breath. The rhythm strip and cardiac monitor show a rapid, irregular heart rate with a momentary period of asystole after the administration of adenosine, which supports the diagnosis of Torsade de Pointes.
Torsade de Pointes is a type of ventricular tachycardia characterized by a polymorphic QRS complex with a changing axis that can progress to ventricular fibrillation. The rapid, irregular heart rate and the presence of a momentary period of asystole support the diagnosis of Torsade de Pointes.
Additionally, the patient's history of increased stress, coffee consumption, and smoking, as well as his family history of myocardial infarction, all increase the likelihood of Torsade de Pointes, as these are all factors known to increase the risk of this condition.
To rule out this differential, the presence of other conditions such as electrolyte imbalances, drug toxicity, or underlying cardiac disease would need to be investigated. If a cause for the torsade is found, such as a medication with a known pro-arrhythmic effect or electrolyte imbalances, this would support ruling out Torsade de Pointes as the most likely diagnosis. The presence of other ECG findings, such as a consistent QRS axis or the presence of ventricular fibrillation, would also support ruling out Torsade de Pointes.</t>
  </si>
  <si>
    <t>PCP Case Challenge: Lesions on the Hands, Palms, and Feet of a 57-Year-Old Man</t>
  </si>
  <si>
    <t>https://reference.medscape.com/viewarticle/847158</t>
  </si>
  <si>
    <r>
      <rPr>
        <sz val="12"/>
        <color theme="1"/>
        <rFont val="Calibri"/>
      </rPr>
      <t xml:space="preserve">Allergic contact dermatitis
Herpes simplex
Impetigo
</t>
    </r>
    <r>
      <rPr>
        <b/>
        <sz val="12"/>
        <color theme="1"/>
        <rFont val="Calibri"/>
      </rPr>
      <t>Dyshidrotic eczema</t>
    </r>
  </si>
  <si>
    <t>Dyshidrotic eczema</t>
  </si>
  <si>
    <t>On the basis of the information provided, the most likely diagnosis is Dyshidrotic Eczema.
Rationale:
Dyshidrotic Eczema is a type of eczema that affects the palms of the hands and the soles of the feet and is characterized by the presence of fluid-filled vesicles on the skin. The symptoms described in the case, such as the presence of vesiculobullous lesions on the feet and hands, which are skin-colored and without any surrounding erythema, are consistent with the presentation of dyshidrotic eczema. Additionally, the patient's report of pruritus is a common symptom of this condition.
Findings that would cause us to rule out this differential would include the presence of vesicles in other locations, such as the face, mucous membranes, or areas of the body that are not typical for dyshidrotic eczema. Additionally, if the patient had a history of allergies, particularly a history of atopic dermatitis, or if the vesicles were found to be purulent or had a yellowish appearance, it would suggest a different diagnosis, such as impetigo or herpes simplex, respectively.
In conclusion, dyshidrotic eczema is the most likely diagnosis based on the information provided, but further evaluation, including skin biopsy, is needed to confirm the diagnosis and rule out other potential causes of vesiculobullous lesions.</t>
  </si>
  <si>
    <t>True Positive, Yes</t>
  </si>
  <si>
    <t>A 36-Year-Old Woman With Flatulence and Memory Problems</t>
  </si>
  <si>
    <t>https://reference.medscape.com/viewarticle/893850</t>
  </si>
  <si>
    <r>
      <rPr>
        <sz val="12"/>
        <color theme="1"/>
        <rFont val="Calibri"/>
      </rPr>
      <t xml:space="preserve">Infectious agent causing gastroenteritis
Irritable bowel syndrome
Celiac disease
</t>
    </r>
    <r>
      <rPr>
        <b/>
        <sz val="12"/>
        <color theme="1"/>
        <rFont val="Calibri"/>
      </rPr>
      <t>Nonceliac gluten sensitivity</t>
    </r>
    <r>
      <rPr>
        <sz val="12"/>
        <color theme="1"/>
        <rFont val="Calibri"/>
      </rPr>
      <t xml:space="preserve">
Hyperthyroidism</t>
    </r>
  </si>
  <si>
    <t>Nonceliac gluten sensitivity</t>
  </si>
  <si>
    <t>Based on the patient's history and physical examination findings, the most likely diagnosis is nonceliac gluten sensitivity.
Rationale:
The patient presents with recurrent diarrhea, abdominal cramping, bloating, and increased flatulence after eating, as well as a "foggy brain," muscle and joint aches, and normal serology for celiac disease. These symptoms suggest a possible gastrointestinal intolerance to gluten, which is a protein found in wheat, barley, and rye. Although the patient had a normal EGD and duodenal biopsy results, the presence of intraepithelial lymphocytes suggests a mild form of enteropathy, which could indicate nonceliac gluten sensitivity.
In addition, the patient's improvement in symptoms after cutting out gluten-containing foods and the gradual return of symptoms after restarting them supports the diagnosis of nonceliac gluten sensitivity. While celiac disease is a more severe form of gluten intolerance that involves autoimmune destruction of the small intestinal mucosa and requires a gluten-free diet, nonceliac gluten sensitivity does not involve autoimmune destruction and can be managed with a gluten-free diet.
Findings that would rule out nonceliac gluten sensitivity would include a positive serology for celiac disease, the presence of crypt hyperplasia or villous atrophy on biopsy, or the development of symptoms consistent with other forms of inflammatory bowel disease.</t>
  </si>
  <si>
    <t>A School Nurse With Anxiety, Diarrhea, Palpitations, and Cough</t>
  </si>
  <si>
    <t>https://reference.medscape.com/viewarticle/972301</t>
  </si>
  <si>
    <r>
      <rPr>
        <sz val="12"/>
        <color theme="1"/>
        <rFont val="Calibri"/>
      </rPr>
      <t xml:space="preserve">Clostridioides difficile colitis
Hyperthyroidism
Reactivation of lymphoma
Colon adenocarcinoma
</t>
    </r>
    <r>
      <rPr>
        <b/>
        <sz val="12"/>
        <color theme="1"/>
        <rFont val="Calibri"/>
      </rPr>
      <t>SARS-CoV-2 infection</t>
    </r>
  </si>
  <si>
    <t>Clostridioides difficile colitis</t>
  </si>
  <si>
    <r>
      <rPr>
        <sz val="10"/>
        <color theme="1"/>
        <rFont val="Calibri"/>
      </rPr>
      <t xml:space="preserve">Based on the information given, the most likely diagnosis is Clostridioides difficile colitis.
The patient's presentation of diarrhea (three to four watery bowel movements per day) with no abdominal pain, along with a history of taking antibiotics and being a healthcare worker (which is a risk factor for exposure to C. difficile) make this the most likely diagnosis. The absence of fever, chills, or other systemic symptoms also supports a gastrointestinal cause for the symptoms.
C. difficile colitis can lead to dehydration, which could account for the patient's weakness and decreased ability to walk, although this presentation is non-specific.
To confirm the diagnosis, a stool sample would need to be collected and tested for the presence of C. difficile toxins. If the test is positive, this would support the diagnosis of C. difficile colitis. If the test is negative, other potential causes of the symptoms (such as other infections or inflammatory bowel disease) would need to be considered.
To rule out hyperthyroidism as a cause, a thyroid-stimulating hormone (TSH) level and a free thyroxine (FT4) level would need to be checked. If these levels are consistent with hyperthyroidism, this would need to be treated and evaluated further.
To rule out reactivation of lymphoma, a complete blood count (CBC) with differential and a lactate dehydrogenase (LDH) level would need to be checked. If these values are elevated, imaging studies (such as a computed tomography scan or a positron emission tomography scan) would be needed to assess for any evidence of lymphoma.
To rule out colon adenocarcinoma, a colonoscopy would be necessary to visualize the colon and check for any evidence of malignancy.
The negative rapid antigen test for SARS-CoV-2 and the patient's history of vaccination and </t>
    </r>
    <r>
      <rPr>
        <b/>
        <sz val="10"/>
        <color theme="1"/>
        <rFont val="Calibri"/>
      </rPr>
      <t>low risk of exposure make SARS-CoV-2 infection an unlikely diagnosis in this case.</t>
    </r>
  </si>
  <si>
    <t>Cardio Case Challenge: Syncope in a 53-Year-Old Woman With Dyspnea and Morning Chest Pain</t>
  </si>
  <si>
    <t>https://reference.medscape.com/viewarticle/745798</t>
  </si>
  <si>
    <r>
      <rPr>
        <sz val="12"/>
        <color theme="1"/>
        <rFont val="Calibri"/>
      </rPr>
      <t xml:space="preserve">Myocardial infarction
Torsade de pointes secondary to long-QT syndrome
Hypertrophic cardiomyopathy
</t>
    </r>
    <r>
      <rPr>
        <b/>
        <sz val="12"/>
        <color theme="1"/>
        <rFont val="Calibri"/>
      </rPr>
      <t>Prinzmetal angina or variant angina</t>
    </r>
  </si>
  <si>
    <t>Prinzmetal angina or variant angina</t>
  </si>
  <si>
    <t>The most likely diagnosis based on the case information is Prinzmetal angina or variant angina.
Prinzmetal angina or variant angina is a type of acute coronary syndrome that occurs when the coronary arteries constrict and reduce blood flow to the heart, causing chest pain and increased risk of cardiac arrest. This type of angina typically occurs at rest, in the middle of the night, and is characterized by ST-segment elevation on an electrocardiogram (ECG).
The patient's presentation of chest pain at rest, in the early morning hours, and ST-segment elevation on ECG are all consistent with the clinical presentation of Prinzmetal angina. The patient's risk factors for cardiovascular disease, including hypertension, hyperlipidemia, active tobacco use, and obesity, also support a diagnosis of Prinzmetal angina.
Ruling out the differential diagnoses would require further testing and evaluation. For example, to rule out myocardial infarction, cardiac biomarkers such as troponins would need to be elevated and imaging studies such as coronary angiography would need to demonstrate evidence of coronary artery stenosis or occlusion. To rule out torsade de pointes secondary to long-QT syndrome, a prolonged QTc interval would need to be demonstrated on ECG. To rule out hypertrophic cardiomyopathy, imaging studies such as echocardiography or MRI would need to demonstrate evidence of left ventricular hypertrophy and systolic anterior motion of the mitral valve.
In summary, the patient's presentation of chest pain at rest, ST-segment elevation on ECG, and risk factors for cardiovascular disease all support a diagnosis of Prinzmetal angina, while further testing and evaluation would be necessary to rule out alternative diagnoses.</t>
  </si>
  <si>
    <t>A 12-Year-Old With Urinary Retention Who Can't Grasp Objects</t>
  </si>
  <si>
    <t>https://reference.medscape.com/viewarticle/971990</t>
  </si>
  <si>
    <r>
      <rPr>
        <b/>
        <sz val="12"/>
        <color theme="1"/>
        <rFont val="Calibri"/>
      </rPr>
      <t xml:space="preserve">Central cord syndrome
</t>
    </r>
    <r>
      <rPr>
        <sz val="12"/>
        <color theme="1"/>
        <rFont val="Calibri"/>
      </rPr>
      <t>Thoracic spine fracture
Acromioclavicular joint dislocation
Brachial plexus injury</t>
    </r>
  </si>
  <si>
    <t>Central cord syndrome</t>
  </si>
  <si>
    <t xml:space="preserve">The most likely diagnosis in this case is Central Cord Syndrome.
Central cord syndrome is a type of spinal cord injury that occurs when there is a greater amount of damage to the center of the spinal cord than to the nerve fibers that surround it. This results in greater weakness in the arms compared to the legs, which is consistent with the findings in this case where the patient has decreased strength in both upper extremities, with the right being worse than the left, but has normal reflexes and strength in both lower extremities.
The mechanism of injury also supports this diagnosis, as the patient fell off his bicycle and landed on his right arm, which could have caused a compression injury to the spinal cord in the neck region. The presence of bladder dysfunction, with a postvoid residual bladder volume of 1 L, is also consistent with central cord syndrome, which can cause a spinal cord injury to the bladder control center in the spinal cord.
The elevated blood pressure could be due to pain, anxiety or injury to the sympathetic nervous system.
The findings from the MRI of the cervical and thoracic spine with and without contrast would provide further support for the diagnosis of central cord syndrome and help to rule out other potential causes of the patient's symptoms, such as thoracic spine fracture or brachial plexus injury.
If the MRI showed evidence of a thoracic spine fracture or an acromioclavicular joint dislocation, these findings would need to be considered as part of the differential diagnosis. However, given the current findings, it is likely that these conditions are not the primary cause of the patient's symptoms and central cord syndrome remains the most likely diagnosis.
</t>
  </si>
  <si>
    <t>Oncology Case Challenge: A 46-Year-Old Mother With Severe, Constant Abdominal Pain</t>
  </si>
  <si>
    <t>https://reference.medscape.com/viewarticle/971546</t>
  </si>
  <si>
    <r>
      <rPr>
        <sz val="12"/>
        <color theme="1"/>
        <rFont val="Calibri"/>
      </rPr>
      <t xml:space="preserve">Essential thrombocytosis
Severe iron deficiency anemia
</t>
    </r>
    <r>
      <rPr>
        <b/>
        <sz val="12"/>
        <color theme="1"/>
        <rFont val="Calibri"/>
      </rPr>
      <t xml:space="preserve">Chronic myeloid leukemia
</t>
    </r>
    <r>
      <rPr>
        <sz val="12"/>
        <color theme="1"/>
        <rFont val="Calibri"/>
      </rPr>
      <t>Chronic lymphocytic leukemia</t>
    </r>
  </si>
  <si>
    <t>Chronic myeloid leukemia</t>
  </si>
  <si>
    <t>The most likely diagnosis based on the findings is Chronic Myeloid Leukemia (CML).
Rationale: The patient presents with diffuse abdominal pain, thrombocytosis, polychromatophilic red cells, and circulating blasts seen in the peripheral blood smear and hypercellular marrow with increased megakaryocytes seen in the bone marrow examination. The presence of these findings, combined with a positive result for the t(9;22) chromosomal translocation on bone marrow cytogenetic analysis, is highly suggestive of CML. The t(9;22) is a hallmark of CML, as it results in the fusion of the BCR and ABL genes and the production of the BCR-ABL fusion protein, which drives the development of CML.
In addition, the patient's elevated platelet count of approximately 900,000 cells/uL several years prior to the current presentation and the fact that this elevation was thought to be reactive from her known iron deficiency suggests that she may have had an underlying chronic condition that has progressed to CML.
Findings that would cause me to rule out the differential:
If the patient's symptoms were to improve with treatment for ovarian cyst, it would suggest that the abdominal pain was related to the ruptured cyst and not CML.
If further laboratory tests, such as polymerase chain reaction (PCR) analysis, were to show negative results for the BCR-ABL fusion gene, it would suggest that the t(9;22) translocation is not the cause of the patient's symptoms and that another diagnosis should be considered.
If the patient's white blood cell (WBC) count were to decrease and her platelet count were to normalize with treatment, it would suggest that the patient's thrombocytosis and polycythemia were reactive, and not indicative of CML.
Overall, the combination of thrombocytosis, polychromatophilic red cells, circulating blasts, and a positive result for the t(9;22) translocation strongly suggest CML as the most likely diagnosis in this patient.</t>
  </si>
  <si>
    <t>A 42-Year-Old Tennis Player With Dyspnea Blamed on Anxiety</t>
  </si>
  <si>
    <t>https://reference.medscape.com/viewarticle/727941</t>
  </si>
  <si>
    <r>
      <rPr>
        <sz val="12"/>
        <color theme="1"/>
        <rFont val="Calibri"/>
      </rPr>
      <t xml:space="preserve">Chronic aortic dissection
Ischemic cardiomyopathy
Chronic obstructive pulmonary disease
</t>
    </r>
    <r>
      <rPr>
        <b/>
        <sz val="12"/>
        <color theme="1"/>
        <rFont val="Calibri"/>
      </rPr>
      <t>Chronic thromboembolic pulmonary hypertension</t>
    </r>
  </si>
  <si>
    <t>Chronic thromboembolic pulmonary hypertension</t>
  </si>
  <si>
    <t>Based on the information given, the most likely diagnosis is Chronic Thromboembolic Pulmonary Hypertension (CTEPH). The patient presents with a long-standing history of worsening dyspnea that is worse upon exertion and associated with decreased exercise tolerance, which is consistent with the symptoms of CTEPH. Additionally, the CT angiogram of the chest shows prominent central pulmonary arteries, which is a hallmark imaging finding of CTEPH. The patient's normal cardiac stress test and pulmonary function testing, as well as the absence of chest pains, palpitations, dizziness, or syncope, and the lack of a family history of heart disease, further support the diagnosis of CTEPH.
Rationale:
CTEPH is a rare form of pulmonary hypertension that results from the presence of chronic thromboemboli in the pulmonary vasculature, leading to progressive obstruction of the pulmonary arterial tree and increased pressure in the pulmonary circulation. This can cause dyspnea, decreased exercise tolerance, and a characteristic CT angiogram appearance, which is consistent with the patient's presentation and imaging findings.
Findings that would rule out the diagnosis of CTEPH would include a lack of pulmonary artery obstruction on imaging, such as a normal CT angiogram, or the presence of alternative causes of the patient's symptoms, such as ischemic cardiomyopathy, chronic obstructive pulmonary disease, or chronic aortic dissection. These alternative diagnoses would need to be considered and ruled out with further evaluation, such as additional imaging studies, echocardiography, and pulmonary function testing, to confirm the diagnosis of CTEPH.</t>
  </si>
  <si>
    <t>Neurology Case Challenge: Drooling and Dysphagia in a Man Who Can’t Speak</t>
  </si>
  <si>
    <t>https://reference.medscape.com/viewarticle/843818</t>
  </si>
  <si>
    <r>
      <rPr>
        <sz val="12"/>
        <color theme="1"/>
        <rFont val="Calibri"/>
      </rPr>
      <t xml:space="preserve">Brainstem stroke
</t>
    </r>
    <r>
      <rPr>
        <b/>
        <sz val="12"/>
        <color theme="1"/>
        <rFont val="Calibri"/>
      </rPr>
      <t>Foix-Chavany-Marie syndrome</t>
    </r>
    <r>
      <rPr>
        <sz val="12"/>
        <color theme="1"/>
        <rFont val="Calibri"/>
      </rPr>
      <t xml:space="preserve">
Myasthenia gravis
Botulism
Amyotrophic lateral sclerosis</t>
    </r>
  </si>
  <si>
    <t>Foix-Chavany-Marie syndrome</t>
  </si>
  <si>
    <t xml:space="preserve">The most likely diagnosis in this case is Foix-Chavany-Marie syndrome, also known as pseudobulbar palsy.
The rationale for this diagnosis is based on the patient's presentation of sudden onset of difficulty speaking and swallowing, along with bilateral loss of voluntary movement of the muscles supplied by cranial nerves V, VII, IX, X, and XII, and preserved automatic movements of the face. These symptoms are consistent with a lesion in the bulbar motor pathways, which control speech and swallowing. Additionally, the presence of ataxia, brisk reflexes, and a Babinski sign suggest involvement of the corticospinal tract, which is also consistent with pseudobulbar palsy.
The history of previous strokes, including a left frontal ischemic stroke and a left cerebellar infarct, as well as the MRI findings of multiple infarcts bilaterally in the frontal, parietal, and occipital lobes and cerebellar and cortical atrophy, suggest that the patient may have a multi-infarct type of pseudobulbar palsy, which is a type of pseudobulbar palsy that results from multiple small strokes.
To rule out other differentials, it would be important to evaluate the patient for any evidence of myasthenia gravis, such as fluctuation of symptoms and response to edrophonium or neostigmine, and to perform a nerve conduction study and electromyography to evaluate for any evidence of peripheral nerve disease. It would also be important to evaluate for any evidence of botulism, such as recent ingestion of contaminated food, and to perform a serum assay for botulinum toxin. In the absence of these findings, a diagnosis of Foix-Chavany-Marie syndrome is most likely.
</t>
  </si>
  <si>
    <t>Urination Problems After Procedure in a Man Treated for BPH</t>
  </si>
  <si>
    <t>https://reference.medscape.com/viewarticle/971164</t>
  </si>
  <si>
    <r>
      <rPr>
        <sz val="12"/>
        <color theme="1"/>
        <rFont val="Calibri"/>
      </rPr>
      <t xml:space="preserve">Rhabdomyolysis
Perforation of the bladder secondary to the Foley catheter
Urothelial cell carcinoma
</t>
    </r>
    <r>
      <rPr>
        <b/>
        <sz val="12"/>
        <color theme="1"/>
        <rFont val="Calibri"/>
      </rPr>
      <t>Clot retention at the prostatic fossa</t>
    </r>
  </si>
  <si>
    <t>Clot retention at the prostatic fossa</t>
  </si>
  <si>
    <t xml:space="preserve">Based on the findings in the case, the most likely diagnosis is Clot Retention at the Prostatic Fossa. The patient presents with gross hematuria and urinary hesitancy, which began after a transurethral resection of the prostate (TURP) procedure 2 weeks prior. Physical examination reveals suprapubic fullness and tenderness, and a CT scan of the abdomen and pelvis shows bilateral hydronephrosis and distention of the bladder containing a large volume of clot. The presence of a clot in the bladder, along with the recent TURP procedure and the patient's history of benign prostatic hyperplasia, supports a diagnosis of clot retention at the prostatic fossa.
However, other diagnoses should be considered and ruled out before making a final diagnosis. Rhabdomyolysis is unlikely in this case, as the patient does not have any reported muscle pain and the creatine kinase level is only 25 U/L, which is within the normal reference range. The patient's past medical history and lack of recent trauma also do not suggest perforation of the bladder secondary to the Foley catheter. Urothelial cell carcinoma can also present with hematuria and urinary hesitancy, but the presence of a large volume of clot in the bladder and the recent TURP procedure suggest that this is not the primary diagnosis.
In conclusion, while other diagnoses should be considered, the most likely diagnosis in this case is Clot Retention at the Prostatic Fossa, and further evaluation and treatment should be directed towards this possibility.
</t>
  </si>
  <si>
    <t>Endo Case Challenge: A 36-Year-Old Has Cramping, Lung Issues and Can’t Lose Weight</t>
  </si>
  <si>
    <t>https://reference.medscape.com/viewarticle/833128</t>
  </si>
  <si>
    <r>
      <rPr>
        <sz val="12"/>
        <color theme="1"/>
        <rFont val="Calibri"/>
      </rPr>
      <t xml:space="preserve">Dietary indiscretion/stress hyperphagia
Acquired hypothyroidism
Stress hypercortisolemia and hyperphagia
</t>
    </r>
    <r>
      <rPr>
        <b/>
        <sz val="12"/>
        <color theme="1"/>
        <rFont val="Calibri"/>
      </rPr>
      <t>Cushing syndrome/endobronchial carcinoid with ectopic ACTH secretion</t>
    </r>
  </si>
  <si>
    <t>Cushing syndrome/endobronchial carcinoid with ectopic ACTH secretion</t>
  </si>
  <si>
    <t xml:space="preserve">The most likely diagnosis in this case is Cushing syndrome/endobronchial carcinoid with ectopic ACTH secretion.
Rationale:
The patient presents with symptoms consistent with hypercortisolism, including weight gain, fatigue, hypertension, facial flushing, and hypokalemia. Additionally, the elevated cortisol and ACTH levels along with the failure of the high-dose dexamethasone suppression test suggest that there is an overproduction of cortisol in the body.
Ectopic ACTH secretion is a rare but well-known cause of Cushing syndrome, in which a tumor outside of the pituitary gland secretes ACTH, leading to excessive cortisol production. The presence of a lung mass on the left lower lobe and the elevated ACTH level make endobronchial carcinoid with ectopic ACTH secretion a likely cause of the patient's hypercortisolism.
Findings that would cause us to rule out the differential:
If the patient's symptoms and lab results were found to be consistent with other conditions, such as acquired hypothyroidism or stress hypercortisolemia and hyperphagia, then we would have to reconsider our diagnosis. For example, if the patient's thyroid function tests came back as low, this would suggest acquired hypothyroidism as a possible cause of their symptoms. Similarly, if the patient reported significant stress and anxiety, this would support the diagnosis of stress hypercortisolemia and hyperphagia.
</t>
  </si>
  <si>
    <t>Seizure After Sudden Headache in a 16-Year-Old Cyclist</t>
  </si>
  <si>
    <t>https://reference.medscape.com/viewarticle/753945</t>
  </si>
  <si>
    <r>
      <rPr>
        <sz val="12"/>
        <color theme="1"/>
        <rFont val="Calibri"/>
      </rPr>
      <t xml:space="preserve">Brain tumor
Brain abscess
Acute intraparenchymal bleed
</t>
    </r>
    <r>
      <rPr>
        <b/>
        <sz val="12"/>
        <color theme="1"/>
        <rFont val="Calibri"/>
      </rPr>
      <t>Colloid cyst</t>
    </r>
    <r>
      <rPr>
        <sz val="12"/>
        <color theme="1"/>
        <rFont val="Calibri"/>
      </rPr>
      <t xml:space="preserve">
No acute abnormality</t>
    </r>
  </si>
  <si>
    <t>Acute intraparenchymal bleed</t>
  </si>
  <si>
    <t>On the basis of the findings described in the case, the most likely diagnosis is acute intraparenchymal bleed.
Rationale:
The presence of papilledema (swelling of the optic disk), increased intracranial pressure, and bilateral sixth cranial nerve palsy (paralysis of the sixth cranial nerve, which is responsible for lateral eye movement) are highly suggestive of increased intracranial pressure. These findings, combined with the patient's acute-onset severe headache, nausea, vomiting, and blurred vision, are consistent with the development of an acute intraparenchymal bleed, such as a subarachnoid hemorrhage or an intracerebral hemorrhage. The patient's history of minor head trauma, increasing headache severity with coughing or straining, and the development of a tonic-clonic seizure also support this diagnosis.
Findings that would cause me to rule out this differential:
If the CT scan of the head showed no evidence of a bleed, such as a subarachnoid hemorrhage or an intracerebral hemorrhage, I would rule out the differential of acute intraparenchymal bleed. If the CT scan instead showed evidence of a mass, such as a brain tumor or a colloid cyst, I would consider those as alternative diagnoses. If the CT scan showed evidence of an abscess or an area of inflammation, I would consider the diagnosis of a brain abscess.</t>
  </si>
  <si>
    <t>Cardiology Case Challenge: Worsening Chest Pain After a Respiratory Infection in a Man With Hypertension</t>
  </si>
  <si>
    <t>https://reference.medscape.com/viewarticle/885563</t>
  </si>
  <si>
    <r>
      <rPr>
        <b/>
        <sz val="12"/>
        <color theme="1"/>
        <rFont val="Calibri"/>
      </rPr>
      <t>Acute pericarditis</t>
    </r>
    <r>
      <rPr>
        <sz val="12"/>
        <color theme="1"/>
        <rFont val="Calibri"/>
      </rPr>
      <t xml:space="preserve">
Acute inferior ST-segment myocardial infarction
Aortic dissection
Pulmonary embolus</t>
    </r>
  </si>
  <si>
    <t>Acute inferior ST-segment myocardial infarction</t>
  </si>
  <si>
    <t>Based on the given information, the most likely diagnosis is acute inferior ST-segment myocardial infarction.
The patient presents with retrosternal chest pain that has started suddenly and worsened over time, with radiation to the right shoulder and neck. This pain is relieved by bending forward, but worsens when lying down and with deep breathing. These symptoms are consistent with angina, which is a hallmark of acute coronary syndrome (ACS), including myocardial infarction.
Additionally, the patient has a history of hypertension, diabetes, hypercholesterolemia, and adenocarcinoma of the prostate, all of which are risk factors for coronary artery disease. Furthermore, the patient's family history of premature coronary artery disease in two of his brothers adds to the likelihood of ACS.
The elevated creatine kinase level, although slightly elevated, and undetectable troponin I level, together with a normal ECG, are consistent with an acute inferior ST-segment myocardial infarction. The normal ECG suggests that the infarction is not extensive, which is often seen in inferior wall infarctions.
If further evaluation, such as a coronary angiogram, shows no significant stenosis in the coronary arteries, it would rule out this differential. Other findings such as elevated troponin levels or evidence of pericarditis on an echocardiogram would also cause this differential to be ruled out.
In conclusion, given the patient's presentation, medical history, and laboratory findings, acute inferior ST-segment myocardial infarction is the most likely diagnosis, although further testing is required to confirm the diagnosis.</t>
  </si>
  <si>
    <t>A 53-Year-Old Waitress With a Cough and Constant Back Pain</t>
  </si>
  <si>
    <t>https://reference.medscape.com/viewarticle/970288</t>
  </si>
  <si>
    <r>
      <rPr>
        <sz val="12"/>
        <color theme="1"/>
        <rFont val="Calibri"/>
      </rPr>
      <t xml:space="preserve">Work-related injury
Sciatica
Osteoporosis
</t>
    </r>
    <r>
      <rPr>
        <b/>
        <sz val="12"/>
        <color theme="1"/>
        <rFont val="Calibri"/>
      </rPr>
      <t>Metastatic cancer</t>
    </r>
  </si>
  <si>
    <t>Metastatic cancer</t>
  </si>
  <si>
    <t>The most likely diagnosis based on the case information is Metastatic Cancer.
The patient has a history of low back pain that has worsened over the past 2 months and has become unresponsive to over-the-counter pain medication. The fact that the pain is in the mid to lower back region and does not radiate to other parts of the body is concerning. Additionally, the patient's chest radiograph shows hyperinflated lungs, which could be a sign of a lung problem, such as lung cancer. The MRI of the thoracic and lumbar spine also shows destructive lesions in the vertebral bodies, which could be indicative of metastatic cancer that has spread from another location in the body.
The patient's family history of cancer is also significant, as her father died from lung cancer and her mother was diagnosed with colon cancer. The patient is a current smoker, which is a risk factor for lung cancer.
However, further tests, such as biopsy of the vertebral lesions and a complete diagnostic evaluation for cancer, would be needed to rule out or confirm the diagnosis of metastatic cancer. Findings that would rule out metastatic cancer include the presence of an alternative cause of the spinal lesions, such as osteoporosis or a traumatic injury.</t>
  </si>
  <si>
    <t>Gastro Case Challenge: An Incarcerated 24-Year-Old With Dyspnea, Fatigue, and Chronic Nausea</t>
  </si>
  <si>
    <t>https://reference.medscape.com/viewarticle/876163</t>
  </si>
  <si>
    <r>
      <rPr>
        <sz val="12"/>
        <color theme="1"/>
        <rFont val="Calibri"/>
      </rPr>
      <t xml:space="preserve">Celiac sprue
</t>
    </r>
    <r>
      <rPr>
        <b/>
        <sz val="12"/>
        <color theme="1"/>
        <rFont val="Calibri"/>
      </rPr>
      <t>Idiopathic eosinophilic gastroenteritis</t>
    </r>
    <r>
      <rPr>
        <sz val="12"/>
        <color theme="1"/>
        <rFont val="Calibri"/>
      </rPr>
      <t xml:space="preserve">
Eosinophilic granuloma (histiocytosis X)
Crohn disease</t>
    </r>
  </si>
  <si>
    <t>Idiopathic eosinophilic gastroenteritis</t>
  </si>
  <si>
    <t>The most likely diagnosis in this case is Idiopathic Eosinophilic Gastroenteritis (IEG).
IEG is a condition characterized by inflammation of the gastrointestinal tract caused by an abnormal accumulation of eosinophils (a type of white blood cell). The patient's presenting symptoms of exertional dyspnea, generalized fatigue, and chronic nausea, combined with the odd nodular appearance of the gastric mucosa, suggest the presence of inflammation in the gastrointestinal tract. Furthermore, the patient's elevated eosinophil count (1 x 10^9 cells/L) and normal results for autoimmune antibodies and celiac serology point towards IEG as the underlying cause of the anemia.
The presence of IEG is further supported by the normal colonoscopy and endoscopy results, which rule out other causes of anemia such as Crohn's disease, histiocytosis X, and celiac sprue.
In conclusion, IEG is the most likely diagnosis in this case due to the presence of symptoms of gastrointestinal inflammation, the elevated eosinophil count, and the normal results of other diagnostic tests. To rule out IEG, further tests such as biopsy of the gastric mucosa, esophageal and small bowel manometry, and 24-hour pH monitoring, can be done to confirm the diagnosis.</t>
  </si>
  <si>
    <t>17-Year-Old With Hair Loss, Dysmenorrhea, Thrush, and Diarrhea</t>
  </si>
  <si>
    <t>https://reference.medscape.com/viewarticle/746588</t>
  </si>
  <si>
    <r>
      <rPr>
        <sz val="12"/>
        <color theme="1"/>
        <rFont val="Calibri"/>
      </rPr>
      <t xml:space="preserve">Anorexia nervosa
Abdominal tuberculosis
Addison disease (AD)
</t>
    </r>
    <r>
      <rPr>
        <b/>
        <sz val="12"/>
        <color theme="1"/>
        <rFont val="Calibri"/>
      </rPr>
      <t>Polyglandular failure (type I)</t>
    </r>
    <r>
      <rPr>
        <sz val="12"/>
        <color theme="1"/>
        <rFont val="Calibri"/>
      </rPr>
      <t xml:space="preserve">
Polyglandular failure (type II)</t>
    </r>
  </si>
  <si>
    <t>Addison disease (AD)</t>
  </si>
  <si>
    <t xml:space="preserve">The most likely diagnosis in this case is Addison disease (AD).
Rationale:
The symptoms and physical examination findings in this patient are consistent with Addison disease, which is characterized by chronic adrenal gland insufficiency. The hyperpigmentation of the skin and oral mucosa, angular stomatitis, and thrush, along with the low-grade fever, fatigue, dizziness, and hypotension, suggest adrenal insufficiency. The recurrent oral fungal infections and chronic diarrhea also support this diagnosis, as they are often seen in patients with Addison disease.
The patient's low blood pressure, especially when standing, and the decrease in systolic blood pressure upon standing, along with the low hemoglobin and white blood cell count, suggest hypovolemia, which is also seen in Addison disease.
Findings that would rule out the differential:
If the patient had a history of prolonged exposure to sunlight, this would rule out the diagnosis of Addison disease, as this disease is associated with hyperpigmentation of the skin and oral mucosa that is not due to sun exposure. If the patient had a history of joint swelling or pain, this would also suggest a different diagnosis, as these symptoms are not typically seen in Addison disease.
In addition, if the patient had evidence of autoimmune disorders or a history of autoimmune disorders in her family, this would suggest a different diagnosis, such as polygendocrine autoimmune failure, as Addison disease is often a part of this condition. If the patient had a history of bleeding, this would also suggest a different diagnosis, as Addison disease is not associated with bleeding.
</t>
  </si>
  <si>
    <t>Sexually Active Man With Foreign-Body Feeling, Eye Discharge</t>
  </si>
  <si>
    <t>https://reference.medscape.com/viewarticle/969260</t>
  </si>
  <si>
    <r>
      <rPr>
        <sz val="12"/>
        <color theme="1"/>
        <rFont val="Calibri"/>
      </rPr>
      <t xml:space="preserve">Acute angle-closure glaucoma
Foreign body
</t>
    </r>
    <r>
      <rPr>
        <b/>
        <sz val="12"/>
        <color theme="1"/>
        <rFont val="Calibri"/>
      </rPr>
      <t>Infectious keratitis (bacterial)</t>
    </r>
    <r>
      <rPr>
        <sz val="12"/>
        <color theme="1"/>
        <rFont val="Calibri"/>
      </rPr>
      <t xml:space="preserve">
Hyphema</t>
    </r>
  </si>
  <si>
    <t>Infectious keratitis (bacterial)</t>
  </si>
  <si>
    <t>The most likely diagnosis in this case is Infectious Keratitis (Bacterial).
Rationale:
This diagnosis is supported by the following findings:
The patient presents with periorbital edema and erythema in the right eye, a cloudy cornea with an ulcer at the 10 o'clock position, and thick yellow discharge.
The corneal ulcer has progressed to the point of near rupture, suggesting that an infectious process may be involved.
The Gram staining of the right cornea showed no polymorphonuclear cells and no organisms were seen, but this does not rule out a bacterial infection as some bacteria may not be seen on a Gram stain.
The patient was started on a combination of antibiotics, which is a typical treatment for infectious keratitis.
Findings that would cause one to rule out the differential of infectious keratitis would include the presence of an actual foreign body in the eye, a positive result on fluorescein staining, or a positive result on a culture or polymerase chain reaction (PCR) test for a specific type of bacteria. In addition, if the patient had a history of recent ocular trauma, this would raise the possibility of a hyphema or a foreign body in the eye, rather than an infectious process.</t>
  </si>
  <si>
    <t>Case Report: Cardiac Arrest in a Man Who Has Overdosed</t>
  </si>
  <si>
    <t>https://reference.medscape.com/viewarticle/968988</t>
  </si>
  <si>
    <r>
      <rPr>
        <sz val="12"/>
        <color theme="1"/>
        <rFont val="Calibri"/>
      </rPr>
      <t xml:space="preserve">Tricyclic antidepressant poisoning
Alcohol poisoning
</t>
    </r>
    <r>
      <rPr>
        <b/>
        <sz val="12"/>
        <color theme="1"/>
        <rFont val="Calibri"/>
      </rPr>
      <t>Opioid poisoning</t>
    </r>
    <r>
      <rPr>
        <sz val="12"/>
        <color theme="1"/>
        <rFont val="Calibri"/>
      </rPr>
      <t xml:space="preserve">
Cocaine intoxication
Digitalis poisoning</t>
    </r>
  </si>
  <si>
    <t>Opioid poisoning</t>
  </si>
  <si>
    <t>The most likely diagnosis based on these findings is Opioid poisoning.
Rationale: The presentation of symmetrical miosis in both eyes and the patient's response to the administration of naloxone, a medication used to reverse the effects of opioids, are strong indications of opioid toxicity. The track marks observed on the patient's skin suggest a history of intravenous drug use, which is consistent with opioid use. Additionally, the patient's agitation and disorientation, as well as their companion's report of them being found unconscious, are consistent with the symptoms of opioid toxicity.
Findings that would cause us to rule out the differential include:
Evidence of tricyclic antidepressant use, such as a history of taking a tricyclic antidepressant medication, as well as symptoms such as anticholinergic toxicity, including dry mouth, blurred vision, and urinary retention, which are not present in this case.
Evidence of alcohol use, such as a positive result on an alcohol breath test or a history of excessive alcohol consumption, as well as symptoms such as slurred speech, ataxia, and nystagmus, which are not present in this case.
Evidence of cocaine use, such as a positive result on a toxicology screen for cocaine or a history of cocaine use, as well as symptoms such as tachycardia, hypertension, and agitation, which are not present in this case.
Evidence of digitalis use, such as a history of taking a digitalis medication or a positive result on a digitalis level, as well as symptoms such as bradycardia, heart block, and visual disturbances, which are not present in this case.</t>
  </si>
  <si>
    <t>Primary Care Case Challenge: An Accountant With Bilateral Neck Masses</t>
  </si>
  <si>
    <t>https://reference.medscape.com/viewarticle/869215</t>
  </si>
  <si>
    <r>
      <rPr>
        <sz val="12"/>
        <color theme="1"/>
        <rFont val="Calibri"/>
      </rPr>
      <t xml:space="preserve">Thyroid cancer
</t>
    </r>
    <r>
      <rPr>
        <b/>
        <sz val="12"/>
        <color theme="1"/>
        <rFont val="Calibri"/>
      </rPr>
      <t xml:space="preserve">Scrofula
</t>
    </r>
    <r>
      <rPr>
        <sz val="12"/>
        <color theme="1"/>
        <rFont val="Calibri"/>
      </rPr>
      <t>Cervicofacial lymphangioma
Cat scratch disease</t>
    </r>
  </si>
  <si>
    <t>Cervicofacial lymphangioma</t>
  </si>
  <si>
    <t xml:space="preserve">On the basis of the findings described, the most likely diagnosis is Cervicofacial Lymphangioma.
Rationale:
The patient presents with bilateral, palpable, nontender neck masses that have been growing over the past two months, and there are no associated systemic symptoms, such as fever or chills.
Physical examination reveals no skin color changes, no cutaneous drainage, no bruit over the lesions, and no fixation to the adjacent soft tissues.
An elevated ESR (erythrocyte sedimentation rate) is noted, which is indicative of an underlying inflammatory or infectious process.
These findings are consistent with those seen in patients with Cervicofacial Lymphangioma, a benign cystic mass that typically develops in the neck or face and is comprised of abnormally dilated lymphatic vessels.
Findings that would cause us to rule out this differential would include the presence of skin color changes or cutaneous drainage, or if there was a bruit over the lesion. The presence of an associated fever or chills, or fixation to the adjacent soft tissues, would also suggest a different diagnosis. A biopsy or further imaging studies may be needed to definitively diagnose and rule out other possibilities.
</t>
  </si>
  <si>
    <t>A 13-Year-Old Athlete With Chest Pain, Cough After Practice</t>
  </si>
  <si>
    <t>https://reference.medscape.com/viewarticle/889891</t>
  </si>
  <si>
    <r>
      <rPr>
        <sz val="12"/>
        <color theme="1"/>
        <rFont val="Calibri"/>
      </rPr>
      <t xml:space="preserve">Ruptured main bronchus
Spinal fracture
Cardiac tamponade
</t>
    </r>
    <r>
      <rPr>
        <b/>
        <sz val="12"/>
        <color theme="1"/>
        <rFont val="Calibri"/>
      </rPr>
      <t>Pneumorrhachis</t>
    </r>
    <r>
      <rPr>
        <sz val="12"/>
        <color theme="1"/>
        <rFont val="Calibri"/>
      </rPr>
      <t xml:space="preserve">
Mallory-Weiss tear</t>
    </r>
  </si>
  <si>
    <t>Pneumorrhachis</t>
  </si>
  <si>
    <t xml:space="preserve">The most likely diagnosis based on the given information is Pneumomediastinum.
The rationale for this choice is as follows:
Clinical presentation: The patient presents with a history of dull, substernal chest pain that extends into the neck and is exacerbated by deep breaths and relieved by rest. This is a classic presentation of pneumomediastinum.
Radiology findings: The chest radiograph and CT scans show extensive pneumomediastinum and associated pneumopericardium, air in the pleural space, and subcutaneous emphysema, which are all consistent with the diagnosis of pneumomediastinum.
Physical examination: The patient is in stable condition with normal vital signs and is in no respiratory distress. The physical examination includes palpable crepitus surrounding the proximal neck base and thoracic inlet, which is a common finding in pneumomediastinum.
Other differential diagnoses: The lack of dyspnea, wheezing, palpitations, dizziness, headache, sweating, or abdominal pain and normal vital signs, cardiac examination, and COVID-19 test results make other diagnoses, such as cardiac tamponade, spinal fracture, and Mallory-Weiss tear, less likely.
Findings that would cause me to rule out the differential diagnosis of Pneumomediastinum include the presence of chest or neck tenderness in response to palpation, a cardiac murmur, or a significant change in the patient's vital signs. If the patient were to develop dyspnea, wheezing, or other signs of respiratory distress, this would also indicate that the diagnosis of pneumomediastinum is less likely.
</t>
  </si>
  <si>
    <t>Oncology Case Challenge: A 37-Year-Old Woman With Multiple Fibroadenomas</t>
  </si>
  <si>
    <t>https://reference.medscape.com/viewarticle/968993</t>
  </si>
  <si>
    <r>
      <rPr>
        <sz val="12"/>
        <color theme="1"/>
        <rFont val="Calibri"/>
      </rPr>
      <t xml:space="preserve">Inflammatory breast cancer
</t>
    </r>
    <r>
      <rPr>
        <b/>
        <sz val="12"/>
        <color theme="1"/>
        <rFont val="Calibri"/>
      </rPr>
      <t>Primary breast cancer</t>
    </r>
    <r>
      <rPr>
        <sz val="12"/>
        <color theme="1"/>
        <rFont val="Calibri"/>
      </rPr>
      <t xml:space="preserve">
Metastasis from another primary site
Malignant phyllodes
Breast lymphoma</t>
    </r>
  </si>
  <si>
    <t>Inflammatory breast cancer</t>
  </si>
  <si>
    <r>
      <rPr>
        <sz val="10"/>
        <color theme="1"/>
        <rFont val="Calibri"/>
      </rPr>
      <t>The most likely diagnosis based on these findings is Inflammatory Breast Cancer.
Inflammatory breast cancer (IBC) is a rare and aggressive form of breast cancer that can present with a rapidly evolving clinical picture. The hallmark sign of IBC is the presence of erythema, nipple retraction, and peau d'orange, as seen in this patient. The skin thickening, masses with prominent axillary nodes, and internal vascularity noted on mammography and ultrasonography are consistent with IBC. The CEMRI findings, including numerous enhancing mass lesions and marked skin thickening, are also consistent with IBC.
The h</t>
    </r>
    <r>
      <rPr>
        <b/>
        <sz val="10"/>
        <color theme="1"/>
        <rFont val="Calibri"/>
      </rPr>
      <t>istory of multiple lumps in the breasts</t>
    </r>
    <r>
      <rPr>
        <sz val="10"/>
        <color theme="1"/>
        <rFont val="Calibri"/>
      </rPr>
      <t xml:space="preserve">, along with previous biopsy results confirming fibroadenoma, </t>
    </r>
    <r>
      <rPr>
        <b/>
        <sz val="10"/>
        <color theme="1"/>
        <rFont val="Calibri"/>
      </rPr>
      <t>makes it challenging to diagnose IBC in this patient</t>
    </r>
    <r>
      <rPr>
        <sz val="10"/>
        <color theme="1"/>
        <rFont val="Calibri"/>
      </rPr>
      <t xml:space="preserve">. However, the new findings of nipple retraction and peau d'orange on examination, along with the changes seen on mammography, ultrasonography, and CEMRI, strongly suggest IBC.
Findings that would cause me to rule out this differential include a benign biopsy result or the absence of erythema, nipple retraction, and peau d'orange on examination. If a patient presents with typical findings of IBC, but biopsy results show no evidence of malignancy, this would indicate that the diagnosis of IBC is incorrect. Similarly, if the patient does not present with the hallmark signs of IBC, it is unlikely to be the correct diagnosis.
</t>
    </r>
  </si>
  <si>
    <t>Vaginal Discharge, Fever in Pregnant Woman After Hawaii Trip</t>
  </si>
  <si>
    <t>https://reference.medscape.com/viewarticle/968367</t>
  </si>
  <si>
    <r>
      <rPr>
        <sz val="12"/>
        <color theme="1"/>
        <rFont val="Calibri"/>
      </rPr>
      <t xml:space="preserve">Multidrug-resistant bacterial organism chorioamnionitis
</t>
    </r>
    <r>
      <rPr>
        <b/>
        <sz val="12"/>
        <color theme="1"/>
        <rFont val="Calibri"/>
      </rPr>
      <t>Fungal chorioamnionitis</t>
    </r>
    <r>
      <rPr>
        <sz val="12"/>
        <color theme="1"/>
        <rFont val="Calibri"/>
      </rPr>
      <t xml:space="preserve">
Mycobacterial chorioamnionitis
COVID-19/viral chorioamnionitis</t>
    </r>
  </si>
  <si>
    <t>Multidrug-resistant bacterial organism chorioamnionitis</t>
  </si>
  <si>
    <r>
      <rPr>
        <sz val="10"/>
        <color theme="1"/>
        <rFont val="Calibri"/>
      </rPr>
      <t xml:space="preserve">Based on the presented information, the most likely diagnosis is Multidrug-resistant bacterial organism chorioamnionitis.
The patient presents with a 2-day history of fever, chills, abdominal pain and serosanguinous vaginal discharge, which are symptoms consistent with chorioamnionitis. The patient is 20 weeks' gestation, which is a critical period in the pregnancy, and chorioamnionitis can lead to preterm labor and delivery, as well as maternal and fetal morbidity and mortality. The elevated white blood cell count and the high percentage of segmented neutrophils and bandemia also support the diagnosis of chorioamnionitis.
</t>
    </r>
    <r>
      <rPr>
        <b/>
        <sz val="10"/>
        <color theme="1"/>
        <rFont val="Calibri"/>
      </rPr>
      <t>The fact that the patient has no significant past medical or family history and is otherwise healthy also supports this diagnosis as an underlying cause of her symptoms.</t>
    </r>
    <r>
      <rPr>
        <sz val="10"/>
        <color theme="1"/>
        <rFont val="Calibri"/>
      </rPr>
      <t xml:space="preserve"> Additionally, the negative results for COVID-19 and other viral causes of respiratory infections further support the diagnosis of chorioamnionitis.
To rule out the diagnosis of multidrug-resistant bacterial organism chorioamnionitis, it would be important to obtain the results of the blood and urine cultures, which would indicate the presence of specific bacteria responsible for the infection. Additionally, sensitivity testing of the bacterial organisms would be necessary to determine the most appropriate antibiotic therapy.
If the results of the cultures and sensitivity tests were to show a fungal or mycobacterial cause of chorioamnionitis, this would rule out the diagnosis of multidrug-resistant bacterial organism chorioamnionitis. However, based on the presented information, a bacterial cause of chorioamnionitis is the most likely diagnosis.</t>
    </r>
  </si>
  <si>
    <t>Emergency Medicine Case Challenge: An Active-Duty Soldier With a Burning, Spreading Rash and Sore Throat</t>
  </si>
  <si>
    <t>https://reference.medscape.com/viewarticle/849383</t>
  </si>
  <si>
    <r>
      <rPr>
        <b/>
        <sz val="12"/>
        <color theme="1"/>
        <rFont val="Calibri"/>
      </rPr>
      <t>Henoch-Schönlein purpura</t>
    </r>
    <r>
      <rPr>
        <sz val="12"/>
        <color theme="1"/>
        <rFont val="Calibri"/>
      </rPr>
      <t xml:space="preserve">
Mixed cryoglobulinemia
Polyarteritis nodosa
Systemic lupus erythematosus
Hemolytic-uremic syndrome</t>
    </r>
  </si>
  <si>
    <t>Henoch-Schönlein purpura</t>
  </si>
  <si>
    <t xml:space="preserve">The most likely diagnosis based on the findings is Henoch-Schönlein purpura (HSP).
HSP is a type of vasculitis that affects small blood vessels and can cause a purpuric rash, which is a rash with small red or purple spots that look like bruises. The presentation of a dark-red "burning rash" on the patient's calves, palms, and soles of the feet, which started at the sock line and spread proximally, is consistent with HSP. Additionally, the presence of small-vessel leukocytoclastic vasculitis on skin biopsy and the demonstration of a weak linear pattern for IgG and a stronger pattern for both IgA and C3 on immunofluorescence also support a diagnosis of HSP.
HSP can be triggered by infections, medications, or other underlying conditions. In this case, the patient's recent infantry training, including spending a long time in a foxhole, as well as his recent long hike with a heavy rucksack on his back, could have triggered the HSP.
To rule out other differentials, further tests may be necessary, including tests for underlying infections, autoimmune diseases, or other conditions that could be triggering HSP. For example, tests for lupus or mixed cryoglobulinemia would be important to rule out. Serologic testing for hepatitis B and C, as well as a cryoglobulin analysis, would also be important to perform in order to rule out mixed cryoglobulinemia. In addition, imaging studies such as an ultrasound or a CT scan of the abdomen could be useful to look for any evidence of renal involvement, which is common in HSP but is not present in this case.
In summary, based on the findings of a dark-red "burning rash" on the patient's lower extremities, small-vessel leukocytoclastic vasculitis on skin biopsy, and a weak linear pattern for IgG and a stronger pattern for both IgA and C3 on immunofluorescence, Henoch-Schönlein purpura is the most likely diagnosis. Further testing may be necessary to rule out other differentials.
</t>
  </si>
  <si>
    <t>A 42-Year-Old With Declining Cognition and Frequent Vomiting</t>
  </si>
  <si>
    <t>https://reference.medscape.com/viewarticle/727294</t>
  </si>
  <si>
    <r>
      <rPr>
        <sz val="12"/>
        <color theme="1"/>
        <rFont val="Calibri"/>
      </rPr>
      <t xml:space="preserve">Glioblastoma
Choroid plexus papilloma
Retinoblastoma
</t>
    </r>
    <r>
      <rPr>
        <b/>
        <sz val="12"/>
        <color theme="1"/>
        <rFont val="Calibri"/>
      </rPr>
      <t>Metastatic melanoma</t>
    </r>
  </si>
  <si>
    <t>Glioblastoma</t>
  </si>
  <si>
    <t xml:space="preserve">Based on the given case information, the most likely diagnosis is Glioblastoma.
The gradual onset headache, frequent vomiting, and cognitive defects all point towards a brain lesion as the cause. The MRI scans show a hyperintense lesion in the superficial cortex of the posterior frontal region with surrounding edema, which is characteristic of a high-grade brain tumor such as a glioblastoma.
Additionally, the histopathologic examination results show a tumor in the cerebral cortex infiltrating into the Virchow-Robbins spaces, with subpial spread of the cells, marked nuclear pleomorphism and prominent nucleoli, and frequent mitotic activity. These findings are consistent with the diagnosis of a glioblastoma.
The patient's hematologic parameters also suggest that there might be systemic involvement, as the patient has a low hemoglobin level and a raised erythrocyte sedimentation rate (ESR), which are both indicative of systemic inflammation.
To rule out this differential, a thorough examination of the patient's medical history and a complete workup including a biopsy of the lesion would be necessary to determine if the lesion is indeed a glioblastoma. Furthermore, a genetic analysis would also help to rule out any underlying hereditary cancer syndromes that could increase the risk of developing a retinoblastoma. If the patient had a history of ocular melanoma or if a biopsy of the lesion showed that the lesion was a metastatic melanoma, this differential would also be ruled out.
</t>
  </si>
  <si>
    <t>Emergency Medicine Case Challenge: A Young Girl With Discolored Feet, Facial Swelling, and Cough</t>
  </si>
  <si>
    <t>https://reference.medscape.com/viewarticle/855744</t>
  </si>
  <si>
    <r>
      <rPr>
        <sz val="12"/>
        <color theme="1"/>
        <rFont val="Calibri"/>
      </rPr>
      <t xml:space="preserve">Coccidiomycosis
Berger disease
</t>
    </r>
    <r>
      <rPr>
        <b/>
        <sz val="12"/>
        <color theme="1"/>
        <rFont val="Calibri"/>
      </rPr>
      <t>Mercury poisoning</t>
    </r>
    <r>
      <rPr>
        <sz val="12"/>
        <color theme="1"/>
        <rFont val="Calibri"/>
      </rPr>
      <t xml:space="preserve">
Kawasaki disease</t>
    </r>
  </si>
  <si>
    <t>Kawasaki disease</t>
  </si>
  <si>
    <t xml:space="preserve">The most likely diagnosis for this 16-month-old girl based on the provided information is Kawasaki disease.
Rationale:
Kawasaki disease is a systemic vasculitis that affects infants and young children. It is characterized by a persistent fever, bilateral conjunctival injection, changes in the lips and oral mucosa, skin rashes, and cervical lymphadenopathy. The presence of periorbital swelling, pink discoloration to the hands and feet, and 2+ bilateral pitting edema to the ankles, as well as decreased deep tendon reflexes, are consistent with the physical findings of Kawasaki disease. The diffuse ground glass opacities on chest imaging are also in line with the lung involvement that can occur in Kawasaki disease.
Furthermore, the patient's recent travel to southern Mexico and lack of a history of exposure to new food, drinks, or medications support the hypothesis that Kawasaki disease is a possible diagnosis. The use of a skin cream from Mexico by the mother, which was used occasionally on a birthmark on the child's chest, is a potential environmental trigger for Kawasaki disease.
Findings that would cause us to rule out Kawasaki disease include the absence of persistent fever and cervical lymphadenopathy. A persistent fever of at least 5 days is a hallmark symptom of Kawasaki disease, and the presence of cervical lymphadenopathy is also highly suggestive of the disease. In the absence of these two findings, it would be important to consider alternative diagnoses.
In conclusion, based on the clinical presentation and the patient's recent travel history, Kawasaki disease is the most likely diagnosis in this case.
</t>
  </si>
  <si>
    <t>Fails to consider the relationship between lightening creams and the presence of mercury</t>
  </si>
  <si>
    <t>Endocrinology Case Challenge: A 55-Year-Old With Impotence, Decreased Libido, and Hyponatremia</t>
  </si>
  <si>
    <t>https://reference.medscape.com/viewarticle/729365</t>
  </si>
  <si>
    <r>
      <rPr>
        <sz val="12"/>
        <color theme="1"/>
        <rFont val="Calibri"/>
      </rPr>
      <t xml:space="preserve">Hypothyroidism
Electrolyte loss due to vomiting
</t>
    </r>
    <r>
      <rPr>
        <b/>
        <sz val="12"/>
        <color theme="1"/>
        <rFont val="Calibri"/>
      </rPr>
      <t>Hypopituitarism due to empty sella syndrome</t>
    </r>
    <r>
      <rPr>
        <sz val="12"/>
        <color theme="1"/>
        <rFont val="Calibri"/>
      </rPr>
      <t xml:space="preserve">
Primary adrenal insufficiency</t>
    </r>
  </si>
  <si>
    <t>Primary adrenal insufficiency</t>
  </si>
  <si>
    <r>
      <rPr>
        <sz val="10"/>
        <color theme="1"/>
        <rFont val="Calibri"/>
      </rPr>
      <t xml:space="preserve">Based on the patient's history and examination findings, the most likely diagnosis is primary adrenal insufficiency (also known as Addison's disease).
The patient has a history of decreased libido and impotence for 3 years, which are non-specific but can be symptoms of adrenal insufficiency. The normochromic normocytic anemia, with a hemoglobin level of 11.8 g/dL, hematocrit of 34%, and mean corpuscular volume of 91 μm3, are all findings consistent with adrenal insufficiency. The weakly palpable peripheral pulses, fine wrinkling of the perioral skin, and apathetic appearance are also physical examination findings that are indicative of adrenal insufficiency.
Additionally, the </t>
    </r>
    <r>
      <rPr>
        <b/>
        <sz val="10"/>
        <color theme="1"/>
        <rFont val="Calibri"/>
      </rPr>
      <t>hyponatremia (serum sodium of 126 mEq/L)</t>
    </r>
    <r>
      <rPr>
        <sz val="10"/>
        <color theme="1"/>
        <rFont val="Calibri"/>
      </rPr>
      <t xml:space="preserve"> is an important laboratory finding that supports the diagnosis of adrenal insufficiency. The </t>
    </r>
    <r>
      <rPr>
        <b/>
        <sz val="10"/>
        <color theme="1"/>
        <rFont val="Calibri"/>
      </rPr>
      <t>normal potassium level</t>
    </r>
    <r>
      <rPr>
        <sz val="10"/>
        <color theme="1"/>
        <rFont val="Calibri"/>
      </rPr>
      <t xml:space="preserve"> helps to differentiate adrenal insufficiency from other causes of hyponatremia, such as hypothyroidism or electrolyte loss due to vomiting.
To confirm the diagnosis of adrenal insufficiency, the patient would need to undergo further testing such as a cortisol level test, ACTH stimulation test, or insulin tolerance test. If these tests are consistent with adrenal insufficiency, then a diagnosis of primary adrenal insufficiency can be made.
To rule out the differential diagnosis of hypopituitarism due to empty sella syndrome, a MRI of the pituitary gland would need to be performed. If the MRI reveals a normal-sized pituitary gland and no signs of empty sella syndrome, then this differential can be ruled out.
</t>
    </r>
  </si>
  <si>
    <t>Unable to differentiate between primary and secondary causes. The absence of both hyperkalemia and mucosal hyperpigmentation suggested secondary hypoadrenalism.</t>
  </si>
  <si>
    <t>5-Month-Old Rushed to the ED for Severe Abdominal Distention</t>
  </si>
  <si>
    <t>https://reference.medscape.com/viewarticle/898100</t>
  </si>
  <si>
    <r>
      <rPr>
        <sz val="12"/>
        <color theme="1"/>
        <rFont val="Calibri"/>
      </rPr>
      <t xml:space="preserve">Choledochal cyst
Portal hypertension
Abdominal vascular malformation
</t>
    </r>
    <r>
      <rPr>
        <b/>
        <sz val="12"/>
        <color theme="1"/>
        <rFont val="Calibri"/>
      </rPr>
      <t>Ruptured hepatic tumor</t>
    </r>
    <r>
      <rPr>
        <sz val="12"/>
        <color theme="1"/>
        <rFont val="Calibri"/>
      </rPr>
      <t xml:space="preserve">
Malignant hemoperitoneum</t>
    </r>
  </si>
  <si>
    <t>Malignant hemoperitoneum</t>
  </si>
  <si>
    <t xml:space="preserve">Based on the given information, the most likely diagnosis is Malignant Hemoperitoneum.
The presence of severe abdominal distention, gross abdominal distension, discoloration, and bloodstained free fluid seen on paracentesis, as well as the severe metabolic acidosis with elevated lactate level, low blood pressure, hyperkalemia, and severe anemia (low hemoglobin level), suggest the possibility of internal hemorrhage and acute blood loss. Additionally, the patient's sudden and severe decline in condition, including flaccidity and unresponsiveness, suggest a severe and life-threatening situation.
A ruptured hepatic tumor is also a possible diagnosis, however, in this case, the presence of a large cystic mass under the liver and elevated AFP levels (900 ng/mL) raises the possibility of a choledochal cyst, which is typically benign and can cause symptoms such as abdominal distention, jaundice, and biliary obstruction. The fact that the patient underwent percutaneous sclerosis of the lesion and that the blood work was otherwise normal, makes the choledochal cyst less likely as the cause of the current symptoms.
Portal hypertension is a possible differential, however, the patient's blood work was otherwise normal and there is no mention of any history of liver disease or cirrhosis, making it less likely. Similarly, abdominal vascular malformations are also a possible differential, however, in the absence of a history of recurrent bleeding or other symptoms, it is less likely in this case.
Findings that would rule out malignant hemoperitoneum as the diagnosis include a negative result on imaging for any evidence of malignancy, normal blood pressure and stable metabolic acidosis, and a negative result on paracentesis for blood. Additionally, if a definitive source of the internal hemorrhage is identified, such as a ruptured liver tumor or a bleeding abdominal vascular malformation, the diagnosis of malignant hemoperitoneum would need to be re-evaluated.
</t>
  </si>
  <si>
    <t>malignant hepatic tumors, which in this age group are mostly hepatoblastomas. This would explain the elevated AFP</t>
  </si>
  <si>
    <t>A 23-Year-Old Unaware She’s Pregnant With Hematuria, ECG Abnormalities</t>
  </si>
  <si>
    <t>https://reference.medscape.com/viewarticle/885135</t>
  </si>
  <si>
    <r>
      <rPr>
        <sz val="12"/>
        <color theme="1"/>
        <rFont val="Calibri"/>
      </rPr>
      <t xml:space="preserve">Cushing syndrome
Addison disease
Bartter syndrome
</t>
    </r>
    <r>
      <rPr>
        <b/>
        <sz val="12"/>
        <color theme="1"/>
        <rFont val="Calibri"/>
      </rPr>
      <t>Distal renal tubular acidosis</t>
    </r>
  </si>
  <si>
    <t>Addison disease</t>
  </si>
  <si>
    <t>The most likely diagnosis based on the patient's symptoms and laboratory findings is Addison disease.
Addison disease is a condition in which the adrenal glands do not produce enough hormones, including cortisol and aldosterone. The clinical presentation of Addison disease includes weakness, fatigue, and nausea, which are all symptoms that the patient in this case is experiencing. Additionally, the patient has a low bicarbonate level, which can be indicative of adrenal insufficiency. The low pH and low partial pressure of carbon dioxide levels on the arterial blood gas measurement are also consistent with adrenal insufficiency.
Cushing syndrome, on the other hand, is characterized by an excess of cortisol and can present with symptoms such as weight gain, easy bruising, and muscle weakness, but the patient in this case does not have any of these symptoms. Additionally, Cushing syndrome is usually associated with a high bicarbonate level, which the patient in this case does not have.
Bartter syndrome is a rare genetic disorder that causes the kidneys to excrete too much salt and fluid, leading to low potassium levels and high levels of urine output. The symptoms of Bartter syndrome include muscle weakness and cramps, but it is typically not associated with vomiting, hematuria, or a low bicarbonate level.
Distal renal tubular acidosis (RTA) is a condition in which the kidneys do not properly balance acid levels in the body. It can cause muscle weakness, but is not typically associated with vomiting, hematuria, or a low bicarbonate level. Additionally, the patient's urine pH of 7 is not consistent with distal RTA, which would typically present with a high urine pH.
In conclusion, based on the patient's symptoms and laboratory findings, the most likely diagnosis is Addison disease. Further testing, such as a cortisol stimulation test, would be needed to confirm the diagnosis. To rule out Addison disease, a normal cortisol level in response to stimulation would need to be seen.</t>
  </si>
  <si>
    <t>GPT didn't consider the ECG findings - the peak U waves was important to consider for RTA diagnosis.</t>
  </si>
  <si>
    <t>An Anxious Hiker With Recurring Annular Rash and Sleep Loss</t>
  </si>
  <si>
    <t>https://reference.medscape.com/viewarticle/966775</t>
  </si>
  <si>
    <r>
      <rPr>
        <sz val="12"/>
        <color theme="1"/>
        <rFont val="Calibri"/>
      </rPr>
      <t xml:space="preserve">Erythema multiforme
Tinea corporis
</t>
    </r>
    <r>
      <rPr>
        <b/>
        <sz val="12"/>
        <color theme="1"/>
        <rFont val="Calibri"/>
      </rPr>
      <t>Urticaria</t>
    </r>
    <r>
      <rPr>
        <sz val="12"/>
        <color theme="1"/>
        <rFont val="Calibri"/>
      </rPr>
      <t xml:space="preserve">
Annular psoriasis
Erythema migrans
Subacute cutaneous lupus erythematosus</t>
    </r>
  </si>
  <si>
    <t>Erythema migrans</t>
  </si>
  <si>
    <t>The most likely diagnosis based on the findings is Erythema migrans.
Rationale:
Erythema migrans is a type of skin rash that is a hallmark symptom of Lyme disease, a bacterial infection transmitted by the bite of an infected black-legged tick. The patient's recent outdoor activities and history of hiking, as well as her travel to parts of the Midwest and New England, known for Lyme disease, all suggest this as a possible diagnosis. Additionally, the patient's complaint of a pruritic migratory eruption that has recurred multiple times over the past 4 weeks, along with the lesions noted on the trunk and proximal extremities, is consistent with the characteristic rash associated with Lyme disease.
Findings that would rule out this differential include negative results on Lyme disease serological testing, such as ELISA (enzyme-linked immunosorbent assay) and Western blot, as well as a lack of a history of a tick bite or tick exposure. A clinical presentation inconsistent with Lyme disease, such as the presence of systemic symptoms or a rash that does not meet the criteria for erythema migrans, would also rule out this differential.
In summary, Erythema migrans is the most likely diagnosis based on the patient's history, presentation, and risk factors, but further testing, such as serological testing and tick exposure history, is necessary to confirm the diagnosis.</t>
  </si>
  <si>
    <t xml:space="preserve">Urticaria is commonly misdiagnosed as erythema migrans. Would need to consider migratory nature of urticaria, associated pruritus, response to antihistamines, and lack of epidermal necrosis. </t>
  </si>
  <si>
    <t xml:space="preserve">
Psychiatry Case Challenge: A 9-Year-Old With Suicidal Behavior</t>
  </si>
  <si>
    <t>https://reference.medscape.com/viewarticle/863846</t>
  </si>
  <si>
    <r>
      <rPr>
        <sz val="12"/>
        <color theme="1"/>
        <rFont val="Calibri"/>
      </rPr>
      <t xml:space="preserve">Munchausen syndrome (factitious disorder imposed on self)
Munchausen syndrome by proxy (factitious disorder imposed on another)
Schizophrenia
Conversion disorder
</t>
    </r>
    <r>
      <rPr>
        <b/>
        <sz val="12"/>
        <color theme="1"/>
        <rFont val="Calibri"/>
      </rPr>
      <t>Brief reactive psychosis</t>
    </r>
  </si>
  <si>
    <t>Brief reactive psychosis</t>
  </si>
  <si>
    <t>The most likely diagnosis in this case is Brief reactive psychosis.
Brief reactive psychosis, also known as brief psychotic disorder, is a mental disorder characterized by the sudden onset of psychotic symptoms such as delusions, hallucinations, disorganized speech and behavior, that last for less than a month. This diagnosis makes sense in this case as the boy suddenly started exhibiting suicidal and homicidal behavior, along with auditory hallucinations and delusions, which are all symptoms of psychosis. The onset of these symptoms occurred within a few days prior to presentation, which is consistent with the brief duration of the disorder.
The presence of a history of trauma, abuse, and neglect, as well as a family history of drug addiction and mental disorders, further supports the diagnosis of brief reactive psychosis. Such environmental stressors and adversities can increase the risk of developing a brief psychotic disorder.
Findings that would rule out this differential would be if the boy had a pre-existing history of a chronic psychotic disorder such as schizophrenia or a history of a similar episode lasting for more than a month. Additionally, if the boy showed symptoms of a conversion disorder, such as unexplained motor or sensory deficits, this diagnosis would also be ruled out.
In conclusion, the sudden onset of psychotic symptoms, a history of trauma and adversity, and normal hearing in the left ear, make brief reactive psychosis the most likely diagnosis in this case.</t>
  </si>
  <si>
    <t>Neurology Case Challenge: Visual and Auditory Hallucinations in a Patient With Parkinson Disease</t>
  </si>
  <si>
    <t>https://reference.medscape.com/viewarticle/736108</t>
  </si>
  <si>
    <r>
      <rPr>
        <sz val="12"/>
        <color theme="1"/>
        <rFont val="Calibri"/>
      </rPr>
      <t xml:space="preserve">Vascular dementia
Parkinson disease dementia
</t>
    </r>
    <r>
      <rPr>
        <b/>
        <sz val="12"/>
        <color theme="1"/>
        <rFont val="Calibri"/>
      </rPr>
      <t>Dementia with Lewy bodies</t>
    </r>
    <r>
      <rPr>
        <sz val="12"/>
        <color theme="1"/>
        <rFont val="Calibri"/>
      </rPr>
      <t xml:space="preserve">
Carbidopa/levodopa side effects
Alzheimer disease</t>
    </r>
  </si>
  <si>
    <t>Dementia with Lewy bodies</t>
  </si>
  <si>
    <t>The most likely diagnosis based on the findings is Dementia with Lewy bodies (DLB).
Rationale: The patient's history of Parkinson's disease and mild response to carbidopa/levodopa treatment, in combination with the symptoms of episodic altered mental status, agitation, and hallucinations, particularly visual hallucinations, suggest the presence of DLB. The hallmark feature of DLB is the co-occurrence of cognitive impairment, particularly in attention and executive function, with parkinsonism and fluctuating cognition.
The physical examination findings of reduced blink rate, mild rigidity, bradykinesia, postural instability, and depression also support a diagnosis of DLB. Additionally, the CT scan showing scattered lacunar infarcts and mild cortical atrophy without ventricular dilatation is consistent with DLB.
Findings that would rule out the differential of DLB include a history of significant alcohol consumption or a history of a significant psychiatric disorder, as these conditions can cause similar symptoms. Furthermore, if the patient's cognitive impairment was found to be rapidly progressive and the patient had a history of rapidly progressive dementia, it would also be inconsistent with DLB.
In conclusion, the patient's clinical presentation and findings strongly suggest DLB, but further investigation is needed to confirm the diagnosis and rule out other possible conditions.</t>
  </si>
  <si>
    <t>A 16-Year-Old Girl With Full-Body Rash, Dyspnea, and Swelling</t>
  </si>
  <si>
    <t>https://reference.medscape.com/viewarticle/881373</t>
  </si>
  <si>
    <r>
      <rPr>
        <sz val="12"/>
        <color theme="1"/>
        <rFont val="Calibri"/>
      </rPr>
      <t xml:space="preserve">Hereditary angioedema
Cholinergic urticaria
</t>
    </r>
    <r>
      <rPr>
        <b/>
        <sz val="12"/>
        <color theme="1"/>
        <rFont val="Calibri"/>
      </rPr>
      <t>Exercise-induced anaphylaxis</t>
    </r>
    <r>
      <rPr>
        <sz val="12"/>
        <color theme="1"/>
        <rFont val="Calibri"/>
      </rPr>
      <t xml:space="preserve">
Systemic mastocytosis
Idiopathic anaphylaxis</t>
    </r>
  </si>
  <si>
    <t>Exercise-induced anaphylaxis</t>
  </si>
  <si>
    <t>Based on the findings in the case, the most likely diagnosis is Exercise-Induced Anaphylaxis.
Rationale: The patient presents with symptoms of itching, rash, shortness of breath, and tightness of the throat, which are all typical symptoms of an allergic reaction. Additionally, the fact that these symptoms occur after physical activity, particularly in hot temperatures, suggests that exercise may be the trigger for the reaction. The patient also reports that the episodes are getting worse and happening more frequently, which is consistent with the progression of exercise-induced anaphylaxis.
Findings that would rule out this differential: If the patient had a history of other allergic reactions to foods, medications, or environmental triggers, or if the patient had a family history of hereditary angioedema, these findings would suggest that the patient may have a different condition and exercise-induced anaphylaxis may not be the most likely diagnosis. Additionally, if the patient had symptoms of abdominal pain, nausea, and vomiting, this may suggest systemic mastocytosis instead of exercise-induced anaphylaxis.
In conclusion, the patient's symptoms and presentation are most consistent with exercise-induced anaphylaxis, and further testing such as skin prick tests or a food diary may be needed to confirm the diagnosis and determine the exact trigger for the patient's allergic reactions.</t>
  </si>
  <si>
    <t>Answer correct?</t>
  </si>
  <si>
    <t>Consistent with most common answer?</t>
  </si>
  <si>
    <t>Considers other diagnosis</t>
  </si>
  <si>
    <r>
      <rPr>
        <sz val="10"/>
        <color rgb="FF000000"/>
        <rFont val="Roboto"/>
      </rPr>
      <t xml:space="preserve">Lupus nephritis
Interstitial nephritis
</t>
    </r>
    <r>
      <rPr>
        <b/>
        <sz val="10"/>
        <color rgb="FF000000"/>
        <rFont val="Roboto"/>
      </rPr>
      <t>Antiphospholipid syndrome nephropathy</t>
    </r>
    <r>
      <rPr>
        <sz val="10"/>
        <color rgb="FF000000"/>
        <rFont val="Roboto"/>
      </rPr>
      <t xml:space="preserve">
Thrombotic thrombocytopenic purpura</t>
    </r>
  </si>
  <si>
    <t>Lupus nephritis</t>
  </si>
  <si>
    <t>Based on the information provided, it is most likely that the patient's diagnosis is Lupus Nephritis.
Lupus Nephritis is a type of kidney inflammation caused by systemic lupus erythematosus (SLE). The patient has a history of SLE, as evidenced by her positive test results for lupus anticoagulant, as well as other SLE symptoms such as fatigue, fever, oral ulcers, and joint pain. Additionally, the patient's laboratory workup shows high levels of inflammatory markers, such as C-reactive protein and erythrocyte sedimentation rate, as well as positive test results for antinuclear antibody and double-stranded DNA, which are indicative of SLE. The patient also has a slightly elevated creatinine level, which is consistent with kidney disease.
Interstitial nephritis is a type of kidney inflammation that can be caused by a variety of factors, including infections, medications, or other underlying diseases. However, there is no information in the case to suggest that this is the cause of the patient's kidney inflammation.
Antiphospholipid syndrome nephropathy is a type of kidney inflammation that can occur in patients with antiphospholipid syndrome, a condition characterized by the presence of antiphospholipid antibodies in the blood. However, there is no information in the case to suggest that this is the cause of the patient's kidney inflammation.
Thrombotic thrombocytopenic purpura (TTP) is a blood clotting disorder characterized by microangiopathic hemolytic anemia, thrombocytopenia, and organ damage. However, there is no information in the case to suggest that this is the cause of the patient's kidney inflammation. Additionally, TTP typically presents with symptoms such as fever, fatigue, and neurological symptoms, and does not typically involve lung or joint involvement, which the patient has.
It is important to note that the patient's diagnosis may change as more information becomes available, such as the results of the bone biopsy, and as the patient's condition evolves. A confirmatory kidney biopsy would help to confirm the diagnosis of Lupus Nephritis. And A multidisciplinary approach involving rheumatologists, nephrologists and hematologists should be employed to manage the patient's complex condition.</t>
  </si>
  <si>
    <t>Low cognitive load</t>
  </si>
  <si>
    <t xml:space="preserve">False negative </t>
  </si>
  <si>
    <t xml:space="preserve">Incomplete relevant </t>
  </si>
  <si>
    <r>
      <rPr>
        <sz val="10"/>
        <color rgb="FF000000"/>
        <rFont val="Roboto"/>
      </rPr>
      <t xml:space="preserve">Multiple sclerosis
Familial hypercholesterolemia
</t>
    </r>
    <r>
      <rPr>
        <b/>
        <sz val="10"/>
        <color rgb="FF000000"/>
        <rFont val="Roboto"/>
      </rPr>
      <t>Adrenomyeloneuropathy</t>
    </r>
    <r>
      <rPr>
        <sz val="10"/>
        <color rgb="FF000000"/>
        <rFont val="Roboto"/>
      </rPr>
      <t xml:space="preserve">
Adrenoleukodystrophy
</t>
    </r>
  </si>
  <si>
    <t>Adrenoleukodystrophy (ALD)</t>
  </si>
  <si>
    <t>The most likely diagnosis based on these findings is Adrenoleukodystrophy (ALD). Adrenoleukodystrophy is a genetic disorder that affects the adrenal gland and the central nervous system, leading to progressive degeneration of the myelin sheath that covers nerve fibers. It is often characterized by symptoms such as ataxia (balance problems), bladder incontinence, and spasticity in the lower extremities. The elevated plasma VLCFA levels, which are specific to ALD, and the low cortisol and adrenocorticotropic hormone levels, which are indicative of adrenal insufficiency, support the diagnosis of ALD.
Findings that would rule out this differential include normal VLCFA levels and normal adrenal gland function, as well as the presence of other symptoms or conditions that would be indicative of a different diagnosis. For example, if the patient also had significant cognitive decline, optic nerve involvement, and seizures, a different diagnosis, such as multiple sclerosis, would be more likely. Similarly, if the patient had a strong family history of hypercholesterolemia, a diagnosis of familial hypercholesterolemia would be more likely.
Overall, Adrenoleukodystrophy is the most likely diagnosis based on the patient's symptoms and test results, but further evaluation and testing may be necessary to confirm or rule out this diagnosis.</t>
  </si>
  <si>
    <t>Moderate cognitive load</t>
  </si>
  <si>
    <t>Incomplete, relevant</t>
  </si>
  <si>
    <r>
      <rPr>
        <sz val="10"/>
        <color rgb="FF000000"/>
        <rFont val="Roboto"/>
      </rPr>
      <t xml:space="preserve">Hypertrophic cardiomyopathy
Myocardial infarction
</t>
    </r>
    <r>
      <rPr>
        <b/>
        <sz val="10"/>
        <color rgb="FF000000"/>
        <rFont val="Roboto"/>
      </rPr>
      <t>Commotio cordis</t>
    </r>
    <r>
      <rPr>
        <sz val="10"/>
        <color rgb="FF000000"/>
        <rFont val="Roboto"/>
      </rPr>
      <t xml:space="preserve">
Long-QT syndrome</t>
    </r>
  </si>
  <si>
    <t>N/A</t>
  </si>
  <si>
    <t>Based on the information provided, it is most likely that the patient's cardiac arrest was caused by Commotio cordis.
Commotio cordis is a rare condition where a sudden, blunt impact to the chest causes cardiac arrest. It typically occurs during sports or other activities where there is a risk of impact to the chest. In this case, the patient was playing baseball and was hit in the chest by a teammate's elbow. This sudden impact resulted in ventricular fibrillation, which was converted to a normal sinus rhythm after defibrillation with 200 J. The patient regained consciousness and had no other symptoms or past medical history that would suggest another cause for the cardiac arrest.
Hypertrophic cardiomyopathy, Myocardial infarction, and Long-QT syndrome are all possible causes of cardiac arrest, but there is no evidence in this case to suggest that these conditions are present. Hypertrophic cardiomyopathy is a condition where the heart muscle becomes thickened, which can cause arrhythmias and cardiac arrest. However, the patient in this case has no history of arrhythmias or unexplained sudden deaths and physical examination is unremarkable. Myocardial infarction is a condition where a part of the heart muscle dies due to a lack of blood flow, which can cause cardiac arrest. However, there are no findings on the ECG or chest x-ray that suggest this is the case. Long-QT syndrome is a condition where the heart takes longer than normal to recover after a beat, which can cause arrhythmias and cardiac arrest. However, the patient's QT interval is normal, and there is no family history of arrhythmias or sudden deaths.
To rule out the differential diagnosis, I suggest to perform a follow-up ECG, Echo-cardiogram, and Holter monitoring to see if the patient has any underlying heart issue and if there is any arrhythmia or other cardiac event that could be related to the cardiac arrest. Also, a genetic test for Long-QT syndrome is recommended.</t>
  </si>
  <si>
    <t>True positive</t>
  </si>
  <si>
    <t>complete, relevant</t>
  </si>
  <si>
    <r>
      <rPr>
        <sz val="10"/>
        <color rgb="FF000000"/>
        <rFont val="Roboto"/>
      </rPr>
      <t xml:space="preserve">External monitoring device
Radiologic artifact
</t>
    </r>
    <r>
      <rPr>
        <b/>
        <sz val="10"/>
        <color rgb="FF000000"/>
        <rFont val="Roboto"/>
      </rPr>
      <t xml:space="preserve">Foreign-body ingestion
</t>
    </r>
    <r>
      <rPr>
        <sz val="10"/>
        <color rgb="FF000000"/>
        <rFont val="Roboto"/>
      </rPr>
      <t>An implanted medical device</t>
    </r>
  </si>
  <si>
    <t>An implanted medical device</t>
  </si>
  <si>
    <t>The abnormality seen on the x-ray in the patient is most likely an implanted medical device.
Rationale: The patient has a history of surgical interventions including a deviated nasal septum surgery 11 months ago. The appearance of the radio-opaque shadow in the central lower chest/epigastrium region as seen on the chest and abdominal x-rays suggests that the shadow is not a radiologic artifact or an external monitoring device, as these are usually smaller and located in more peripheral regions of the chest or abdomen. The shadow is also unlikely to be a foreign-body ingestion as there is no history of the patient ingesting anything unusual, and the shadow has not changed position over time.
Findings that would rule out the differential of an implanted medical device would include the presence of surrounding inflammation or infection, the displacement or migration of the device, or the development of symptoms such as pain, swelling, or discomfort in the area surrounding the device. Additionally, further imaging studies such as a CT scan or MRI could help to confirm or rule out the presence of an implanted medical device.</t>
  </si>
  <si>
    <t>False, positive</t>
  </si>
  <si>
    <t xml:space="preserve">incomplete, irrelevant </t>
  </si>
  <si>
    <r>
      <rPr>
        <sz val="10"/>
        <color rgb="FF000000"/>
        <rFont val="Roboto"/>
      </rPr>
      <t xml:space="preserve">Hepatitis B virus infection
Autoimmune hepatitis
Primary biliary cholangitis
</t>
    </r>
    <r>
      <rPr>
        <b/>
        <sz val="10"/>
        <color rgb="FF000000"/>
        <rFont val="Roboto"/>
      </rPr>
      <t>Primary sclerosing cholangitis</t>
    </r>
    <r>
      <rPr>
        <sz val="10"/>
        <color rgb="FF000000"/>
        <rFont val="Roboto"/>
      </rPr>
      <t xml:space="preserve">
Lysosomal acid lipase deficiency</t>
    </r>
  </si>
  <si>
    <t>Autoimmune hepatitis</t>
  </si>
  <si>
    <t>Based on the patient's symptoms, lab results, and physical examination, it is likely that the patient is suffering from autoimmune hepatitis. Autoimmune hepatitis is a liver disease that occurs when the immune system attacks liver cells and causes inflammation and damage to the liver.
The elevated levels of AST, ALT, and alkaline phosphatase, as well as the elevated levels of inflammation markers (C-reactive protein and erythrocyte sedimentation rate) suggest liver damage and inflammation. The negative serology results for hepatitis viruses, as well as the normal results of the magnetic resonance enterography, suggest that hepatitis is not the cause of the liver damage.
The patient's history of Crohn's disease and the fact that he was taking immunosuppressant medication (6-mercaptopurine and mesalamine) suggest that his immune system is altered, which increases his risk for developing autoimmune diseases, including autoimmune hepatitis. The negative ANA, anti-smooth muscle antibody, and antimitochondrial antibody results help to rule out other autoimmune liver diseases such as primary biliary cholangitis and primary sclerosing cholangitis.
The slightly elevated LAL activity suggests that lysosomal acid lipase deficiency is not the cause of the patient's symptoms.
In conclusion, the most likely diagnosis is autoimmune hepatitis. However, further diagnostic tests and monitoring, including liver biopsy, are needed to confirm the diagnosis and assess the extent of liver damage.</t>
  </si>
  <si>
    <t xml:space="preserve">False, negative </t>
  </si>
  <si>
    <t xml:space="preserve">Incomplete, relevant </t>
  </si>
  <si>
    <r>
      <rPr>
        <sz val="10"/>
        <color rgb="FF000000"/>
        <rFont val="Roboto"/>
      </rPr>
      <t xml:space="preserve">Retinal ischemia secondary to antiphospholipid antibodies
Idiopathic intracranial hypertension (pseudotumor cerebri)
Sequelae from migraine
</t>
    </r>
    <r>
      <rPr>
        <b/>
        <sz val="10"/>
        <color rgb="FF000000"/>
        <rFont val="Roboto"/>
      </rPr>
      <t>Central retinal artery occlusion from dermal fillers</t>
    </r>
  </si>
  <si>
    <t>idiopathic intracranial hypertension (pseudotumor cerebri)</t>
  </si>
  <si>
    <t xml:space="preserve">No </t>
  </si>
  <si>
    <t>The most likely diagnosis is idiopathic intracranial hypertension (pseudotumor cerebri).
The rationale for this differential is based on the patient's presenting symptoms of sudden-onset unilateral blindness, the absence of papilledema, and the presence of a diffuse white pallor on the funduscopic examination in the right eye. These findings are consistent with those seen in pseudotumor cerebri, a condition characterized by increased intracranial pressure without an identifiable underlying cause.
Additionally, the patient's history of elevated blood pressure, obesity, and use of an oral contraceptive pill are also risk factors for pseudotumor cerebri. The absence of any evidence of cerebral ischemia or hemorrhage on imaging further supports the possibility of this diagnosis.
Findings that would rule out this differential include the presence of papilledema, which is typically seen in increased intracranial pressure, and the presence of a retinal artery occlusion, which would suggest an embolic or thrombotic event. The presence of additional neurological symptoms, such as headache, tinnitus, and neck pain, which are not present in this patient, would also argue against this diagnosis.
In conclusion, idiopathic intracranial hypertension (pseudotumor cerebri) is the most likely diagnosis based on the patient's presentation and the findings from the funduscopic examination, with the absence of any evidence of cerebral ischemia or hemorrhage further supporting this diagnosis.</t>
  </si>
  <si>
    <t>Incomplete, irrelevant</t>
  </si>
  <si>
    <r>
      <rPr>
        <b/>
        <sz val="10"/>
        <color rgb="FF000000"/>
        <rFont val="Roboto"/>
      </rPr>
      <t>Primary epiploic appendagitis</t>
    </r>
    <r>
      <rPr>
        <sz val="10"/>
        <color rgb="FF000000"/>
        <rFont val="Roboto"/>
      </rPr>
      <t xml:space="preserve">
Acute omental infarction
Mesenteric panniculitis
Appendicitis</t>
    </r>
  </si>
  <si>
    <r>
      <rPr>
        <sz val="10"/>
        <color rgb="FF000000"/>
        <rFont val="Roboto"/>
      </rPr>
      <t xml:space="preserve">
</t>
    </r>
    <r>
      <rPr>
        <sz val="10"/>
        <color rgb="FF000000"/>
        <rFont val="Roboto"/>
      </rPr>
      <t>Primary epiploic appendagitis</t>
    </r>
  </si>
  <si>
    <t>The most likely diagnosis for this patient is primary epiploic appendagitis.
The patient's symptoms of severe abdominal pain, nausea, and lack of fever, chills, melena, or hematochezia are all consistent with the presentation of primary epiploic appendagitis. This condition occurs when an epiploic appendix, a fatty appendage of the colon, becomes inflamed and swollen. This can cause severe pain in the abdomen, particularly in the right lower quadrant, as well as nausea. The absence of fever, chills, or changes in bowel habits suggests that this is not a more serious infectious or inflammatory process.
The patient's history of overweight, sedentary lifestyle, and previous abdominal surgeries, as well as her previous unremarkable CT scans, also support the diagnosis of primary epiploic appendagitis.
Findings that would cause us to rule out this diagnosis include the presence of a mass or palpable abdominal abnormality, severe vomiting, or changes in bowel habits. Additionally, if the patient's pain does not respond to conservative treatment, further imaging or a surgical consultation may be required to rule out other underlying conditions such as appendicitis or mesenteric panniculitis.</t>
  </si>
  <si>
    <t>True, positive</t>
  </si>
  <si>
    <t>Complete, relevant</t>
  </si>
  <si>
    <r>
      <rPr>
        <sz val="10"/>
        <color rgb="FF000000"/>
        <rFont val="Roboto"/>
      </rPr>
      <t xml:space="preserve">Dissecting aortic aneurysm
Pulmonary embolism
</t>
    </r>
    <r>
      <rPr>
        <b/>
        <sz val="10"/>
        <color rgb="FF000000"/>
        <rFont val="Roboto"/>
      </rPr>
      <t>Hemothorax</t>
    </r>
    <r>
      <rPr>
        <sz val="10"/>
        <color rgb="FF000000"/>
        <rFont val="Roboto"/>
      </rPr>
      <t xml:space="preserve">
Empyema
Pneumothorax
Disseminated intravascular coagulation
Exudative pleural effusion</t>
    </r>
  </si>
  <si>
    <t>Exudative pleural effusion</t>
  </si>
  <si>
    <t>The most likely diagnosis based on these findings is exudative pleural effusion.
Rationale:
The presence of a loculated pleural effusion and the worsening anemia (decrease in hemoglobin level) along with the elevated leukocytosis (white blood cell count) suggest an exudative effusion. Exudative effusions are characterized by high levels of protein and cells and low levels of glucose compared to the blood. The pigtail catheter and the recent administration of tissue plasminogen activator (tPA) may have caused a pleural irritation or injury leading to the exudative effusion.
Findings that would rule out this differential:
If the patient had a history of DVT or PE, or if there was evidence of thrombus formation in the patient's lower extremities on ultrasonography, then the diagnosis of a pulmonary embolism would need to be considered. If the CT scan revealed a pneumothorax or hemothorax, the diagnosis of exudative pleural effusion would need to be re-evaluated. If the patient had a fever, chest pain, and a purulent discharge from the chest tube, the diagnosis of empyema would need to be considered.
In conclusion, the most likely diagnosis is exudative pleural effusion, but other differential diagnoses should be considered based on further findings.</t>
  </si>
  <si>
    <r>
      <rPr>
        <b/>
        <sz val="10"/>
        <color rgb="FF000000"/>
        <rFont val="Roboto"/>
      </rPr>
      <t>Anthrax</t>
    </r>
    <r>
      <rPr>
        <sz val="10"/>
        <color rgb="FF000000"/>
        <rFont val="Roboto"/>
      </rPr>
      <t xml:space="preserve">
Listeriosis
Clostridium perfringens sepsis
Botulism</t>
    </r>
  </si>
  <si>
    <t>Based on these findings, the most likely diagnosis is Clostridium perfringens sepsis.
Rationale: The patient's history of consuming raw beef and the subsequent onset of symptoms such as high-grade fever, abdominal pain, and watery stools with passage of blood are concerning for Clostridium perfringens infection. Clostridium perfringens is a common cause of food poisoning and can cause sepsis in severe cases. The presence of metabolic acidosis and positive test results for fibrin degradation products, as well as the imaging findings of multiple hemorrhages in the brain and hepatosplenomegaly, are consistent with sepsis.
Findings that would cause us to rule out this diagnosis would include a positive test result for a different pathogen (such as anthrax or botulism), as well as a lack of response to appropriate antibiotics for Clostridium perfringens sepsis. Additionally, if further testing revealed that the patient had a significant underlying medical condition such as immunodeficiency or liver disease, this could point towards a different diagnosis.</t>
  </si>
  <si>
    <r>
      <rPr>
        <b/>
        <sz val="10"/>
        <color rgb="FF2A2A2A"/>
        <rFont val="Calibri"/>
        <scheme val="minor"/>
      </rPr>
      <t>Tuberous sclerosis</t>
    </r>
    <r>
      <rPr>
        <sz val="10"/>
        <color rgb="FF2A2A2A"/>
        <rFont val="Calibri"/>
        <scheme val="minor"/>
      </rPr>
      <t xml:space="preserve">
Neurofibromatosis type 1
Neurofibromatosis type 2
Sturge-Weber syndrome</t>
    </r>
  </si>
  <si>
    <t>Tuberous Sclerosis (TS).</t>
  </si>
  <si>
    <t>Based on the presented findings, the most likely diagnosis is Tuberous Sclerosis (TS).
TS is a genetic disorder that results in the growth of noncancerous tumors in various organs, including the brain, skin, heart, lungs, and kidneys. The characteristic clinical findings of TS include seizures, intellectual disability, developmental delays, behavioral issues, skin lesion (angiofibromas), and renal tumors (angiomyolipomas).
The patient's clinical presentation of bilateral renal angiomyolipomas, malar angiofibromas, and periungual fibromas is consistent with the diagnostic criteria for TS. Furthermore, the finding of subependymal calcified nodules on the CT scan of the brain also supports the diagnosis of TS, as these nodules are a hallmark finding in patients with TS.
The diagnosis of Neurofibromatosis Type 1 (NF1) and Neurofibromatosis Type 2 (NF2) can be ruled out as the patient does not have any neurofibromas or schwannomas, which are characteristic findings in these conditions.
Sturge-Weber syndrome can be ruled out as the patient does not have the characteristic findings of a facial port-wine stain, which is a hallmark finding in this condition.
In conclusion, the patient's presentation of bilateral renal angiomyolipomas, malar angiofibromas, periungual fibromas, and subependymal calcified nodules supports a diagnosis of Tuberous Sclerosis.</t>
  </si>
  <si>
    <r>
      <rPr>
        <sz val="10"/>
        <color rgb="FF2A2A2A"/>
        <rFont val="Calibri"/>
        <scheme val="minor"/>
      </rPr>
      <t xml:space="preserve">Cutaneous sarcoidosis
Carotenemia
</t>
    </r>
    <r>
      <rPr>
        <b/>
        <sz val="10"/>
        <color rgb="FF2A2A2A"/>
        <rFont val="Calibri"/>
        <scheme val="minor"/>
      </rPr>
      <t>Normolipemic plane xanthoma</t>
    </r>
    <r>
      <rPr>
        <sz val="10"/>
        <color rgb="FF2A2A2A"/>
        <rFont val="Calibri"/>
        <scheme val="minor"/>
      </rPr>
      <t xml:space="preserve">
Lipoid proteinosis
Necrobiotic xanthogranuloma</t>
    </r>
  </si>
  <si>
    <t>Necrobiotic xanthogranuloma</t>
  </si>
  <si>
    <t>The most likely diagnosis for the 80-year-old man with yellow-orange patches on his chest and shoulders is Necrobiotic Xanthogranuloma.
The finding of foamy, lipid-laden macrophages in the dermis on biopsy supports this diagnosis, as this is a hallmark of necrobiotic xanthogranuloma. Additionally, the presence of a monoclonal gammopathy (M protein level of 3.0 g/dL and IgG kappa monoclonal gammopathy) further supports the diagnosis of necrobiotic xanthogranuloma, as this disease is associated with underlying hematologic disorders, such as multiple myeloma.
Carotenemia, lipoid proteinosis, and normolipemic plane xanthoma would not be likely diagnoses in this case, as they are typically associated with the consumption of large amounts of beta-carotene or other carotenoids, and the patient does not have any recent changes in diet or medications. The patient's normal lipid levels also rule out lipoid proteinosis and normolipemic plane xanthoma.
Cutaneous sarcoidosis is also not a likely diagnosis, as this disease is typically associated with systemic symptoms, such as weight loss, fatigue, and malaise, which the patient does not report. Furthermore, sarcoidosis is typically associated with non-caseating granulomas on biopsy, which were not present in this case.
In conclusion, the patient's medical and dermatologic history, physical examination findings, laboratory results, and biopsy findings all support a diagnosis of necrobiotic xanthogranuloma.</t>
  </si>
  <si>
    <t xml:space="preserve">Incomplete, irrelevant </t>
  </si>
  <si>
    <r>
      <rPr>
        <sz val="10"/>
        <color theme="1"/>
        <rFont val="Arial"/>
      </rPr>
      <t xml:space="preserve">Tropical sprue
Celiac disease
</t>
    </r>
    <r>
      <rPr>
        <b/>
        <sz val="10"/>
        <color theme="1"/>
        <rFont val="Arial"/>
      </rPr>
      <t>Peptic ulcer disease</t>
    </r>
    <r>
      <rPr>
        <sz val="10"/>
        <color theme="1"/>
        <rFont val="Arial"/>
      </rPr>
      <t xml:space="preserve">
Inflammatory bowel disease
Malabsorption from chronic pancreatitis</t>
    </r>
  </si>
  <si>
    <t>Inflammatory bowel disease</t>
  </si>
  <si>
    <t>Based on the given information and findings, the most likely diagnosis is Inflammatory Bowel Disease (IBD). Here is a detailed rationale for each of the options:
Option 1: Tropical sprue
Tropical sprue is a diarrheal illness that occurs in people who live in or have visited tropical areas, but the patient in this case has not lived in any tropical areas recently. Also, the stool test for parasites and ova was negative, making tropical sprue an unlikely diagnosis.
Option 2: Celiac disease
Celiac disease is an autoimmune condition in which the small intestine is damaged by gluten. The tissue transglutaminase IgA antibody test was negative, which is a key test for diagnosing celiac disease, making it an unlikely diagnosis.
Option 3: Peptic ulcer disease
Peptic ulcer disease is caused by a break in the protective mucous layer of the stomach or duodenum, leading to digestive juices eroding the underlying tissue. The patient was treated with a proton pump inhibitor in the ED and improved somewhat, but since he ran out of the medication weeks ago, peptic ulcer disease may still be a possibility. However, the patient does not have any symptoms of heartburn, which is commonly seen in peptic ulcer disease.
Option 4: Inflammatory Bowel Disease (IBD)
IBD is a group of chronic disorders that cause inflammation in the gastrointestinal tract. The patient has a history of diarrhea and abdominal pain for 6 months, with elevated levels of stool calprotectin, which is a marker of intestinal inflammation. Also, the patient's elevated levels of erythrocyte sedimentation rate (ESR) and C-reactive protein (CRP) suggest an ongoing inflammatory process. The patient's symptoms improved somewhat on omeprazole (a PPI), which can reduce inflammation in the gut, but since he has been off the medication for weeks, it is possible that the symptoms have recurred.
Option 5: Malabsorption from chronic pancreatitis
Chronic pancreatitis is a long-term condition in which the pancreas becomes damaged and unable to function properly. This can lead to malabsorption and diarrhea. However, the patient does not have any symptoms of abdominal pain or bloating, which are common in chronic pancreatitis, and the results of the stool test for fat were normal. Therefore, malabsorption from chronic pancreatitis is unlikely to be the diagnosis in this case.
Based on the patient's symptoms, laboratory workup, and negative results on stool tests, Inflammatory Bowel Disease (IBD) is the most likely diagnosis.</t>
  </si>
  <si>
    <t xml:space="preserve">incomplete, relevant </t>
  </si>
  <si>
    <r>
      <rPr>
        <sz val="10"/>
        <color rgb="FF2A2A2A"/>
        <rFont val="Calibri"/>
        <scheme val="minor"/>
      </rPr>
      <t xml:space="preserve">Right-to-left cardiac shunting
</t>
    </r>
    <r>
      <rPr>
        <b/>
        <sz val="10"/>
        <color rgb="FF2A2A2A"/>
        <rFont val="Calibri"/>
        <scheme val="minor"/>
      </rPr>
      <t xml:space="preserve">Obstructive sleep apnea
</t>
    </r>
    <r>
      <rPr>
        <sz val="10"/>
        <color rgb="FF2A2A2A"/>
        <rFont val="Calibri"/>
        <scheme val="minor"/>
      </rPr>
      <t>Depression
Vocal cord granuloma
Hypothyroidism</t>
    </r>
  </si>
  <si>
    <t>Obstructive sleep apnea</t>
  </si>
  <si>
    <t>Diagnosis: Obstructive Sleep Apnea (OSA)
Rationale:
The patient reports snoring "like a drunken sailor" according to her daughter and has multiple symptoms of exhaustion and fatigue, despite not having difficulty initiating sleep. These are common symptoms of OSA.
The patient wakes up several times during the night to urinate, which can be due to sleep fragmentation caused by the repeated awakenings from airway collapse in OSA.
The patient has a neck circumference of 14 inches, a BMI of 18 kg/m2, and a modified Mallampati score of class 4, which are risk factors for OSA.
The CT scan shows multiple exostotic bony lesions in the maxilla, mandible, and oral cavity, which could contribute to airway obstruction in OSA.
Findings that would rule out the other answers:
Right-to-left cardiac shunting is a relatively rare condition and typically presents with symptoms such as dyspnea, fatigue, and headache, which the patient does not mention.
Depression can cause fatigue, but typically it is accompanied by low mood, lack of interest, sleep disturbances, and changes in appetite, which the patient does not report.
Vocal cord granuloma typically presents with voice changes and respiratory distress, which the patient does not report.
Hypothyroidism can cause fatigue and weight gain, but typically it is accompanied by cold intolerance, constipation, and dry skin, which the patient does not mention. The patient's TSH and thyroxine levels are also within normal limits, making hypothyroidism less likely.</t>
  </si>
  <si>
    <r>
      <rPr>
        <sz val="10"/>
        <color rgb="FF2A2A2A"/>
        <rFont val="Calibri"/>
        <scheme val="minor"/>
      </rPr>
      <t xml:space="preserve">Diverticulitis
</t>
    </r>
    <r>
      <rPr>
        <b/>
        <sz val="10"/>
        <color rgb="FF2A2A2A"/>
        <rFont val="Calibri"/>
        <scheme val="minor"/>
      </rPr>
      <t xml:space="preserve">Aortoenteric fistula
</t>
    </r>
    <r>
      <rPr>
        <sz val="10"/>
        <color rgb="FF2A2A2A"/>
        <rFont val="Calibri"/>
        <scheme val="minor"/>
      </rPr>
      <t>Urinary tract infection
Bacterial endocarditis</t>
    </r>
  </si>
  <si>
    <t>Bacterial endocarditis</t>
  </si>
  <si>
    <t>Based on the patient's presentation and medical history, the most likely diagnosis is bacterial endocarditis. The patient has multiple underlying conditions that increase her risk for endocarditis, including a history of coronary artery bypass grafting, which can result in endocarditis, as well as a history of diverticulosis, which can lead to bacteremia.
Her presentation with fever, chills, and night sweats is consistent with endocarditis, and the positive blood cultures further support this diagnosis. The presence of rigors and the white blood cell count with a high percentage of neutrophils and bands also suggest an infectious process. The fact that two sets of blood cultures were positive for different organisms also increases the likelihood of endocarditis, as multiple organisms can infect different parts of the heart valve.
The negative results of the transthoracic echocardiogram, abdominal CT, and colonoscopy help to rule out diverticulitis and aortoenteric fistula, as these tests would likely have revealed these conditions if they were present. The lack of urinary symptoms and normal urinalysis results help to rule out urinary tract infection.
In conclusion, the patient's presentation and medical history, along with the positive blood cultures and supportive laboratory findings, make bacterial endocarditis the most likely diagnosis in this case.</t>
  </si>
  <si>
    <r>
      <rPr>
        <sz val="10"/>
        <color rgb="FF000000"/>
        <rFont val="Roboto"/>
      </rPr>
      <t xml:space="preserve">
</t>
    </r>
    <r>
      <rPr>
        <sz val="10"/>
        <color rgb="FF000000"/>
        <rFont val="Roboto"/>
      </rPr>
      <t xml:space="preserve">Reactive arthritis
</t>
    </r>
    <r>
      <rPr>
        <b/>
        <sz val="10"/>
        <color rgb="FF000000"/>
        <rFont val="Roboto"/>
      </rPr>
      <t xml:space="preserve">Ankylosing spondylitis
</t>
    </r>
    <r>
      <rPr>
        <sz val="10"/>
        <color rgb="FF000000"/>
        <rFont val="Roboto"/>
      </rPr>
      <t>Psoriatic arthritis
Spondylitis associated with inflammatory bowel disease
Synovitis, acne, pustulosis, hyperostosis, osteitis (SAPHO) syndrome</t>
    </r>
  </si>
  <si>
    <t>Ankylosing spondylitis</t>
  </si>
  <si>
    <t>The most likely diagnosis is Ankylosing Spondylitis.
The presence of active sacroiliitis as seen on MRI and bilateral knee pain and stiffness are supportive findings for a diagnosis of Ankylosing Spondylitis. The positive ANA with a nucleolar pattern, as well as a high ESR, are also in favor of a diagnosis of Ankylosing Spondylitis.
The negative result for HLA-B27 is a less supportive finding, as this gene is strongly associated with Ankylosing Spondylitis, but a negative result does not rule out the disease. Additionally, the negative results for rheumatoid factor and anti-CCP antibody levels support a diagnosis of Ankylosing Spondylitis as opposed to a diagnosis of rheumatoid arthritis.
Reactive arthritis, psoriatic arthritis, spondylitis associated with inflammatory bowel disease, and SAPHO syndrome are less likely diagnoses based on the current presentation and test results. The absence of previous surgical history, past medical history of seizures, strokes, Raynaud phenomenon, dry mouth, mouth sores, nausea, vomiting, breathing problems, or heart disorders, as well as a negative result for hepatitis panel, anti-DNA antibody, anti-Smith antibody, anti-SSA 52 and 60 IgG, and anti-SSB IgG levels, help to rule out these other diagnoses.</t>
  </si>
  <si>
    <t>High cognitive load</t>
  </si>
  <si>
    <r>
      <rPr>
        <sz val="10"/>
        <color rgb="FF000000"/>
        <rFont val="Roboto"/>
      </rPr>
      <t xml:space="preserve">Acute cholecystitis
Acute pancreatitis
Chronic hepatitis due to fatty liver disease
</t>
    </r>
    <r>
      <rPr>
        <b/>
        <sz val="10"/>
        <color rgb="FF000000"/>
        <rFont val="Roboto"/>
      </rPr>
      <t>Chronic pancreatitis associated with diverticulosis</t>
    </r>
    <r>
      <rPr>
        <sz val="10"/>
        <color rgb="FF000000"/>
        <rFont val="Roboto"/>
      </rPr>
      <t xml:space="preserve">
Inflammatory bowel disease associated with biliary complications</t>
    </r>
  </si>
  <si>
    <t>Acute cholecystitis</t>
  </si>
  <si>
    <t>The most likely diagnosis based on the patient's symptoms and laboratory results is Acute Cholecystitis.
The presence of fever, abdominal pain, tenderness in the epigastrium and right hypochondrium, jaundice and yellowish skin discoloration, and elevated levels of direct bilirubin (8 mg/dL), gamma glutamyl transferase (500 U/L), and alkaline phosphatase (400 IU/L) are highly suggestive of biliary tract disease, particularly acute cholecystitis.
Additionally, the findings from the abdominal ultrasound, which showed dilation of the biliary radicals and dilation of the common bile duct (8 mm in diameter), further support a diagnosis of acute cholecystitis.
On the other hand, chronic hepatitis due to fatty liver disease is ruled out because the patient reports no history of alcohol consumption and a normal INR (1.3) and aspartate aminotransferase (110 U/L) level. Acute pancreatitis is ruled out because the patient's lipase level (160 U/L) is lower than the normal range, and the amylase level (190 U/L) is only slightly elevated. Chronic pancreatitis associated with diverticulosis is ruled out due to the lack of a history of heavy alcohol consumption and normal lipase level. Inflammatory bowel disease associated with biliary complications is ruled out because the patient's fecal calprotectin level (40 µg/mg) is low, and the antiendomysial antibody IgA level (0.1 U) is normal.</t>
  </si>
  <si>
    <r>
      <rPr>
        <sz val="10"/>
        <color rgb="FF000000"/>
        <rFont val="Roboto"/>
      </rPr>
      <t xml:space="preserve">Melanoma in situ
Squamous cell carcinoma in situ
Extramammary Paget disease
</t>
    </r>
    <r>
      <rPr>
        <b/>
        <sz val="10"/>
        <color rgb="FF000000"/>
        <rFont val="Roboto"/>
      </rPr>
      <t>Merkel cell carcinoma in situ</t>
    </r>
    <r>
      <rPr>
        <sz val="10"/>
        <color rgb="FF000000"/>
        <rFont val="Roboto"/>
      </rPr>
      <t xml:space="preserve">
Cutaneous T-cell lymphoma</t>
    </r>
  </si>
  <si>
    <t>Extramammary Paget disease</t>
  </si>
  <si>
    <t>The most likely diagnosis based on the findings is Extramammary Paget Disease (EMPD). The key factor in the diagnosis of EMPD is the presence of a predominantly intraepidermal proliferation of atypical basophilic cells, with pagetoid upward migration, as described in the biopsy results. The atypical cells are positive for cytokeratin 20, high-molecular-weight cytokeratin, synaptophysin, and BerEp4, and negative for CK5/6, S100 protein, melan-A, carcinoembryonic antigen, and CD45, further supporting the diagnosis of EMPD.
EMPD is a rare skin neoplasm that primarily affects the anogenital region but can also occur on the eyelids or other areas. It is commonly mistaken for a number of other skin conditions such as basal cell carcinoma or squamous cell carcinoma, but the presence of pagetoid upward migration and the positive immunohistochemical markers for cytokeratin 20 and synaptophysin help differentiate it from these conditions.
Melanoma in situ, squamous cell carcinoma in situ, and Merkel cell carcinoma in situ are all ruled out based on the results of the immunohistochemical studies, which showed that the atypical cells were negative for melan-A, a marker for melanoma, and S100 protein, a marker for Merkel cell carcinoma. Additionally, the atypical cells were negative for CK5/6, a marker for squamous cell carcinoma.
Cutaneous T-cell lymphoma is ruled out due to the positive results for cytokeratin 20 and synaptophysin and the negative results for CD45, which is a marker for T-cell lymphomas.
In conclusion, based on the results of the biopsy, immunohistochemical studies, and clinical presentation, the most likely diagnosis is Extramammary Paget Disease.</t>
  </si>
  <si>
    <r>
      <rPr>
        <sz val="10"/>
        <color rgb="FF000000"/>
        <rFont val="Roboto"/>
      </rPr>
      <t xml:space="preserve">Intravascular hemolysis
Septicemia
</t>
    </r>
    <r>
      <rPr>
        <b/>
        <sz val="10"/>
        <color rgb="FF000000"/>
        <rFont val="Roboto"/>
      </rPr>
      <t>Heat stroke or exercise-induced rhabdomyolysis</t>
    </r>
    <r>
      <rPr>
        <sz val="10"/>
        <color rgb="FF000000"/>
        <rFont val="Roboto"/>
      </rPr>
      <t xml:space="preserve">
Polymyositis
Genetic dystrophy-induced rhabdomyolysis</t>
    </r>
  </si>
  <si>
    <t>Based on the patient's presentation and test results, the most likely diagnosis is heat stroke or exercise-induced rhabdomyolysis.
Rationale: The patient's symptoms of muscle aches, weakness, and lightheadedness after intense physical activity in high temperature and humidity suggest heat exhaustion or heat stroke. The dark colored urine and elevated creatinine phosphokinase (CPK) level of 12,976 IU/L, which is over 60 times the upper limit of normal, are consistent with rhabdomyolysis, a condition in which muscle breakdown leads to the release of muscle fibers into the bloodstream, causing kidney damage.
Findings that support this diagnosis:
The patient's symptoms and presentation of muscle pain, weakness, and lightheadedness after intense physical activity in high heat and humidity are consistent with heat exhaustion or heat stroke.
The elevated creatinine phosphokinase (CPK) level and dark colored urine are indicative of rhabdomyolysis.
The patient's normal neurological and electromyography (EMG) results suggest that the rhabdomyolysis is likely due to heat stroke or exercise-induced rhabdomyolysis, rather than a genetic dystrophy.
Findings that rule out other diagnoses:
The patient's normal results on CT and MRI of the head, EEG, and normal creatinine level rule out intracranial causes of collapse.
The negative urine drug screen and normal electrolyte levels rule out drug toxicity or electrolyte imbalance as a cause of muscle pain and weakness.
The absence of recurrent syncope, negative Romberg sign, and normal gait suggest that this is not a peripheral neuropathy.
The absence of fever, leukocytosis, and elevated levels of inflammatory markers suggest that this is not septicemia.
The normal hematocrit and hemoglobin levels, as well as the absence of intravascular hemolysis, rule out this diagnosis.</t>
  </si>
  <si>
    <r>
      <rPr>
        <sz val="10"/>
        <color rgb="FF000000"/>
        <rFont val="Roboto"/>
      </rPr>
      <t xml:space="preserve">Acute fatty liver of pregnancy
Preeclampsia
Normal pregnancy
</t>
    </r>
    <r>
      <rPr>
        <b/>
        <sz val="10"/>
        <color rgb="FF000000"/>
        <rFont val="Roboto"/>
      </rPr>
      <t xml:space="preserve">Acute hepatitis C
</t>
    </r>
    <r>
      <rPr>
        <sz val="10"/>
        <color rgb="FF000000"/>
        <rFont val="Roboto"/>
      </rPr>
      <t>Chronic hepatitis C</t>
    </r>
  </si>
  <si>
    <t>Acute fatty liver of pregnancy</t>
  </si>
  <si>
    <t>The most likely diagnosis in this case is acute fatty liver of pregnancy (AFLP). AFLP is a rare and severe liver disorder that occurs in the third trimester of pregnancy. The symptoms of AFLP include fatigue, nausea, muscle aches, and decreased appetite, which are similar to the symptoms reported by the patient. Additionally, the patient's elevated liver enzyme levels (alanine aminotransferase level of 221 U/L and aspartate aminotransferase level of 60 U/L) are consistent with AFLP. The elevated liver enzyme levels suggest liver damage or dysfunction, which is a hallmark of AFLP.
Preeclampsia, although it can cause elevated blood pressure, headache, and proteinuria, is not associated with elevated liver enzyme levels. Normal pregnancy, although it can cause fatigue, nausea, and decreased appetite, is not associated with elevated liver enzyme levels. Acute hepatitis C and chronic hepatitis C are viral infections, which are not typically associated with elevated liver enzyme levels in the absence of other symptoms.
Ruling out other diagnoses is important in this case to determine the best course of action. A comprehensive evaluation, including a liver biopsy, may be necessary to confirm the diagnosis of AFLP and to ensure prompt and appropriate treatment.</t>
  </si>
  <si>
    <r>
      <rPr>
        <sz val="10"/>
        <color rgb="FF000000"/>
        <rFont val="Roboto"/>
      </rPr>
      <t xml:space="preserve">Central precocious puberty
Premature adrenarche
Congenital adrenal hyperplasia
</t>
    </r>
    <r>
      <rPr>
        <b/>
        <sz val="10"/>
        <color rgb="FF000000"/>
        <rFont val="Roboto"/>
      </rPr>
      <t xml:space="preserve">Androgen-secreting adrenocortical tumor
</t>
    </r>
    <r>
      <rPr>
        <sz val="10"/>
        <color rgb="FF000000"/>
        <rFont val="Roboto"/>
      </rPr>
      <t xml:space="preserve">McCune-Albright syndrome
</t>
    </r>
  </si>
  <si>
    <t>Congenital adrenal hyperplasia</t>
  </si>
  <si>
    <t>The most likely diagnosis for this 19-month-old female toddler is Congenital Adrenal Hyperplasia (CAH).
The differential diagnosis for this patient with central precocious puberty (CPP), premature adrenarche (PA), congenital adrenal hyperplasia (CAH), androgen-secreting adrenocortical tumor (ASAT), and McCune-Albright syndrome (MAS) was considered based on the history, physical examination and laboratory results.
The patient presents with pubic hair development, aggressive behavior, and muscularity, which are all features suggestive of increased androgen exposure. The advanced bone age, elevated hemoglobin, hematocrit, and serum levels of 17-hydroxyprogesterone, 17-hydroxypregnenolone, DHEAS, DHEA, androstenedione, and testosterone also support increased androgen exposure.
CAH is a genetic disorder that results in a deficiency of one of the enzymes needed to produce cortisol and aldosterone, leading to an accumulation of androgens in the adrenal glands and an increased exposure to androgens in utero. This can cause premature adrenarche, genital ambiguity in newborns, and an earlier onset of puberty. The elevated 17-hydroxyprogesterone level and the café-au-lait spot present in this patient also support a diagnosis of CAH.
In contrast, PA typically presents with isolated pubic hair development, without other signs of puberty such as breast development or menstrual cycles, and does not result in a significant increase in height or advanced bone age.
In ASAT, the androgen secretion is due to a tumor in the adrenal cortex and would present with more rapid onset and progression of puberty, as well as other findings such as abdominal mass or virilization (facial hair, deep voice). This patient does not have any of these findings.
In MAS, the characteristic findings are café-au-lait spots, fibrous dysplasia, and precocious puberty, but this patient only has café-au-lait spots, making it less likely to be the diagnosis.
In conclusion, the most likely diagnosis for this patient is CAH based on the presence of pubic hair, aggressive behavior, muscularity, advanced bone age, elevated hemoglobin and hematocrit, and elevated androgen levels.</t>
  </si>
  <si>
    <r>
      <rPr>
        <b/>
        <sz val="10"/>
        <color rgb="FF000000"/>
        <rFont val="Roboto"/>
      </rPr>
      <t xml:space="preserve">Acute generalized exanthematous pustulosis
</t>
    </r>
    <r>
      <rPr>
        <sz val="10"/>
        <color rgb="FF000000"/>
        <rFont val="Roboto"/>
      </rPr>
      <t xml:space="preserve">Leukocytoclastic vasculitis
Pustular psoriasis
Subcorneal pustular dermatosis
Toxic epidermal necrolysis
</t>
    </r>
  </si>
  <si>
    <t>Acute generalized exanthematous pustulosis</t>
  </si>
  <si>
    <t>The most likely diagnosis is Acute Generalized Exanthematous Pustulosis (AGEP).
The patient presents with an acute-onset, mildly pruritic rash that has spread diffusely over her face, trunk, axillae, groin, arms, and legs, characterized by hundreds of nonfollicular pustules on erythematous bases. The patient has no known history of drug allergies, but was diagnosed with pneumonia 4 days ago and has been taking azithromycin. The white blood cell count is elevated, with a moderately elevated total neutrophil count and a slightly elevated eosinophil count. The C-reactive protein (CRP) and erythrocyte sedimentation rate (ESR) are also elevated. A punch biopsy of a pustule shows spongiform subcorneal pustules, edema of the papillary dermis, marked perivascular infiltration of neutrophils, and exocytosis of a few eosinophils.
All of these findings are consistent with AGEP, a rare adverse reaction to medications that typically presents as a sudden eruption of nonfollicular pustules on an erythematous base within 48 hours to 7 days of exposure to the offending drug. The elevated white blood cell count, neutrophil count, and eosinophil count, as well as the elevated CRP and ESR, suggest an inflammatory response.
Leukocytoclastic vasculitis typically presents with purpuric lesions and does not typically include pustules. Pustular psoriasis is characterized by well-demarcated, erythematous plaques with sterile pustules, and typically involves the palms and soles, which are not observed in this case. Subcorneal pustular dermatosis is a rare, chronic disorder characterized by recurrent crops of subcorneal pustules, and typically does not include an acute presentation or elevated white blood cell count. Toxic epidermal necrolysis presents with widespread erythema and bullae, and typically involves mucous membranes, which are not observed in this case.
Based on the patient's presentation and laboratory findings, AGEP is the most likely diagnosis.</t>
  </si>
  <si>
    <r>
      <rPr>
        <sz val="10"/>
        <color rgb="FF000000"/>
        <rFont val="Roboto"/>
      </rPr>
      <t xml:space="preserve">COPD exacerbation
New-onset congestive heart failure
</t>
    </r>
    <r>
      <rPr>
        <b/>
        <sz val="10"/>
        <color rgb="FF000000"/>
        <rFont val="Roboto"/>
      </rPr>
      <t xml:space="preserve">Foreign body aspiration
</t>
    </r>
    <r>
      <rPr>
        <sz val="10"/>
        <color rgb="FF000000"/>
        <rFont val="Roboto"/>
      </rPr>
      <t>Pulmonary embolism</t>
    </r>
  </si>
  <si>
    <t>Based on the patient's presentation and workup, the most likely diagnosis is New-onset congestive heart failure. The differential diagnosis could be COPD exacerbation, foreign body aspiration, and pulmonary embolism, but the findings support congestive heart failure as the most likely diagnosis.
The patient has a history of hypertension and myocardial infarction with two stents, which increase the likelihood of congestive heart failure. The presence of bilateral and symmetrical pitting edema of the lower extremities to the mid-shin and a crescendo/decrescendo systolic murmur are also consistent with congestive heart failure. The patient's elevated heart rate and tachycardia that resolve when he is resting, but increase with activity, are also suggestive of congestive heart failure.
The increased CO2 level and lactate level of 2.6 mg/dL support the diagnosis of congestive heart failure. The chest radiography showing nonspecific atelectasis changes is not specific to any one diagnosis, but it is not a significant finding to support the diagnosis of foreign body aspiration or pulmonary embolism. The lack of improvement in symptoms with three doses of ipratropium and dexamethasone also argues against a COPD exacerbation.
Overall, the patient's history, physical examination findings, laboratory results, and response to treatment support the diagnosis of new-onset congestive heart failure as the most likely diagnosis.</t>
  </si>
  <si>
    <r>
      <rPr>
        <sz val="10"/>
        <color rgb="FF000000"/>
        <rFont val="Roboto"/>
      </rPr>
      <t xml:space="preserve">Polyarteritis nodosa
Immunoglobulin (Ig) G4–related disease
</t>
    </r>
    <r>
      <rPr>
        <b/>
        <sz val="10"/>
        <color rgb="FF000000"/>
        <rFont val="Roboto"/>
      </rPr>
      <t>Rheumatoid vasculitis</t>
    </r>
    <r>
      <rPr>
        <sz val="10"/>
        <color rgb="FF000000"/>
        <rFont val="Roboto"/>
      </rPr>
      <t xml:space="preserve">
Endocarditis
Antiphospholipid syndrome
Thromboangiitis obliterans</t>
    </r>
  </si>
  <si>
    <t>Polyarteritis nodosa</t>
  </si>
  <si>
    <t>The most likely diagnosis based on these findings is Polyarteritis nodosa.
The patient's symptoms of necrotic ulceration of bilateral upper and lower extremities, along with right wrist drop and left-sided foot drop, suggest a vasculitis affecting small- to medium-sized arteries. The increase in the rheumatoid factor level and absence of joint swelling or synovitis are also consistent with Polyarteritis nodosa (PAN).
PAN is a systemic vasculitis that affects small- to medium-sized arteries and can present with a range of symptoms, including muscle and nerve ischemia, skin changes, abdominal pain, and peripheral neuropathy. The lack of joint swelling, morning stiffness, and facial rash, as well as the absence of deep venous thrombosis (DVT), pulmonary embolism (PE), and other findings that are more commonly seen in rheumatoid arthritis (RA), further supports the diagnosis of PAN over RA-related conditions.
The patient's history of treatment-resistant RA and the fact that her RA symptoms worsened after tocilizumab was discontinued suggests that her underlying disease process may have changed. Additionally, the absence of radiographic findings to explain the patient's peripheral neuropathy on imaging studies also supports a diagnosis of PAN, which can present with isolated peripheral neuropathy.
The diagnosis of Immunoglobulin (Ig) G4–related disease, Endocarditis, Antiphospholipid syndrome, and Thromboangiitis obliterans would be ruled out based on the absence of relevant findings such as heart murmur, joint swelling, Raynaud phenomenon, or history of deep venous thrombosis.
In conclusion, the patient's symptoms of necrotic ulceration, peripheral neuropathy, increased rheumatoid factor level, and absence of relevant findings for other conditions support a diagnosis of Polyarteritis nodosa.</t>
  </si>
  <si>
    <r>
      <rPr>
        <sz val="10"/>
        <color rgb="FF000000"/>
        <rFont val="Roboto"/>
      </rPr>
      <t xml:space="preserve">Healing injury from mechanical fall
</t>
    </r>
    <r>
      <rPr>
        <b/>
        <sz val="10"/>
        <color rgb="FF000000"/>
        <rFont val="Roboto"/>
      </rPr>
      <t xml:space="preserve">Pyoderma gangrenosum
</t>
    </r>
    <r>
      <rPr>
        <sz val="10"/>
        <color rgb="FF000000"/>
        <rFont val="Roboto"/>
      </rPr>
      <t xml:space="preserve">Erythema nodosum
Spider bite
</t>
    </r>
  </si>
  <si>
    <t>Pyoderma gangrenosum</t>
  </si>
  <si>
    <t xml:space="preserve">Based on the presented information, the most likely diagnosis is Pyoderma gangrenosum.
The presence of lesions on both legs, with one of the lesions appearing to be in the healing stage, is consistent with Pyoderma gangrenosum. This condition is characterized by painful, pustular, and ulcerative skin lesions that can occur in patients with underlying inflammatory conditions such as Crohn's disease. The patient in this case has a history of Crohn's disease, which makes Pyoderma gangrenosum a plausible diagnosis.
The slightly elevated ESR and CRP levels, which are markers of inflammation, further support the possibility of Pyoderma gangrenosum. The negative results of the skin cultures also rule out a bacterial infection as the cause of the skin lesions.
Healing injury from a mechanical fall could also explain the right lower extremity lesion, but the presence of a larger lesion on the left leg that appears to be in the acute stage of development makes this diagnosis less likely. Erythema nodosum is a diagnosis considered in patients with systemic symptoms such as fever and arthritis, which the patient in this case does not have. Spider bite can also cause skin lesions, but the presence of ulcerative lesions and a history of underlying inflammatory disease suggest that it is not the cause in this case.
</t>
  </si>
  <si>
    <r>
      <rPr>
        <sz val="10"/>
        <color rgb="FF000000"/>
        <rFont val="Roboto"/>
      </rPr>
      <t xml:space="preserve">AAT deficiency (AATD)
Chronic obstructive pulmonary disease (COPD)
Churg-Strauss syndrome (CSS)
Asthma
</t>
    </r>
    <r>
      <rPr>
        <b/>
        <sz val="10"/>
        <color rgb="FF000000"/>
        <rFont val="Roboto"/>
      </rPr>
      <t>Allergic bronchopulmonary aspergillosis</t>
    </r>
    <r>
      <rPr>
        <sz val="10"/>
        <color rgb="FF000000"/>
        <rFont val="Roboto"/>
      </rPr>
      <t xml:space="preserve">
Congestive heart failure (CHF)</t>
    </r>
  </si>
  <si>
    <t>allergic bronchopulmonary aspergillosis (ABPA)</t>
  </si>
  <si>
    <t xml:space="preserve">Yes </t>
  </si>
  <si>
    <t>Based on these findings, the most likely diagnosis is allergic bronchopulmonary aspergillosis (ABPA). The patient presents with a history of dyspnea, productive cough with yellowish sputum, and shortness of breath that is exacerbated by changes in weather. She also reports a history of multiple respiratory infections and eosinophilia, with blood eosinophils &gt;10% in the laboratory workup. The chest examination shows bilateral decreased air entry with scattered wheezes, and the pulmonary function test reveals evidence of air trapping and a reduced diffusing capacity for carbon monoxide. The chest x-ray and CT scan show hyperlucent areas on bilateral lower lobes. The elevated IgE level of 800 kU/L is also consistent with a diagnosis of ABPA.
ABPA is a type of asthma that is caused by an allergic reaction to Aspergillus fungi. The presence of eosinophilia, elevated IgE levels, and hyperlucent areas on the chest x-ray and CT scan are all typical findings in ABPA. The air trapping and reduced diffusing capacity seen in pulmonary function testing also support this diagnosis.
This differential makes sense because the patient's presentation is consistent with the symptoms and findings seen in ABPA. The other options, such as AAT deficiency (AATD), chronic obstructive pulmonary disease (COPD), Churg-Strauss syndrome (CSS), asthma, and congestive heart failure (CHF), would not explain the presence of eosinophilia, elevated IgE levels, and the hyperlucent areas on the chest x-ray and CT scan. The negative cytoplasmic antineutrophil cytoplasmic antibody titer also rules out Churg-Strauss syndrome. The normal ejection fraction and pulmonary artery systolic pressure seen in the echocardiography also rule out congestive heart failure as the primary diagnosis.</t>
  </si>
  <si>
    <t xml:space="preserve">Neuro Case Challenge: A 35-Year-Old With Angry, Aggressive Outbursts, Memory Loss, and Insomnia  </t>
  </si>
  <si>
    <r>
      <rPr>
        <sz val="10"/>
        <color rgb="FF000000"/>
        <rFont val="Roboto"/>
      </rPr>
      <t xml:space="preserve">Neuroacanthocytosis
Tardive dyskinesia
</t>
    </r>
    <r>
      <rPr>
        <b/>
        <sz val="10"/>
        <color rgb="FF000000"/>
        <rFont val="Roboto"/>
      </rPr>
      <t xml:space="preserve">Huntington disease
</t>
    </r>
    <r>
      <rPr>
        <sz val="10"/>
        <color rgb="FF000000"/>
        <rFont val="Roboto"/>
      </rPr>
      <t>Sydenham chorea</t>
    </r>
  </si>
  <si>
    <t>Huntington disease</t>
  </si>
  <si>
    <t>Based on the above information, the most likely diagnosis is Huntingdon disease. The presentation of choreoathetoid movements affecting both upper and lower extremities, face, and gait, along with behavioral changes such as aggressive behavior, depressive mood, and memory impairment, is consistent with the motor and cognitive symptoms of Huntington disease. The positive family history, with similar forms of abnormal movements and death in multiple family members at relatively young ages, further supports the diagnosis.
The presence of bilateral caudate atrophy on MRI, as well as normal serum and urine copper levels, is consistent with the neurodegenerative changes seen in Huntington disease. The normal results of the ECG, TSH, transthoracic echo, chest radiography, and CSF examination suggest that other possible causes of the patient's symptoms, such as a structural lesion or metabolic disturbance, have been ruled out.
The lack of a history of drug intake, including phenytoin, phenothiazines, haloperidol, L-dopa, lithium, isoniazid, amphetamines, tricyclic antidepressants, or other relevant drugs, rules out a diagnosis of tardive dyskinesia, which is associated with long-term use of antipsychotic medications.
The absence of skin rash, Kayser-Fleischer ring, and normal fundi examination findings rules out neuroacanthocytosis, which is a group of neurodegenerative disorders characterized by abnormal movements, behavioral changes, and other symptoms and is associated with characteristic skin and eye findings.
The lack of weakness or decreased muscle tone and normal deep tendon reflexes in the patient rules out a diagnosis of Sydenham chorea, which is characterized by rapid, nonrhythmic, jerky movements and is typically associated with weakness or decreased muscle tone.</t>
  </si>
  <si>
    <r>
      <rPr>
        <sz val="10"/>
        <color rgb="FF000000"/>
        <rFont val="Roboto"/>
      </rPr>
      <t xml:space="preserve">Autoimmune pancreatitis
Drug-induced pancreatitis
</t>
    </r>
    <r>
      <rPr>
        <b/>
        <sz val="10"/>
        <color rgb="FF000000"/>
        <rFont val="Roboto"/>
      </rPr>
      <t xml:space="preserve">Triglyceride-induced pancreatitis
</t>
    </r>
    <r>
      <rPr>
        <sz val="10"/>
        <color rgb="FF000000"/>
        <rFont val="Roboto"/>
      </rPr>
      <t>Alcoholic pancreatitis
Hereditary pancreatitis</t>
    </r>
  </si>
  <si>
    <t>The most likely diagnosis is autoimmune pancreatitis based on the patient's presentation, medical history, and laboratory investigations.
Rationale:
The patient has a positive antinuclear antibody (ANA) test result and a high level of IgG4 (187 mg/dL), which are markers for autoimmune disorders.
The patient has a history of poorly controlled type 2 diabetes, hypertension, and hypothyroidism, which are associated with autoimmune diseases.
The CT scan shows moderate peripancreatic edema and a septated cyst in the tail of the pancreas, which are characteristic findings in autoimmune pancreatitis.
The elevated liver function test results (alanine aminotransferase and aspartate aminotransferase levels) and the absence of pancreatic ductal dilatation suggest an autoimmune etiology, rather than an alcoholic or drug-induced pancreatitis.
The patient's low blood pressure and tachycardia may also be indicative of systemic autoimmune disease.
The other options (Drug-induced pancreatitis, Triglyceride-induced pancreatitis, Alcoholic pancreatitis, Hereditary pancreatitis) can be ruled out based on the patient's medical history, laboratory investigations, and CT scan results. The patient denies recent changes in medication and illicit drug use, and he only drinks 1-2 glasses of wine per week, which is not a significant enough amount to cause alcoholic pancreatitis. The patient has no family history of hereditary pancreatitis, and the triglyceride level is elevated but not extremely high.</t>
  </si>
  <si>
    <r>
      <rPr>
        <sz val="10"/>
        <color rgb="FF000000"/>
        <rFont val="Roboto"/>
      </rPr>
      <t xml:space="preserve">Rheumatoid lung nodules
Methotrexate-induced pneumonitis
Invasive pulmonary aspergillosis
</t>
    </r>
    <r>
      <rPr>
        <b/>
        <sz val="10"/>
        <color rgb="FF000000"/>
        <rFont val="Roboto"/>
      </rPr>
      <t>Nontuberculous mycobacterial infection</t>
    </r>
    <r>
      <rPr>
        <sz val="10"/>
        <color rgb="FF000000"/>
        <rFont val="Roboto"/>
      </rPr>
      <t xml:space="preserve">
Pneumocystis jirovecii pneumonia
Legionnaires disease</t>
    </r>
  </si>
  <si>
    <t>Invasive pulmonary aspergillosis</t>
  </si>
  <si>
    <t>The most likely diagnosis based on the findings is invasive pulmonary aspergillosis.
The presence of multiple predominantly solid airway-centered nodules in various lobes of the lung, along with bronchial wall thickening and bronchiectasis, as seen on CT of the chest, suggests the possibility of an invasive fungal infection. This is further supported by negative results for bacterial culture growth, 1,3-beta-d-glucan, and galactomannan from the bronchoalveolar lavage.
Invasive pulmonary aspergillosis is a serious fungal infection that affects the lungs and can occur in immunocompromised individuals, including those with rheumatoid arthritis who are treated with immunosuppressive drugs such as methotrexate. The patient's history of stopping methotrexate treatment due to elevated liver enzyme levels, as well as her well-controlled rheumatoid arthritis, suggest that her immune system may be compromised, making her more susceptible to invasive fungal infections.
The other options, such as rheumatoid lung nodules, methotrexate-induced pneumonitis, nontuberculous mycobacterial infection, Pneumocystis jirovecii pneumonia, and Legionnaires disease, may also present with lung nodules, but the findings in this case, such as the predominant solid airway-centered nodules and negative results from the bronchoalveolar lavage, suggest invasive pulmonary aspergillosis as the most likely diagnosis.</t>
  </si>
  <si>
    <r>
      <rPr>
        <b/>
        <sz val="10"/>
        <color rgb="FF000000"/>
        <rFont val="Roboto"/>
      </rPr>
      <t>Tricyclic antidepressant overdose</t>
    </r>
    <r>
      <rPr>
        <sz val="10"/>
        <color rgb="FF000000"/>
        <rFont val="Roboto"/>
      </rPr>
      <t xml:space="preserve">
Beta-blocker overdose
Calcium-channel blocker overdose
Digoxin overdose</t>
    </r>
  </si>
  <si>
    <t>Based on the patient's symptoms and results of the laboratory tests, the most likely cause of death was a tricyclic antidepressant (TCA) overdose.
The physical exam findings of fixed and dilated pupils, QRS duration of 88ms, and negative findings on the chest radiography are consistent with TCA toxicity. The EKG further supports TCA toxicity with a wide QRS duration and no R wave in aVR. The elevated serum creatinine, elevated lactic acid, and positive urine drug screen for marijuana suggest multi-organ toxicity, which is commonly seen in TCA overdose.
The negative results of the salicylates/acetaminophen test also suggest that this was not an overdose of beta-blockers or calcium-channel blockers. The normal levels of digoxin in the patient's blood rule out digoxin overdose as the cause of death.
In conclusion, the patient's symptoms and laboratory results, along with a lack of evidence of other causes, suggest that TCA overdose was the most likely cause of death in this case.</t>
  </si>
  <si>
    <r>
      <rPr>
        <sz val="10"/>
        <color rgb="FF000000"/>
        <rFont val="Roboto"/>
      </rPr>
      <t xml:space="preserve">Nasal polyposis related to allergic fungal rhinosinusitis
Sinonasal inverted papilloma
Nasal polyposis related to granulomatosis with polyangiitis
Sinonasal undifferentiated carcinoma
</t>
    </r>
    <r>
      <rPr>
        <b/>
        <sz val="10"/>
        <color rgb="FF000000"/>
        <rFont val="Roboto"/>
      </rPr>
      <t>Nasal polyposis related to aspirin-exacerbated respiratory disease</t>
    </r>
  </si>
  <si>
    <t xml:space="preserve">
Nasal polyposis related to aspirin-exacerbated respiratory disease</t>
  </si>
  <si>
    <t>The most likely diagnosis is Nasal polyposis related to aspirin-exacerbated respiratory disease (AERD).
The rationale for this differential is based on several key findings:
The patient's history of adult-onset asthma and worsening of symptoms after drinking certain beers and using ibuprofen or aspirin, which are known triggers for AERD.
The patient's history of nasal obstruction, rhinorrhea, and postnasal drainage, which are common symptoms of nasal polyposis.
The CT scan showing severe pansinusitis with opacification of the paranasal sinus cavities and nasal cavities.
The patient's response to methylprednisolone, which had a significant but transient effect on his symptoms.
Other diagnoses such as Sinonasal inverted papilloma and Sinonasal undifferentiated carcinoma can be ruled out due to the lack of signs of malignancy, such as bony destruction, on the CT scan. Nasal polyposis related to granulomatosis with polyangiitis can be ruled out due to the lack of significant systemic symptoms and negative results from allergy skin testing. Nasal polyposis related to allergic fungal rhinosinusitis can also be ruled out due to the lack of allergy symptoms and negative results from allergy skin testing.
In conclusion, the patient's symptoms, medical history, and examination results are most consistent with a diagnosis of Nasal polyposis related to aspirin-exacerbated respiratory disease (AERD).</t>
  </si>
  <si>
    <t>true, positive</t>
  </si>
  <si>
    <r>
      <rPr>
        <sz val="10"/>
        <color rgb="FF000000"/>
        <rFont val="Roboto"/>
      </rPr>
      <t xml:space="preserve">Congenital adrenal hyperplasia
Ovarian insufficiency
</t>
    </r>
    <r>
      <rPr>
        <b/>
        <sz val="10"/>
        <color rgb="FF000000"/>
        <rFont val="Roboto"/>
      </rPr>
      <t xml:space="preserve">Cushing syndrome
</t>
    </r>
    <r>
      <rPr>
        <sz val="10"/>
        <color rgb="FF000000"/>
        <rFont val="Roboto"/>
      </rPr>
      <t xml:space="preserve">Adrenal insufficiency
</t>
    </r>
  </si>
  <si>
    <t xml:space="preserve">Adrenal insufficiency
</t>
  </si>
  <si>
    <t>The most likely diagnosis is Adrenal Insufficiency.
The low levels of cortisol and aldosterone, two hormones produced by the adrenal gland, as well as the low ACTH level, which stimulates cortisol production, all point towards Adrenal Insufficiency. The PM cortisol levels of 12 µg/dL and AM cortisol levels of 12.1 µg/dL, both being within the normal reference range, suggest that cortisol levels are not fluctuating as they normally would in a healthy individual, further supporting the diagnosis of Adrenal Insufficiency.
Low levels of DHEA-S, a hormone produced by the adrenal gland, also support the diagnosis of Adrenal Insufficiency.
The patient's symptoms of easy bruising, worsening emotional lability, and weight gain further support the diagnosis of Adrenal Insufficiency, as these are symptoms that can occur with adrenal insufficiency.
This diagnosis is ruled out by the normal levels of metanephrines, plasma, which are produced by the adrenal gland in response to stress, and are elevated in Cushing syndrome.
Ovarian Insufficiency is ruled out by the normal levels of estradiol and the absence of any history of menstrual irregularity, which would suggest anovulation. The low anti-mullerian hormone (AMH) level and the elevated FSH level suggest that the patient has decreased ovarian reserve, but it is not the primary cause of infertility in this case.
Congenital adrenal hyperplasia is ruled out by the normal levels of 17-hydroxyprogesterone, which would be elevated in cases of congenital adrenal hyperplasia.
Cushing syndrome is ruled out by the normal levels of cortisol and the absence of clinical features such as central obesity, hirsutism, and striae, which are common in Cushing syndrome.</t>
  </si>
  <si>
    <r>
      <rPr>
        <sz val="10"/>
        <color rgb="FF000000"/>
        <rFont val="Roboto"/>
      </rPr>
      <t xml:space="preserve">Intestinal tuberculosis
Infective endocarditis
Hydatid disease
Toxic megacolon or ulcerative colitis activity
Colon cancer
</t>
    </r>
    <r>
      <rPr>
        <b/>
        <sz val="10"/>
        <color rgb="FF000000"/>
        <rFont val="Roboto"/>
      </rPr>
      <t>Lymphoma</t>
    </r>
  </si>
  <si>
    <t>Toxic megacolon or ulcerative colitis activity</t>
  </si>
  <si>
    <t>The most likely diagnosis based on these findings is toxic megacolon or a flare of the patient's previously diagnosed ulcerative colitis. The patient's history of ulcerative colitis, a disease that primarily affects the colon, combined with his symptoms of fever, rectal bleeding, weight loss, tenderness and rigidity in the abdominal examination, increased erythrocyte sedimentation rate, and elevated lactate dehydrogenase level suggest an inflammatory process. The CT scan of the pelvis and abdomen with contrast also reveals dilation of the colon, which is consistent with toxic megacolon.
Here is the differential and the rationale for each option:
Intestinal tuberculosis: This diagnosis is less likely because the patient has no history of tuberculosis exposure, and the CT scan does not show any evidence of granulomas or lymph node enlargement, which are common findings in intestinal tuberculosis.
Infective endocarditis: This diagnosis is less likely because the patient has no history of cardiac disease or valve abnormalities and no vegetation or abscess is seen on the CT scan.
Hydatid disease: This diagnosis is less likely because hydatid disease is more common in areas where the disease is endemic, such as rural areas of Mediterranean countries, and the patient does not have a history of exposure to infected dogs or sheep. The CT scan does not show any evidence of cystic lesions in the abdomen or pelvis.
Toxic megacolon or ulcerative colitis activity: This is the most likely diagnosis, as discussed above.
Colon cancer: This diagnosis is less likely because the patient has a history of ulcerative colitis, and the CT scan does not show any evidence of a mass or nodular lesion in the colon. In addition, the elevated erythrocyte sedimentation rate and lactate dehydrogenase level suggest an inflammatory process, not a neoplastic one.
Lymphoma: This diagnosis is less likely because the patient has a history of ulcerative colitis, and the CT scan does not show any evidence of lymphadenopathy or nodular lesions in the abdomen or pelvis. The elevated erythrocyte sedimentation rate and lactate dehydrogenase level suggest an inflammatory process, not a neoplastic one.</t>
  </si>
  <si>
    <r>
      <rPr>
        <sz val="10"/>
        <color rgb="FF000000"/>
        <rFont val="Roboto"/>
      </rPr>
      <t xml:space="preserve">Subacute cutaneous lupus erythematosus
Morbilliform drug eruption
Phototoxic drug eruption
Dermatomyositis
</t>
    </r>
    <r>
      <rPr>
        <b/>
        <sz val="10"/>
        <color rgb="FF000000"/>
        <rFont val="Roboto"/>
      </rPr>
      <t>Extensive tinea corporis</t>
    </r>
  </si>
  <si>
    <t>Phototoxic drug eruption</t>
  </si>
  <si>
    <t>The most likely diagnosis is Phototoxic drug eruption.
The differential diagnosis for the patient's rash can be narrowed down to phototoxic drug eruption, morbilliform drug eruption, and subacute cutaneous lupus erythematosus.
The findings that would rule out the other options include the lack of photosensitivity reported by the patient, and the absence of findings such as joint pains, fatigue, muscle weakness, and palpable lymphadenopathy, which would suggest subacute cutaneous lupus erythematosus. Additionally, the lack of constitutional symptoms such as fevers and chills, as well as the absence of antinuclear antibodies (ANA) and anti-Ro/SSA and anti-La/SSB antibodies, suggests that the rash is not due to lupus.
On the other hand, the patient's recent change in antihypertensive regimen from amlodipine to hydrochlorothiazide and later to lisinopril, the rapid onset of the rash within a week of starting the new medication, and the lack of improvement with the topical corticosteroid suggest that the rash is likely due to a drug eruption. Phototoxic drug eruptions are typically characterized by symmetrical, well-defined, erythematous patches or plaques that can be accompanied by itching and are more likely to occur with medications that have photosensitizing properties, such as certain antibiotics and diuretics.
In conclusion, based on the clinical presentation, history, and examination findings, phototoxic drug eruption is the most likely diagnosis. Further evaluation, such as patch testing, can be done to confirm the diagnosis.</t>
  </si>
  <si>
    <r>
      <rPr>
        <sz val="10"/>
        <color rgb="FF000000"/>
        <rFont val="Roboto"/>
      </rPr>
      <t xml:space="preserve">Incidental esophageal food impaction
</t>
    </r>
    <r>
      <rPr>
        <b/>
        <sz val="10"/>
        <color rgb="FF000000"/>
        <rFont val="Roboto"/>
      </rPr>
      <t>Eosinophilic esophagitis</t>
    </r>
    <r>
      <rPr>
        <sz val="10"/>
        <color rgb="FF000000"/>
        <rFont val="Roboto"/>
      </rPr>
      <t xml:space="preserve">
Gastroesophageal reflux disease
Chemical esophagitis
</t>
    </r>
  </si>
  <si>
    <t>The most likely diagnosis is Incidental Esophageal Food Impaction based on the following findings and rationale:
The patient presents with symptoms of food stuck in the esophagus and difficulty swallowing, which are consistent with esophageal food impaction.
The patient has a history of difficulty swallowing solid food since childhood, but no significant episodes have required medical evaluation until recently.
The recent worsening of dysphagia, which seems to be rectified by chewing carefully and drinking water, further supports the diagnosis of esophageal food impaction.
The patient's normal physical examination and laboratory findings, including CBC count and basic metabolic panel, rule out other potential causes such as Eosinophilic Esophagitis, Gastroesophageal Reflux Disease, and Chemical Esophagitis.
Esophageal food impaction is a common cause of esophageal obstruction and can occur due to various factors, including age-related changes in the esophagus, neurological disorders, and systemic diseases. The presence of normal physical examination and laboratory findings supports the diagnosis of incidental esophageal food impaction rather than any underlying systemic or neurological cause. The endoscopy and food bolus removal performed by the gastroenterologist will provide further confirmation of the diagnosis.</t>
  </si>
  <si>
    <r>
      <rPr>
        <sz val="10"/>
        <color rgb="FF000000"/>
        <rFont val="Roboto"/>
      </rPr>
      <t xml:space="preserve">Primary amenorrhea
Hypothalamic amenorrhea
Primary ovarian insufficiency from Turner syndrome
Outflow tract obstruction
</t>
    </r>
    <r>
      <rPr>
        <b/>
        <sz val="10"/>
        <color rgb="FF000000"/>
        <rFont val="Roboto"/>
      </rPr>
      <t>Autoimmune oophoritis</t>
    </r>
  </si>
  <si>
    <t>Hypothalamic amenorrhea</t>
  </si>
  <si>
    <t>Based on the information provided, the most likely diagnosis is hypothalamic amenorrhea. This diagnosis is supported by the patient's history of stopping oral contraceptives and the onset of hot flashes, fatigue, and a swelling sensation in her neck. The elevated TSH level and anti-TPO antibody level suggest the presence of autoimmune thyroiditis, which can cause hypothalamic-pituitary axis dysfunction and result in amenorrhea. The elevated FSH level also supports the diagnosis of hypothalamic amenorrhea, as FSH levels are elevated in the absence of ovulation. The normal levels of prolactin, testosterone, and free thyroxin support the absence of other causes of amenorrhea, such as pituitary tumors or primary ovarian insufficiency.
Primary amenorrhea, the absence of menstrual periods at the expected time of onset of puberty, is ruled out by the patient's normal menarche and onset of menses at age 12 years.
Primary ovarian insufficiency from Turner syndrome, a chromosomal disorder resulting in premature ovarian failure, is ruled out by the normal body weight, height, and proportions, and the absence of dysmorphic features.
Outflow tract obstruction, a condition causing menstrual irregularities, is ruled out by the normal uterus on palpation.
Autoimmune oophoritis, an autoimmune disorder causing inflammation and destruction of the ovaries, is ruled out by the normal testosterone level and absence of other findings consistent with autoimmune disease, such as elevated erythrocyte sedimentation rate or elevated levels of other autoimmune markers.</t>
  </si>
  <si>
    <r>
      <rPr>
        <sz val="10"/>
        <color rgb="FF000000"/>
        <rFont val="Roboto"/>
      </rPr>
      <t xml:space="preserve">Lithium-induced hyperthyroidism
Lithium-induced hypothyroidism
</t>
    </r>
    <r>
      <rPr>
        <b/>
        <sz val="10"/>
        <color rgb="FF000000"/>
        <rFont val="Roboto"/>
      </rPr>
      <t>Lithium-induced nephrogenic diabetes insipidus</t>
    </r>
    <r>
      <rPr>
        <sz val="10"/>
        <color rgb="FF000000"/>
        <rFont val="Roboto"/>
      </rPr>
      <t xml:space="preserve">
Lithium-induced hyperparathyroidism</t>
    </r>
  </si>
  <si>
    <t>Lithium-induced hypothyroidism</t>
  </si>
  <si>
    <t>The most likely diagnosis based on the findings is Lithium-induced hypothyroidism. The rationale for this differential is as follows:
The patient's high Lithium level (2.4 mEq/L, reference range 0.6-1.2 mEq/L) suggests chronic toxicity, which is a known risk factor for hypothyroidism.
The low TSH level (1.41 mIU/L, reference range 0.4-4.0 mIU/L) is consistent with hypothyroidism, which is characterized by low TSH levels as the pituitary gland attempts to stimulate the thyroid gland to produce more hormone in response to low levels of circulating thyroid hormone.
The presence of symptoms such as truncal ataxia, inability to walk, hyperreflexia, and bilateral ankle clonus, as well as the physical examination findings of tachycardia and dry mucous membranes, are consistent with hypothyroidism, which can cause central nervous system symptoms, cardiac symptoms, and skin symptoms.
The findings that would rule out the other options include:
Lithium-induced hyperthyroidism is unlikely given the low TSH level and symptoms consistent with hypothyroidism.
Lithium-induced nephrogenic diabetes insipidus is unlikely given the low urine specific gravity and normal creatinine levels, which are inconsistent with this condition.
Lithium-induced hyperparathyroidism is unlikely given the normal calcium levels.
In conclusion, the patient's high Lithium level, low TSH level, and symptoms consistent with hypothyroidism support the diagnosis of Lithium-induced hypothyroidism as the most likely diagnosis.</t>
  </si>
  <si>
    <r>
      <rPr>
        <b/>
        <sz val="10"/>
        <color rgb="FF000000"/>
        <rFont val="Roboto"/>
      </rPr>
      <t>Right internal carotid artery dissection</t>
    </r>
    <r>
      <rPr>
        <sz val="10"/>
        <color rgb="FF000000"/>
        <rFont val="Roboto"/>
      </rPr>
      <t xml:space="preserve">
Complete occlusion of right internal carotid artery due to atherosclerosis
Embolic stroke
Traumatic injury to the sympathetic chain in the right neck</t>
    </r>
  </si>
  <si>
    <t xml:space="preserve">
Embolic stroke</t>
  </si>
  <si>
    <t>The most likely diagnosis is embolic stroke.
The patient presents with sudden onset of left-sided weakness, slurred speech, and facial droop, which are all common symptoms of a stroke. Additionally, the non-contrast CT scan shows a hyperdense right middle cerebral artery, which can indicate an embolic occlusion.
Conventional angiography shows stenosis (narrowing) of the right internal carotid artery, which can lead to an embolic event. The abrupt narrowing seen on angiography (rattail-filling defect) is a characteristic finding of an embolus. The presence of hypertension and a history of smoking are also known risk factors for embolic stroke.
The other options such as right internal carotid artery dissection, complete occlusion of the right internal carotid artery due to atherosclerosis, and traumatic injury to the sympathetic chain in the right neck, can all cause similar symptoms, but they are less likely based on the clinical presentation, CT scan findings, and angiography results. For example, in dissection, there would typically be a more irregular or beaded appearance of the vessel on angiography, which is not seen in this case. In the case of sympathetic chain injury, the pupil would not react to light, but it does react in this case.</t>
  </si>
  <si>
    <t>incomplete, relevant</t>
  </si>
  <si>
    <r>
      <rPr>
        <sz val="10"/>
        <color rgb="FF000000"/>
        <rFont val="Roboto"/>
      </rPr>
      <t xml:space="preserve">Subarachnoid hemorrhage
Cerebellar infarction
</t>
    </r>
    <r>
      <rPr>
        <b/>
        <sz val="10"/>
        <color rgb="FF000000"/>
        <rFont val="Roboto"/>
      </rPr>
      <t>Pituitary tumor apoplexy</t>
    </r>
    <r>
      <rPr>
        <sz val="10"/>
        <color rgb="FF000000"/>
        <rFont val="Roboto"/>
      </rPr>
      <t xml:space="preserve">
Cavernous sinus thrombosis</t>
    </r>
  </si>
  <si>
    <t>The most likely diagnosis based on the patient's symptoms and findings is a subarachnoid hemorrhage.
The sudden and severe headache, nausea and vomiting, fever, and new-onset diplopia and photophobia suggest an intracranial event. The physical examination findings of ptosis of the right eye, deviation of the eye inferolaterally, and dilated and unreactive pupil on the right side, along with bitemporal hemianopsia, are consistent with an oculomotor nerve palsy and suggest an intracranial event in the region of the cavernous sinus.
The laboratory findings of an elevated red blood cell count and protein concentration in the cerebrospinal fluid also support the diagnosis of a subarachnoid hemorrhage. The negative CSF Gram stain rules out meningitis.
The CT scan and MRI would also be expected to show evidence of subarachnoid hemorrhage, such as blood in the subarachnoid space or an aneurysm, although these imaging results are not provided in the case description.
The findings of gynecomastia and normal results on other physical exams, such as examination of the neck, chest, abdomen, and extremities, do not support a diagnosis of pituitary tumor apoplexy, which is characterized by rapid-onset headache, visual disturbances, and altered endocrine function.
The absence of focal weakness, previous similar episodes, or seizures argues against a cerebellar infarction, which would cause more widespread neurological deficits. The normal deep tendon and plantar reflexes also suggest against a cerebellar infarction.
Finally, the absence of symptoms such as proptosis, decreased visual acuity, or a chronic headache argues against a diagnosis of cavernous sinus thrombosis.</t>
  </si>
  <si>
    <t xml:space="preserve">
After Unprotected Sex, 50-Year-Old Has Rash, Severe Weakness</t>
  </si>
  <si>
    <r>
      <rPr>
        <sz val="10"/>
        <color rgb="FF000000"/>
        <rFont val="Roboto"/>
      </rPr>
      <t xml:space="preserve">Toxoplasmosis
</t>
    </r>
    <r>
      <rPr>
        <b/>
        <sz val="10"/>
        <color rgb="FF000000"/>
        <rFont val="Roboto"/>
      </rPr>
      <t>Disseminated Cryptococcus infection</t>
    </r>
    <r>
      <rPr>
        <sz val="10"/>
        <color rgb="FF000000"/>
        <rFont val="Roboto"/>
      </rPr>
      <t xml:space="preserve">
Acute HIV infection
Molluscum contagiosum</t>
    </r>
  </si>
  <si>
    <t>The most likely diagnosis is Disseminated Cryptococcus infection based on the following findings:
Positive result for 1,3-beta-D-glucan test
Positive result for CSF cytology showing elevated protein and lymphocyte count
Chest radiograph showing bilateral interstitial infiltrates and multiple pulmonary nodules
The positive result for 1,3-beta-D-glucan test is highly indicative of a fungal infection, specifically Cryptococcus. The elevated protein and lymphocyte count in the CSF also support the diagnosis of a central nervous system infection. The chest radiograph findings of bilateral interstitial infiltrates and multiple pulmonary nodules are consistent with disseminated fungal infection.
The negative result for the rapid plasma reagin test, negative result for hepatitis B and C tests, and negative result for the serum cryptococcal antigen test rule out syphilis, hepatitis B and C, and Toxoplasmosis as the cause of the patient's symptoms. The negative result for the PCP test rules out PCP as the cause of the patient's respiratory symptoms.
The positive result for the HIV-1 antigen/antibody test suggests that the patient has acute HIV infection, but the symptoms and radiographic findings are more consistent with disseminated fungal infection.
Overall, the most likely diagnosis is disseminated Cryptococcus infection, and further diagnostic testing is needed to confirm the diagnosis and determine the most appropriate treatment.</t>
  </si>
  <si>
    <r>
      <rPr>
        <sz val="10"/>
        <color rgb="FF000000"/>
        <rFont val="Roboto"/>
      </rPr>
      <t xml:space="preserve">Familial hypocalciuric hypercalcemia
</t>
    </r>
    <r>
      <rPr>
        <b/>
        <sz val="10"/>
        <color rgb="FF000000"/>
        <rFont val="Roboto"/>
      </rPr>
      <t xml:space="preserve">Intrathyroidal parathyroid adenoma
</t>
    </r>
    <r>
      <rPr>
        <sz val="10"/>
        <color rgb="FF000000"/>
        <rFont val="Roboto"/>
      </rPr>
      <t xml:space="preserve">ACR TI-RADS moderately suspicious pattern thyroid nodule that does not need biopsy until it is ≥ 1.5 cm
ATA very low risk and ACR TI-RADS benign thyroid nodule that does not require biopsy
</t>
    </r>
  </si>
  <si>
    <t xml:space="preserve">
Intrathyroidal parathyroid adenoma</t>
  </si>
  <si>
    <t>On the basis of the given findings, the most likely diagnosis is Intrathyroidal parathyroid adenoma.
The findings of a moderately suspicious pattern on ACR TI-RADS and an unusual vascular pattern on Doppler analysis, as well as elevated PTH level, high normal calcium level, and borderline low phosphorus level support the diagnosis of an intrathyroidal parathyroid adenoma. The presence of a hypoechoic, solid, well-defined nodule with undulating margins and the absence of microcalcifications further supports the diagnosis.
The presence of a feeding vessel originating from the carotid artery and an arborization of intranodular vascular flow are also consistent with parathyroid adenoma. The normal 25-hydroxy vitamin D level and normal renal function support the exclusion of secondary hyperparathyroidism.
The patient's euthyroid Hashimoto thyroiditis, negative family history of thyroid cancer, and negative findings on other physical exams and laboratory tests further support the diagnosis of intrathyroidal parathyroid adenoma.
Familial hypocalciuric hypercalcemia is ruled out due to the elevated PTH level and the lack of a positive family history of hypercalcemia. ATA very low risk and ACR TI-RADS benign thyroid nodule is ruled out by the findings of the moderately suspicious pattern on ACR TI-RADS and the atypical vascular pattern.</t>
  </si>
  <si>
    <t>Psychiatry Case Challenge: Nightmares and Poor Grades in a Third Grader Allergic to Cats</t>
  </si>
  <si>
    <r>
      <rPr>
        <sz val="10"/>
        <color rgb="FF000000"/>
        <rFont val="Roboto"/>
      </rPr>
      <t xml:space="preserve">Posttraumatic stress disorder
Attention-deficit/hyperactivity disorder
Conduct disorder
</t>
    </r>
    <r>
      <rPr>
        <b/>
        <sz val="10"/>
        <color rgb="FF000000"/>
        <rFont val="Roboto"/>
      </rPr>
      <t xml:space="preserve">Panic disorder without agoraphobia
</t>
    </r>
    <r>
      <rPr>
        <sz val="10"/>
        <color rgb="FF000000"/>
        <rFont val="Roboto"/>
      </rPr>
      <t>Generalized anxiety disorder</t>
    </r>
  </si>
  <si>
    <t>The most likely diagnosis is Generalized Anxiety Disorder. This differential is supported by the patient's symptoms of frequent waking up in the middle of the night with feelings of breathlessness and fright, difficulty falling asleep on the night before important tests, and tightness in the chest during periods of increased anxiety such as during recess or at the thought of an upcoming school play. Additionally, the patient's worries about disappointing his parents, his decreased grades, and his tendency to shy away from social interactions with unfamiliar people are also consistent with the symptoms of Generalized Anxiety Disorder.
The findings that rule out the other diagnosis include the absence of symptoms of hyperactivity and impulsiveness, which are present in Attention-Deficit/Hyperactivity Disorder, the absence of aggressive or disruptive behavior, which are present in Conduct Disorder, the absence of panic attacks with agoraphobia, which is present in Panic Disorder with Agoraphobia, and the absence of a history of traumatic events, which is often associated with Posttraumatic Stress Disorder.
Physical examination and workup also reveal no underlying medical cause for the patient's symptoms. His normal vital signs, lack of respiratory distress, and normal results of the physical examination rule out asthma as a possible cause for his symptoms of breathlessness.</t>
  </si>
  <si>
    <t>https://reference.medscape.com/viewarticle/847159_3</t>
  </si>
  <si>
    <r>
      <rPr>
        <sz val="10"/>
        <color rgb="FF000000"/>
        <rFont val="Roboto"/>
      </rPr>
      <t xml:space="preserve">Pyelonephritis
</t>
    </r>
    <r>
      <rPr>
        <b/>
        <sz val="10"/>
        <color rgb="FF000000"/>
        <rFont val="Roboto"/>
      </rPr>
      <t>Cystitis</t>
    </r>
    <r>
      <rPr>
        <sz val="10"/>
        <color rgb="FF000000"/>
        <rFont val="Roboto"/>
      </rPr>
      <t xml:space="preserve">
Pelvic inflammatory disease
Appendicitis</t>
    </r>
  </si>
  <si>
    <t xml:space="preserve">
Pyelonephritis</t>
  </si>
  <si>
    <t>The most likely diagnosis based on the patient's symptoms and examination results is Pyelonephritis.
Rationale:
The patient's symptoms of abdominal pain, dysuria (painful urination), and frequent urination are indicative of a urinary tract infection (UTI), which is a common cause of these symptoms.
The presence of white blood cells and bacteria in the patient's urine sample, as well as a positive result for leukocyte esterase, supports the diagnosis of a UTI.
The fact that the patient has no other symptoms such as fever, chills, or vomiting, which are commonly associated with severe infections like appendicitis or pelvic inflammatory disease, also supports the diagnosis of a UTI.
The patient's recent relationship with a new sexual partner, use of barrier contraception, and presence of an increase in vaginal discharge suggest that the UTI may be a sexually transmitted infection (STI).
The patient's negative pregnancy test result, as well as normal findings on her most recent Pap smear, rule out the possibility of pelvic inflammatory disease.
The absence of costovertebral angle tenderness, Murphy sign, McBurney point tenderness, and ecchymosis, as well as normal bowel sounds and absence of abdominal distension, rule out appendicitis.
In conclusion, the most likely diagnosis is Pyelonephritis, which is a UTI that has affected the upper urinary tract (kidneys). This diagnosis is supported by the patient's symptoms, examination results, and laboratory findings.</t>
  </si>
  <si>
    <r>
      <rPr>
        <sz val="10"/>
        <color rgb="FF000000"/>
        <rFont val="Roboto"/>
      </rPr>
      <t xml:space="preserve">Hypertrophic cardiomyopathy
</t>
    </r>
    <r>
      <rPr>
        <b/>
        <sz val="10"/>
        <color rgb="FF000000"/>
        <rFont val="Roboto"/>
      </rPr>
      <t xml:space="preserve">Cardiac amyloidosis
</t>
    </r>
    <r>
      <rPr>
        <sz val="10"/>
        <color rgb="FF000000"/>
        <rFont val="Roboto"/>
      </rPr>
      <t xml:space="preserve">Hemochromatosis
Systemic lupus erythematosus
</t>
    </r>
  </si>
  <si>
    <t>The most likely diagnosis is Cardiac Amyloidosis based on the findings of the patient's history and examination.
Rationale:
The patient presents with congestive heart failure after presenting with progressive generalized weakness, increasing shortness of breath, and leg swelling, which are common symptoms of cardiac amyloidosis.
The presence of mild dysphagia, gastroesophageal reflux, and difficulty getting up from a sitting position, swelling of the tongue with loss of taste sensation, hair loss, bruising of the eyes, and ecchymotic rash on the abdomen and chest are consistent with systemic amyloidosis.
The B-type natriuretic peptide level of 1026 pg/mL, which is significantly elevated compared to the reference range of &lt;100 pg/mL, suggests severe cardiac dysfunction, which is typical in cardiac amyloidosis.
The transthoracic echocardiography shows thickening of the ventricular walls, which is also consistent with cardiac amyloidosis.
The patient's normal serum ferritin level and normal autoimmune tests rule out Hemochromatosis as a cause of her symptoms.
The normal results of the urine analysis and absence of red blood cells, white blood cells, or casts in the urine rule out Systemic Lupus Erythematosus as a cause.
The ECG with low-voltage complexes and poor R-wave progression suggests myocardial involvement, which is typical of cardiac amyloidosis.
In conclusion, the patient's symptoms, physical examination findings, and laboratory test results are most consistent with the diagnosis of Cardiac Amyloidosis. Further testing, such as a biopsy, will be needed to confirm the diagnosis.</t>
  </si>
  <si>
    <r>
      <rPr>
        <sz val="10"/>
        <color rgb="FF000000"/>
        <rFont val="Roboto"/>
      </rPr>
      <t xml:space="preserve">Hyperthyroidism
</t>
    </r>
    <r>
      <rPr>
        <b/>
        <sz val="10"/>
        <color rgb="FF000000"/>
        <rFont val="Roboto"/>
      </rPr>
      <t>Narcolepsy</t>
    </r>
    <r>
      <rPr>
        <sz val="10"/>
        <color rgb="FF000000"/>
        <rFont val="Roboto"/>
      </rPr>
      <t xml:space="preserve">
Malnutrition
Depression</t>
    </r>
  </si>
  <si>
    <t>The most likely diagnosis in this case is Narcolepsy.
Rationale:
Based on the patient's symptoms of constant headaches that resolve after a nap or a night's sleep, and the findings from her overnight sleep study and MSLT that show a short sleep latency with rapid onset of REM sleep during her naps, narcolepsy is the most likely diagnosis. These symptoms, particularly the short sleep latency and rapid onset of REM sleep, are characteristic of narcolepsy. The patient's report of falling asleep at her desk a few times a week and feeling tired all the time further support the diagnosis of narcolepsy.
The normal results from the comprehensive metabolic panel and thyroid function test rule out hyperthyroidism as a cause of her symptoms. The patient's normal weight and well-nourished appearance rule out malnutrition as a cause. The patient's self-reported lack of problems with sadness, hopelessness, or anxiety, and her normal energy level during the physical examination rule out depression as a cause.
In conclusion, the patient's symptoms, along with the normal results from her diagnostic testing and the findings from her overnight sleep study and MSLT, support a diagnosis of narcolepsy.</t>
  </si>
  <si>
    <r>
      <rPr>
        <sz val="10"/>
        <color rgb="FF000000"/>
        <rFont val="Roboto"/>
      </rPr>
      <t xml:space="preserve">Amitriptyline overdose
</t>
    </r>
    <r>
      <rPr>
        <b/>
        <sz val="10"/>
        <color rgb="FF000000"/>
        <rFont val="Roboto"/>
      </rPr>
      <t>Sotalol overdose</t>
    </r>
    <r>
      <rPr>
        <sz val="10"/>
        <color rgb="FF000000"/>
        <rFont val="Roboto"/>
      </rPr>
      <t xml:space="preserve">
Celecoxib overdose
Hydroxychloroquine overdose
Methotrexate overdose</t>
    </r>
  </si>
  <si>
    <t>Based on the patient's symptoms, the most likely diagnosis is Sotalol Overdose. The rationale for this differential is as follows:
Prolonged QTc interval: The patient's ECG showed a prolonged QTc interval of 507 msec, which is significantly prolonged and beyond the reference range for men. This prolonged QTc interval is a classic sign of sotalol toxicity.
Ventricular tachycardia: The patient experienced a generalized seizure followed by polymorphic ventricular tachycardia, which is also a sign of sotalol toxicity.
Low serum potassium level: The patient's serum potassium level was low (2.5 mmol/L) which is a sign of sotalol toxicity, as it is known to cause hypokalemia.
These findings together strongly suggest that the patient's overdose was with sotalol. The other options (amitriptyline, celecoxib, hydroxychloroquine, methotrexate) do not typically cause these symptoms and therefore can be ruled out.
In conclusion, the patient's symptoms, including the prolonged QTc interval, ventricular tachycardia, and low serum potassium level, strongly suggest sotalol overdose as the most likely diagnosis.</t>
  </si>
  <si>
    <t>incomplete, irelevant</t>
  </si>
  <si>
    <r>
      <rPr>
        <sz val="10"/>
        <color rgb="FF000000"/>
        <rFont val="Roboto"/>
      </rPr>
      <t xml:space="preserve">Acute myeloid leukemia
Metastatic carcinoma
</t>
    </r>
    <r>
      <rPr>
        <b/>
        <sz val="10"/>
        <color rgb="FF000000"/>
        <rFont val="Roboto"/>
      </rPr>
      <t>Nonsecretory myeloma</t>
    </r>
    <r>
      <rPr>
        <sz val="10"/>
        <color rgb="FF000000"/>
        <rFont val="Roboto"/>
      </rPr>
      <t xml:space="preserve">
Paget disease
Primary amyloidosis</t>
    </r>
  </si>
  <si>
    <t xml:space="preserve">The most likely diagnosis based on the findings is Acute Myeloid Leukemia (AML). The rationale for this differential is as follows:
Anemia and thrombocytopenia: The patient has moderate normocytic normochromic anemia with a low hemoglobin level and thrombocytopenia, with a low platelet count, which is a hallmark of AML.
Leukoerythroblastic picture on blood film: The presence of many band neutrophils, occasional metamyelocytes, and nucleated red blood cells in the blood film is highly suggestive of AML.
Elevated LDH: An elevated lactate dehydrogenase (LDH) level is often seen in AML and can be a marker of increased malignant cell burden.
Elevated beta-2 microglobulin: The elevated serum beta-2 microglobulin level is a marker of bone marrow dysplasia, which is commonly seen in AML.
Negative skeletal survey: The absence of any lytic or sclerotic lesions on the skeletal survey, as seen in Paget disease, primary amyloidosis or multiple myeloma, further supports the diagnosis of AML.
In conclusion, the combination of anemia, thrombocytopenia, leukoerythroblastic picture, elevated LDH and beta-2 microglobulin, and negative skeletal survey all point towards a diagnosis of AML. Further diagnostic tests, such as bone marrow biopsy and cytogenetic analysis, are necessary to confirm the diagnosis.
</t>
  </si>
  <si>
    <r>
      <rPr>
        <sz val="10"/>
        <color rgb="FF000000"/>
        <rFont val="Roboto"/>
      </rPr>
      <t xml:space="preserve">Meningeal carcinomatosis
</t>
    </r>
    <r>
      <rPr>
        <b/>
        <sz val="10"/>
        <color rgb="FF000000"/>
        <rFont val="Roboto"/>
      </rPr>
      <t>Lumbosacral radiculoplexus neuropathy</t>
    </r>
    <r>
      <rPr>
        <sz val="10"/>
        <color rgb="FF000000"/>
        <rFont val="Roboto"/>
      </rPr>
      <t xml:space="preserve">
Chronic inflammatory demyelinating polyradiculoneuropathy
Radiation-induced lumbosacral plexopathy</t>
    </r>
  </si>
  <si>
    <t>The most likely diagnosis in this case is Radiation-induced lumbosacral plexopathy. This is due to several key findings:
History of radiation therapy: The patient underwent radiation therapy for prostate cancer 8 years ago, which is a known risk factor for developing radiation-induced lumbosacral plexopathy.
Progressive lower-extremity pain and muscle weakness: The patient presents with a 2-year history of progressive lower-extremity pain and muscle weakness, which are hallmark symptoms of radiation-induced lumbosacral plexopathy.
MRI findings: MRI of the lumbar spine demonstrates contrast enhancement in the cauda equina nerve roots, without a compressive cause, and MRI of the lumbar plexus shows contrast enhancement and muscular edema involving the proximal lower-extremity muscles, which are consistent with radiation-induced lumbosacral plexopathy.
Electrodiagnostic study: An electrophysiologic study demonstrates near-absent sensory and motor responses in the bilateral lower extremities, with severe active and chronic neurogenic changes in all proximal and distal muscles tested, including the paraspinal muscles, which support the diagnosis of radiation-induced lumbosacral plexopathy.
In contrast, other diagnoses, such as meningeal carcinomatosis, lumbosacral radiculoplexus neuropathy, and chronic inflammatory demyelinating polyradiculoneuropathy, are typically associated with additional symptoms, such as cranial nerve involvement, upper-extremity weakness, and/or significant changes in the CSF. These symptoms and findings are not present in this case, making them less likely diagnoses.
In conclusion, based on the patient's history, physical examination, MRI findings, and electrophysiologic study, the most likely diagnosis is Radiation-induced lumbosacral plexopathy.</t>
  </si>
  <si>
    <r>
      <rPr>
        <sz val="10"/>
        <color rgb="FF000000"/>
        <rFont val="Roboto"/>
      </rPr>
      <t xml:space="preserve">Renal artery stenosis
</t>
    </r>
    <r>
      <rPr>
        <b/>
        <sz val="10"/>
        <color rgb="FF000000"/>
        <rFont val="Roboto"/>
      </rPr>
      <t>Primary hyperaldosteronism</t>
    </r>
    <r>
      <rPr>
        <sz val="10"/>
        <color rgb="FF000000"/>
        <rFont val="Roboto"/>
      </rPr>
      <t xml:space="preserve">
Cushing syndrome
Pheochromocytoma</t>
    </r>
  </si>
  <si>
    <t>Renal Artery Stenosis</t>
  </si>
  <si>
    <t>Based on the given information, the most likely diagnosis is Renal Artery Stenosis.
The patient's uncontrolled hypertension, despite taking three different antihypertensive medications from three different classes, suggests that there may be an underlying cause other than just hypertension. Additionally, the patient's hypokalemia, which requires potassium supplementation, is a finding consistent with primary hyperaldosteronism, a condition characterized by overproduction of aldosterone leading to hypokalemia and hypertension.
However, the lack of other symptoms commonly associated with primary hyperaldosteronism, such as muscle weakness and changes in vision, and the absence of any history of significant cardiovascular disease, hyperlipidemia, or diabetes in the patient's family, suggest that primary hyperaldosteronism may not be the cause of the patient's hypertension.
The patient's creatinine level of 0.79 mg/dL, which is within the normal range, suggests that there is no evidence of significant renal insufficiency. This, in combination with the normal BUN/creatinine ratio, rules out Cushing syndrome, which is associated with renal impairment.
Furthermore, the lack of symptoms commonly associated with pheochromocytoma, such as palpitations, headaches, and sweating, suggests that this condition is less likely to be the cause of the patient's hypertension.
Given the above findings, Renal Artery Stenosis is the most likely diagnosis as the patient's uncontrolled hypertension and hypokalemia, despite adequate treatment with antihypertensives, in combination with a normal creatinine level, suggest that there may be an issue with blood flow to the kidneys, which is a hallmark of renal artery stenosis. Further workup, such as renal angiography, may be necessary to confirm the diagnosis.</t>
  </si>
  <si>
    <r>
      <rPr>
        <sz val="10"/>
        <color rgb="FF000000"/>
        <rFont val="Roboto"/>
      </rPr>
      <t xml:space="preserve">Lemierre syndrome
</t>
    </r>
    <r>
      <rPr>
        <b/>
        <sz val="10"/>
        <color rgb="FF000000"/>
        <rFont val="Roboto"/>
      </rPr>
      <t>Parapharyngeal/retropharyngeal cellulitis and abscess formation</t>
    </r>
    <r>
      <rPr>
        <sz val="10"/>
        <color rgb="FF000000"/>
        <rFont val="Roboto"/>
      </rPr>
      <t xml:space="preserve">
Ludwig angina
Epiglottitis
Bacterial tracheitis</t>
    </r>
  </si>
  <si>
    <t>Parapharyngeal/retropharyngeal cellulitis and abscess formation</t>
  </si>
  <si>
    <t>The most likely diagnosis in this case is Parapharyngeal/retropharyngeal cellulitis and abscess formation. This diagnosis is based on the physical examination findings, including erythematous posterior pharynx without exudates, tender anterior cervical lymph nodes, swelling around the left side of the upper neck, airway deviation revealed by nasolaryngoscopy, and significant leukocytosis with neutrophilic predominance. The CT scan of the neck and soft tissues with intravenous contrast further confirms the presence of parapharyngeal and retropharyngeal swelling.
Lemierre syndrome, Ludwig angina, and epiglottitis can be ruled out based on the absence of septicemia and thrombophlebitis, no evidence of tongue or sublingual elevation, and absence of marked edema of the floor of the mouth and submandibular area, respectively. Bacterial tracheitis is ruled out by the absence of stridor, hoarseness, or any other symptoms suggestive of tracheal involvement.
In conclusion, the patient's presentation of swelling in the neck, difficulty swallowing and tolerating secretions, foul-smelling breath, and mild leukocytosis with neutrophilic predominance is consistent with a diagnosis of parapharyngeal/retropharyngeal cellulitis and abscess formation.</t>
  </si>
  <si>
    <r>
      <rPr>
        <sz val="10"/>
        <color rgb="FF000000"/>
        <rFont val="Roboto"/>
      </rPr>
      <t xml:space="preserve">Acute gastritis
Cannabinoid hyperemesis syndrome
</t>
    </r>
    <r>
      <rPr>
        <b/>
        <sz val="10"/>
        <color rgb="FF000000"/>
        <rFont val="Roboto"/>
      </rPr>
      <t>Superior mesenteric artery syndrome</t>
    </r>
    <r>
      <rPr>
        <sz val="10"/>
        <color rgb="FF000000"/>
        <rFont val="Roboto"/>
      </rPr>
      <t xml:space="preserve">
Peptic ulcer disease
Cholecystitis</t>
    </r>
  </si>
  <si>
    <t>Peptic Ulcer Disease (PUD).</t>
  </si>
  <si>
    <t>The most likely diagnosis based on the given findings is Peptic Ulcer Disease (PUD).
The patient's presentation of generalized weakness, progressive weight loss, intractable nausea, vomiting, and abdominal pain, with epigastric pain that is exacerbated by food and has been ongoing for several years, is highly suggestive of PUD. The patient's history of gastroesophageal reflux disease and hiatal hernia repair, as well as the use of cannabis, are additional risk factors for PUD.
The CT scan and upper gastrointestinal endoscopy further support this diagnosis as they reveal evidence of an ulcer in the stomach. The CT scan shows thickening and enhancement of the gastric wall, which is indicative of inflammation and possible ulceration. The endoscopy images show a large, well-defined, round-shaped ulcer with clean edges, which is consistent with PUD.
The patient's lack of symptoms such as fevers, chills, shortness of breath, chest pain, hemoptysis, hematemesis, diarrhea, constipation, hematochezia, and melena, as well as the absence of tenderness upon abdominal examination, helps rule out other possible diagnoses such as acute gastritis, cholecystitis, and superior mesenteric artery syndrome.
Cannabinoid Hyperemesis Syndrome can also present with abdominal pain, nausea, and vomiting, but it is typically seen in patients with a history of long-term and heavy cannabis use. The patient in this case only has a 1.8-pack-year smoking history, which is less than the typical history seen in CHS.
In conclusion, the patient's clinical presentation, medical history, CT scan, and endoscopy findings, as well as the absence of other symptoms and findings, support a diagnosis of Peptic Ulcer Disease.</t>
  </si>
  <si>
    <r>
      <rPr>
        <sz val="10"/>
        <color rgb="FF000000"/>
        <rFont val="Roboto"/>
      </rPr>
      <t xml:space="preserve">Vascular dementia
Parkinson disease dementia
</t>
    </r>
    <r>
      <rPr>
        <b/>
        <sz val="10"/>
        <color rgb="FF000000"/>
        <rFont val="Roboto"/>
      </rPr>
      <t>Dementia with Lewy bodies</t>
    </r>
    <r>
      <rPr>
        <sz val="10"/>
        <color rgb="FF000000"/>
        <rFont val="Roboto"/>
      </rPr>
      <t xml:space="preserve">
Carbidopa/levodopa side effects
Alzheimer disease</t>
    </r>
  </si>
  <si>
    <t>The most likely diagnosis in this patient is Dementia with Lewy bodies (DLB).
Rationale: The clinical presentation of this patient with episodic altered mental status, agitation, and hallucinations, along with reduced blink rate, and issues with executive function, visuospatial tasks, depression, and gait, are consistent with DLB. DLB is a common cause of dementia in older adults and often presents with Parkinsonian motor symptoms and recurrent visual and auditory hallucinations. The patient's medical history of Parkinson disease, which did not respond well to carbidopa/levodopa treatment, also supports a diagnosis of DLB.
The findings that rule out other diagnoses include:
The normal results of laboratory tests and CT scan of the brain, which rule out other underlying medical conditions such as metabolic or infectious etiologies that could cause cognitive decline.
The absence of a history of underlying psychiatric disorders, which rules out a primary psychiatric cause for the patient's symptoms.
The lack of significant cognitive impairment in Alzheimer disease, which typically presents with more widespread memory loss and language difficulties, rather than isolated issues with concentration, executive function, and visuospatial tasks.
The fact that the patient has only mild rigidity at the neck in both arms, along with bradykinesia, suggests that Parkinson disease is not the sole cause of his cognitive symptoms, hence the carbidopa/levodopa side effects are also ruled out as a potential cause.</t>
  </si>
  <si>
    <r>
      <rPr>
        <sz val="10"/>
        <color rgb="FF000000"/>
        <rFont val="Roboto"/>
      </rPr>
      <t xml:space="preserve">Hereditary angioedema
Cholinergic urticaria
</t>
    </r>
    <r>
      <rPr>
        <b/>
        <sz val="10"/>
        <color rgb="FF000000"/>
        <rFont val="Roboto"/>
      </rPr>
      <t>Exercise-induced anaphylaxis</t>
    </r>
    <r>
      <rPr>
        <sz val="10"/>
        <color rgb="FF000000"/>
        <rFont val="Roboto"/>
      </rPr>
      <t xml:space="preserve">
Systemic mastocytosis
Idiopathic anaphylaxis</t>
    </r>
  </si>
  <si>
    <t>The most likely diagnosis is Exercise-induced anaphylaxis. This diagnosis makes sense due to the patient's symptoms, which occurred after physical activity, particularly in hot weather, and resolved after stopping the activity. The patient has a history of similar episodes that have become more frequent and severe over time. The physical examination findings, such as the presence of urticaria and diffuse wheezing, support the diagnosis of an allergic reaction. The rapid improvement of the patient's symptoms after receiving epinephrine, diphenhydramine, and methylprednisolone also supports the diagnosis of anaphylaxis.
This differential rules out Hereditary angioedema, which typically presents with recurrent episodes of swelling without an associated allergic reaction. Cholinergic urticaria typically presents with itching and hives after sweating, not necessarily after physical activity, and is less likely to cause the full-body rash and respiratory symptoms seen in this patient. Systemic mastocytosis is a condition of excessive mast cell accumulation and release of histamine, which can cause symptoms similar to anaphylaxis, but it is less likely to present solely with symptoms related to physical activity. Idiopathic anaphylaxis is a diagnosis of exclusion and does not have a clear trigger, which makes it less likely in this case where a clear trigger, physical activity, has been identified.</t>
  </si>
  <si>
    <t>A Sexually Active 30-Year-Old Woman With Rash and Wrist Pain</t>
  </si>
  <si>
    <t>https://reference.medscape.com/viewarticle/966057</t>
  </si>
  <si>
    <r>
      <rPr>
        <sz val="10"/>
        <color rgb="FF000000"/>
        <rFont val="Roboto"/>
      </rPr>
      <t xml:space="preserve">Viral hepatitis
Acute cholecystitis
</t>
    </r>
    <r>
      <rPr>
        <b/>
        <sz val="10"/>
        <color rgb="FF000000"/>
        <rFont val="Roboto"/>
      </rPr>
      <t>Fitz-Hugh-Curtis syndrome</t>
    </r>
    <r>
      <rPr>
        <sz val="10"/>
        <color rgb="FF000000"/>
        <rFont val="Roboto"/>
      </rPr>
      <t xml:space="preserve">
Amebic liver abscess</t>
    </r>
  </si>
  <si>
    <t>Fitz-Hugh-Curtis syndrome</t>
  </si>
  <si>
    <t>The most likely diagnosis based on these findings is Fitz-Hugh-Curtis syndrome.
Rationale: Fitz-Hugh-Curtis syndrome is a complication of pelvic inflammatory disease (PID) and is characterized by perihepatitis, which is inflammation of the liver capsule. The patient's presentation of severe right upper quadrant abdominal pain, bilateral shoulder and wrist pain, and increased perihepatic enhancement on CT are consistent with this diagnosis. Additionally, the patient's history of being sexually active with multiple partners, inconsistent use of condoms, and negative results for pregnancy and vulvovaginitis all suggest a possible underlying PID. The absence of cholecystitis or fluid collections on ultrasonography and CT, as well as the negative results for liver function tests and urinalysis, rule out the other diagnoses of viral hepatitis and amebic liver abscess.
However, it is important to note that further testing and diagnostic workup, such as blood cultures and laparoscopy, may be necessary to confirm the diagnosis of Fitz-Hugh-Curtis syndrome and to rule out other possible causes of the patient's symptoms.</t>
  </si>
  <si>
    <t>A Retired Teacher With a Constant Headache and Vomiting</t>
  </si>
  <si>
    <t>https://reference.medscape.com/viewarticle/915146</t>
  </si>
  <si>
    <r>
      <rPr>
        <sz val="10"/>
        <color rgb="FF000000"/>
        <rFont val="Roboto"/>
      </rPr>
      <t xml:space="preserve">Normal-pressure hydrocephalus
Cryptococcal meningitis
Mumps
</t>
    </r>
    <r>
      <rPr>
        <b/>
        <sz val="10"/>
        <color rgb="FF000000"/>
        <rFont val="Roboto"/>
      </rPr>
      <t>Leptomeningeal disease</t>
    </r>
    <r>
      <rPr>
        <sz val="10"/>
        <color rgb="FF000000"/>
        <rFont val="Roboto"/>
      </rPr>
      <t xml:space="preserve">
Lymphocytic choriomeningitis</t>
    </r>
  </si>
  <si>
    <t>normal-pressure hydrocephalus</t>
  </si>
  <si>
    <t>The most likely diagnosis is normal-pressure hydrocephalus based on the patient's presentation and MRI findings of mild to moderate hydrocephalus. The high volume lumbar puncture (LP) also supports this diagnosis, as the LP results show an opening pressure of 27 cm H2O which is considered elevated, but still within the range of normal pressure hydrocephalus. The patient's presentation of dizziness, imbalance, nausea/vomiting, and a constant headache is consistent with the symptoms of normal-pressure hydrocephalus. Additionally, the improvement in headache after the LP is also supportive of a diagnosis of normal-pressure hydrocephalus.
The other diagnoses listed are unlikely based on the patient's presentation and laboratory findings. Cryptococcal meningitis is unlikely due to the normal glucose levels in the CSF and the lack of elevated protein levels. Mumps is unlikely based on the patient's history and the lack of a rash. Leptomeningeal disease would typically present with signs of increased intracranial pressure and more severe symptoms, and there is no evidence of this in the patient's presentation or laboratory findings. Lymphocytic choriomeningitis is unlikely based on the patient's history and lack of a recent exposure to rodents.
In conclusion, the patient's presentation, MRI findings, and LP results make normal-pressure hydrocephalus the most likely diagnosis.</t>
  </si>
  <si>
    <t>Star Athlete With a Blinking Fixation Struggling in College</t>
  </si>
  <si>
    <t>https://reference.medscape.com/viewarticle/964990</t>
  </si>
  <si>
    <r>
      <rPr>
        <sz val="10"/>
        <color rgb="FF000000"/>
        <rFont val="Roboto"/>
      </rPr>
      <t xml:space="preserve">Schizophrenia
Tardive dyskinesia
Autism spectrum disorder
Huntington disease
</t>
    </r>
    <r>
      <rPr>
        <b/>
        <sz val="10"/>
        <color rgb="FF000000"/>
        <rFont val="Roboto"/>
      </rPr>
      <t xml:space="preserve">Obsessive-compulsive disorder
</t>
    </r>
  </si>
  <si>
    <t>Obsessive-compulsive disorder</t>
  </si>
  <si>
    <t>The most likely diagnosis based on the given findings is Obsessive-Compulsive Disorder (OCD).
The patient's history of repetitive behaviors that are performed to prevent something bad from happening (rearranging his desk a set number of times before doing certain activities) and the time occupied by these rituals (at least an hour each day) are both consistent with the diagnostic criteria for OCD. Additionally, the patient's embarrassment about discussing these habits suggests an awareness of their irrationality, which is also commonly seen in individuals with OCD.
The absence of any positive findings on the physical examination, urine toxicology screen, complete blood cell count, comprehensive metabolic panel, and thyroid panel all suggest that there is no medical cause for the patient's symptoms.
The absence of hallucinations, delusions, suicidal or homicidal ideation, and the presence of a linear thought process on mental status examination further support the conclusion that the patient's symptoms are not indicative of Schizophrenia.
Tardive dyskinesia is typically associated with long-term use of antipsychotic medication, which the patient is not taking. Furthermore, the patient's blinking, which is a repetitive movement, is not consistent with the involuntary movements that are seen in Tardive dyskinesia.
The patient's history of academic difficulties, repetitive behaviors, and normal physical and laboratory examination results do not suggest a diagnosis of Autism Spectrum Disorder.
Huntington disease is a degenerative disorder that typically presents with movement problems, such as chorea, rather than repetitive behaviors, and is not typically associated with the patient's history of academic difficulties.
Overall, the most consistent pattern of symptoms in the patient is consistent with a diagnosis of OCD.</t>
  </si>
  <si>
    <t>Seizures in a 42-Year-Old Who Left a Hospital Against Advice</t>
  </si>
  <si>
    <t>https://reference.medscape.com/viewarticle/877077</t>
  </si>
  <si>
    <r>
      <rPr>
        <sz val="10"/>
        <color rgb="FF000000"/>
        <rFont val="Roboto"/>
      </rPr>
      <t xml:space="preserve">Supraventricular tachycardia (SVT)
</t>
    </r>
    <r>
      <rPr>
        <b/>
        <sz val="10"/>
        <color rgb="FF000000"/>
        <rFont val="Roboto"/>
      </rPr>
      <t xml:space="preserve">Torsade de pointes
</t>
    </r>
    <r>
      <rPr>
        <sz val="10"/>
        <color rgb="FF000000"/>
        <rFont val="Roboto"/>
      </rPr>
      <t xml:space="preserve">Ventricular fibrillation
SVT with aberrancy
</t>
    </r>
  </si>
  <si>
    <t>Ventricular fibrillation</t>
  </si>
  <si>
    <t>The rhythm in Figure 2 is Ventricular Fibrillation (VF).
The differential diagnosis for the patient's cardiac rhythm disturbance in Figure 2 includes Supraventricular Tachycardia (SVT) with aberrancy, Torsade de Pointes (TdP), and Ventricular Fibrillation (VF).
VF is characterized by chaotic, disorganized electrical activity of the ventricles, resulting in no effective cardiac output. The ECG tracing in Figure 2 displays a disorganized, rapidly irregular, and wide QRS complex, which is consistent with VF. The ECG pattern of VF is different from the narrow, regular QRS complex seen in SVT, which would not cause cardiac arrest.
Aberrant conduction during an SVT episode can cause a wide QRS complex, but the ECG tracing in Figure 2 is too irregular and chaotic to be consistent with SVT with aberrancy.
TdP is a ventricular tachycardia characterized by QRS complexes of varying amplitude and morphology that have a twisting or turning appearance on the ECG. The ECG tracing in Figure 2 does not have a twisting or turning appearance, making TdP less likely as a diagnosis.
In conclusion, the ECG tracing in Figure 2 is most consistent with Ventricular Fibrillation (VF), and less likely to be Supraventricular Tachycardia (SVT) with aberrancy or Torsade de Pointes (TdP).</t>
  </si>
  <si>
    <t>Edible Marijuana Use, Chest Pain, and Cough in a 53-Year-Old</t>
  </si>
  <si>
    <t>https://reference.medscape.com/viewarticle/963763</t>
  </si>
  <si>
    <r>
      <rPr>
        <sz val="10"/>
        <color rgb="FF000000"/>
        <rFont val="Roboto"/>
      </rPr>
      <t xml:space="preserve">Acute myocardial infarction
Pulmonary embolism
Acute pericarditis
</t>
    </r>
    <r>
      <rPr>
        <b/>
        <sz val="10"/>
        <color rgb="FF000000"/>
        <rFont val="Roboto"/>
      </rPr>
      <t>Esophageal adenocarcinoma</t>
    </r>
    <r>
      <rPr>
        <sz val="10"/>
        <color rgb="FF000000"/>
        <rFont val="Roboto"/>
      </rPr>
      <t xml:space="preserve">
Perforated peptic ulcer
</t>
    </r>
  </si>
  <si>
    <r>
      <rPr>
        <sz val="10"/>
        <color rgb="FF000000"/>
        <rFont val="Roboto"/>
      </rPr>
      <t xml:space="preserve">
</t>
    </r>
    <r>
      <rPr>
        <sz val="10"/>
        <color rgb="FF000000"/>
        <rFont val="Roboto"/>
      </rPr>
      <t>Esophageal adenocarcinoma</t>
    </r>
  </si>
  <si>
    <t>The most likely diagnosis based on these findings is acute myocardial infarction (AMI).
Rationale:
The patient presents with substernal chest pain that is sharp, constant, non-radiating and 7 out of 10 in intensity, started 10 minutes after eating lunch.
The symptoms are relieved with nitroglycerin, which is a typical treatment for anginal pain and can be a marker of myocardial ischemia.
The patient has a history of coronary artery disease, hypertension, type 2 diabetes, and GERD which increases his risk for AMI.
The elevated heart rate (104 beats/min) and blood pressure (140/88 mm Hg) suggest myocardial ischemia or infarction.
The elevated cardiac troponin levels (0.012 ng/mL and 0.016 ng/mL) are diagnostic of AMI, as they indicate myocardial injury.
These findings rule out the other options:
Pulmonary embolism is less likely as the patient does not have symptoms of dyspnea, hemoptysis, tachypnea, or decreased oxygen saturation.
Acute pericarditis is less likely as the patient has a sharp constant chest pain that is relieved with nitroglycerin and elevated cardiac troponin levels, which are not typical of pericarditis.
Esophageal adenocarcinoma is less likely as the patient has no difficulty swallowing and no weight loss and the chest pain started after eating lunch.
Perforated peptic ulcer is less likely as the patient has no symptoms of hematemesis, vomiting, abdominal pain, or peritoneal signs.
In conclusion, the patient's presentation, history, and lab results are consistent with a diagnosis of AMI, making it the most likely diagnosis. Further diagnostic testing, such as an electrocardiogram, coronary angiogram, or computed tomography (CT) angiogram, may be required to confirm the diagnosis and determine the management strategy.</t>
  </si>
  <si>
    <t>incomplete, irrelevant</t>
  </si>
  <si>
    <t>After Drinking 21 Beers, a 27-Year-Old Can’t Stop Vomiting</t>
  </si>
  <si>
    <t>https://reference.medscape.com/viewarticle/882078</t>
  </si>
  <si>
    <r>
      <rPr>
        <sz val="10"/>
        <color rgb="FF000000"/>
        <rFont val="Roboto"/>
      </rPr>
      <t xml:space="preserve">Pneumothorax
</t>
    </r>
    <r>
      <rPr>
        <b/>
        <sz val="10"/>
        <color rgb="FF000000"/>
        <rFont val="Roboto"/>
      </rPr>
      <t>Boerhaave syndrome</t>
    </r>
    <r>
      <rPr>
        <sz val="10"/>
        <color rgb="FF000000"/>
        <rFont val="Roboto"/>
      </rPr>
      <t xml:space="preserve">
Mallory-Weiss syndrome
Aortic dissection</t>
    </r>
  </si>
  <si>
    <t>Boerhaave syndrome</t>
  </si>
  <si>
    <t>The most likely diagnosis based on these findings is Boerhaave syndrome.
Rationale:
The patient's history of binge drinking and repeated episodes of vomiting (30 times in the past 24 hours) is highly suggestive of Boerhaave syndrome, which is a tear in the lower esophagus caused by severe and forceful retching or vomiting.
The presence of tenderness to palpation in the upper chest and neck and the findings of the chest radiograph (abnormality) and CT of the chest support the diagnosis of Boerhaave syndrome.
The patient's significant medical history of esophagitis and treatment with a proton pump inhibitor further increase the likelihood of Boerhaave syndrome.
The patient's symptoms of epigastric pain, diarrhea, and myalgia are also consistent with Boerhaave syndrome.
The findings of multiorgan failure caused by sepsis and the elevated liver function test results (increased gamma-glutamyltransferase level) are also consistent with Boerhaave syndrome, as this condition can lead to sepsis due to the exposure of gastric contents to the mediastinum.
Findings that would rule out other diagnoses:
The absence of melena or hematochezia rules out Mallory-Weiss syndrome, which is a tear in the mucosa at the gastroesophageal junction that typically results in hematemesis or hematochezia.
The absence of an auscultation abnormality in the lungs rules out pneumothorax, which is a collection of air or gas in the pleural cavity that can cause lung collapse.
The absence of a pulsatile mass or evidence of aortic dissection on the CT of the chest and abdomen rules out aortic dissection.</t>
  </si>
  <si>
    <t>A Noncompliant Construction Worker With a Pulsating Abdomen</t>
  </si>
  <si>
    <t>https://reference.medscape.com/viewarticle/963312</t>
  </si>
  <si>
    <r>
      <rPr>
        <sz val="10"/>
        <color rgb="FF000000"/>
        <rFont val="Roboto"/>
      </rPr>
      <t xml:space="preserve">Acute mesenteric ischemia
Chronic mesenteric ischemia
Acute pancreatitis
</t>
    </r>
    <r>
      <rPr>
        <b/>
        <sz val="10"/>
        <color rgb="FF000000"/>
        <rFont val="Roboto"/>
      </rPr>
      <t>Abdominal aortic aneurysm</t>
    </r>
  </si>
  <si>
    <t xml:space="preserve">Abdominal Aortic Aneurysm (AAA) </t>
  </si>
  <si>
    <t>The most likely diagnosis is Abdominal Aortic Aneurysm (AAA) based on the following findings:
The patient has a history of atherosclerosis and hypercholesterolemia, risk factors for the development of AAA.
The physical examination reveals a widened distal circumference of the abdominal aorta and a soft bruit audible on auscultation of the mid-abdominal region.
The compression ultrasound shows a dilation of the abdominal aorta with a diameter of 4.4 cm and no flow visible in the area of suspected thrombus/plaque buildup.
These findings are indicative of an AAA, which is a pathological dilation of the abdominal aorta that can cause blood flow obstruction, leading to the formation of a thrombus or plaque buildup. The lack of blood flow in the area of the thrombus or plaque buildup noted in the Doppler ultrasound confirms this diagnosis.
The elevated total cholesterol and triglyceride levels, along with the elevated pancreatic lipase level, suggest the presence of chronic comorbidities, but do not rule out an AAA as the cause of the symptoms. Additionally, the absence of abdominal tenderness and normal transverse view of the middle abdominal aorta would rule out acute mesenteric ischemia and acute pancreatitis as the cause of the patient's symptoms.
In conclusion, the patient's history, physical examination, and imaging findings support the diagnosis of Abdominal Aortic Aneurysm as the most likely cause of the patient's symptoms.</t>
  </si>
  <si>
    <t>A 47-Year-Old With Progressive Dyspnea and Weepy Nodules</t>
  </si>
  <si>
    <t>https://reference.medscape.com/viewarticle/832279</t>
  </si>
  <si>
    <r>
      <rPr>
        <sz val="10"/>
        <color rgb="FF000000"/>
        <rFont val="Roboto"/>
      </rPr>
      <t xml:space="preserve">Autoimmune hepatitis (AIH)
Chronic bronchitis
</t>
    </r>
    <r>
      <rPr>
        <b/>
        <sz val="10"/>
        <color rgb="FF000000"/>
        <rFont val="Roboto"/>
      </rPr>
      <t>AAT deficiency (AATD)</t>
    </r>
    <r>
      <rPr>
        <sz val="10"/>
        <color rgb="FF000000"/>
        <rFont val="Roboto"/>
      </rPr>
      <t xml:space="preserve">
Bronchiectasis
Wegener granulomatosis (granulomatosis with polyangiitis)</t>
    </r>
  </si>
  <si>
    <t>Wegener granulomatosis (granulomatosis with polyangiitis)</t>
  </si>
  <si>
    <t>The most likely diagnosis based on the patient's symptoms and test results is Wegener granulomatosis (granulomatosis with polyangiitis).
Rationale:
The patient presents with progressive dyspnea, an intermittent productive cough, and decreased air entry in the chest examination, which are consistent with respiratory symptoms commonly seen in patients with Wegener granulomatosis.
The positive cytoplasmic antineutrophil cytoplasmic antibody (C-ANCA) titer is a significant finding as it is highly specific for Wegener granulomatosis and other forms of vasculitis.
The patient's chest radiography and CT scans showing hyperlucent areas in bilateral lower lobes and evidence of air trapping is indicative of airway involvement, which is another hallmark of Wegener granulomatosis.
The elevated aminotransferase levels and mild hepatomegaly are consistent with extra-pulmonary involvement, which is seen in up to 50% of patients with Wegener granulomatosis.
The patient's history of smoking and normal findings in the cardiovascular and abdominal exams can be seen in other conditions, but the presence of C-ANCA positivity and the respiratory and extra-pulmonary involvement make Wegener granulomatosis the most likely diagnosis. The reduced AAT levels do not rule out Wegener granulomatosis, as AAT levels are usually normal in this condition. The lack of improvement in pulmonary function tests with albuterol treatment also rules out chronic bronchitis as a diagnosis. The presence of painful and weepy cutaneous nodules on the patient's right forearm suggests possible cutaneous vasculitis, further supporting a diagnosis of Wegener granulomatosis.</t>
  </si>
  <si>
    <t>What's Causing This Rapidly Growing, Golf Ball–Sized Mass?</t>
  </si>
  <si>
    <t>https://reference.medscape.com/viewarticle/962080</t>
  </si>
  <si>
    <r>
      <rPr>
        <sz val="10"/>
        <color rgb="FF000000"/>
        <rFont val="Roboto"/>
      </rPr>
      <t xml:space="preserve">Lipoma
Rheumatoid nodule
Infectious mononucleosis
</t>
    </r>
    <r>
      <rPr>
        <b/>
        <sz val="10"/>
        <color rgb="FF000000"/>
        <rFont val="Roboto"/>
      </rPr>
      <t>Diffuse large B-cell lymphoma</t>
    </r>
  </si>
  <si>
    <t>Lipoma</t>
  </si>
  <si>
    <t>The most probable diagnosis, based on these findings, is Lipoma. The patient presents with a mass that has developed over 2 months in the left medial epitrochlear region, with no tenderness, no drainage, and no concerning symptoms such as fever, sweats, or weight loss. The CT scan shows a soft tissue density in the left arm that is highly suggestive of a soft tissue mass and does not exhibit significant enhancement. The surgical pathology specimen consists of homogeneous, yellow-tan adipose tissue, which is consistent with Lipoma. The findings of the normal surrounding soft tissue and bones and the preservation of the fat planes between the mass and underlying musculature also support the diagnosis of Lipoma.
The other options, Rheumatoid nodule, Infectious mononucleosis, and Diffuse large B-cell lymphoma, can be ruled out based on the absence of the typical clinical and imaging findings associated with these conditions. For example, Rheumatoid nodules are associated with tenderness, joint swelling, and synovitis, which are not present in this case. Infectious mononucleosis is associated with a characteristic presentation of fatigue, fever, and sore throat, which this patient does not have. Diffuse large B-cell lymphoma is characterized by rapidly growing, non-encapsulated masses that can present with systemic symptoms, such as fever and night sweats, but the patient does not have these symptoms.
In conclusion, the most probable diagnosis, based on these findings, is Lipoma.</t>
  </si>
  <si>
    <t xml:space="preserve"> Moderate cognitive load</t>
  </si>
  <si>
    <t>Recurrent Syncope in a 30-Year-Old Whose Uncle Died Suddenly</t>
  </si>
  <si>
    <t>https://reference.medscape.com/viewarticle/717114</t>
  </si>
  <si>
    <t>Brugada syndrome
ST-segment elevation myocardial infarction
Wolff-Parkinson-White syndrome
Ventricular tachycardia</t>
  </si>
  <si>
    <r>
      <rPr>
        <sz val="10"/>
        <color rgb="FF000000"/>
        <rFont val="Roboto"/>
      </rPr>
      <t xml:space="preserve">
</t>
    </r>
    <r>
      <rPr>
        <sz val="10"/>
        <color rgb="FF000000"/>
        <rFont val="Roboto"/>
      </rPr>
      <t>Brugada syndrome</t>
    </r>
  </si>
  <si>
    <t>The most likely diagnosis based on the information given is Brugada syndrome. This diagnosis is supported by the ECG findings, which show coved-type ST segment elevation in leads V1-V3, and the patient's history of syncopal events. Brugada syndrome is a genetic condition characterized by arrhythmias and an increased risk of sudden cardiac death. The typical ECG findings in Brugada syndrome include ST segment elevation in the right precordial leads, which can lead to ventricular tachycardia or ventricular fibrillation.
This differential makes sense because of the presence of syncopal events and the ECG findings, which are consistent with Brugada syndrome. Additionally, the patient's family history of sudden death in his uncle, who died in his 30s, further supports the possibility of this diagnosis.
The other diagnoses listed (ST-segment elevation myocardial infarction, Wolff-Parkinson-White syndrome, Ventricular tachycardia) are less likely based on the information given, as they are associated with different ECG findings and clinical presentations. For example, ST-segment elevation myocardial infarction is associated with ST-segment elevation in multiple leads, while Wolff-Parkinson-White syndrome is associated with a characteristic delta wave and a short PR interval. Ventricular tachycardia can present with a rapid and irregular heart rate, but it is not typically associated with syncopal events.
In conclusion, the most likely diagnosis is Brugada syndrome, given the patient's history of syncopal events, the ECG findings, and the family history of sudden death.</t>
  </si>
  <si>
    <t>A Veteran With Lesions, Alcohol Use, and Opioid Dependence</t>
  </si>
  <si>
    <t>https://reference.medscape.com/viewarticle/961405</t>
  </si>
  <si>
    <t>Multiple sclerosis
Ischemic cerebral vascular accident
Multiple vitamin deficiencies
Hepatic encephalopathy</t>
  </si>
  <si>
    <t>Hepatic Encephalopathy</t>
  </si>
  <si>
    <t xml:space="preserve">The most probable diagnosis based on the findings is hepatic encephalopathy. This differential makes sense due to several factors:
Elevated AST and ALT levels, along with an AST/ALT ratio of 2.1:1, suggest liver dysfunction or liver disease.
An elevated bilirubin level is a sign of liver dysfunction and can lead to hepatic encephalopathy.
The patient's history of excessive alcohol consumption, combined with a deterioration in diet over the past three months, suggests liver damage and further exacerbates the possibility of hepatic encephalopathy.
The patient's history of nocturia and difficulty in starting urination could be a sign of liver disease, as the liver is responsible for producing the hormone vasopressin that regulates fluid balance and urine production.
The neurologic examination findings, such as a wide-based unsteady gait, abnormal extraocular movements, and a score of 28 out of 30 on the Mini-Mental State Examination, are all consistent with the symptoms of hepatic encephalopathy.
These findings rule out the other options as follows:
Multiple sclerosis: This condition is characterized by neurological symptoms such as muscle weakness, muscle spasms, and loss of coordination, however, these symptoms are not present in the patient.
Ischemic cerebral vascular accident: This condition is characterized by sudden onset of neurological symptoms, such as weakness or numbness on one side of the body, slurred speech, or a severe headache. However, the patient does not report these symptoms.
Multiple vitamin deficiencies: This condition can cause a wide range of symptoms, including weakness, fatigue, and problems with balance and coordination. However, the patient's symptoms do not match the typical symptoms of any specific vitamin deficiency.
Overall, the combination of liver dysfunction, abnormal neurologic examination findings, and a history of alcohol consumption and poor diet all support the diagnosis of hepatic encephalopathy as the most probable diagnosis.
</t>
  </si>
  <si>
    <t>A Nonverbal 33-Year-Old Woman With Intellectual Impairment</t>
  </si>
  <si>
    <t>https://reference.medscape.com/viewarticle/878930</t>
  </si>
  <si>
    <t xml:space="preserve">Cornelia de Lange syndrome
Down syndrome
Fragile X syndrome
Rett syndrome
</t>
  </si>
  <si>
    <t>Rett Syndrome</t>
  </si>
  <si>
    <t>The most likely diagnosis based on these findings is Rett syndrome.
The clinical findings in this case suggest a diagnosis of Rett syndrome, a neurodevelopmental disorder that primarily affects females. The patient presents with profound intellectual impairment, developmental regression in early childhood, and a history of seizure disorder, all of which are characteristic of Rett syndrome. Additionally, the patient exhibits atypical hand movements, such as hand-wringing, clapping, and hand-rubbing, which are hallmark findings in Rett syndrome.
Other diagnostic considerations, such as Cornelia de Lange syndrome and Fragile X syndrome, typically present with characteristic physical findings, such as synophrys, a broad nasal bridge, and long philtrum, which are not present in this patient. While Down syndrome can also present with developmental regression and intellectual impairment, this diagnosis is less likely given the absence of characteristic physical findings, such as a flat facial profile, almond-shaped eyes, and a single crease across the palm of the hand.
Overall, the combination of developmental regression, intellectual impairment, seizure disorder, and atypical hand movements strongly supports a diagnosis of Rett syndrome in this patient. Further genetic testing would likely be necessary to confirm the diagnosis.</t>
  </si>
  <si>
    <t>A Mail Carrier With Gross Hematuria Whose Sister Has Lupus</t>
  </si>
  <si>
    <t>https://reference.medscape.com/viewarticle/960397</t>
  </si>
  <si>
    <t>Benign prostatic hyperplasia
Anticoagulation-associated hematuria
Urothelial cell carcinoma
Urolithiasis
Cystitis</t>
  </si>
  <si>
    <t>Urothelial cell carcinoma</t>
  </si>
  <si>
    <t>The most likely diagnosis based on the findings is Urothelial cell carcinoma. The reason for this is:
The presence of gross hematuria - which is the main symptom in this case, is a commonly seen presentation in bladder cancer.
Urinalysis findings show RBC count &gt; 30 RBCs per HPF which is above the normal range, this along with the fact that the patient has no other symptoms such as dysuria, frequency, urgency, weak stream, etc. points towards bladder cancer as a possibility.
The cystoscopy findings that resemble the image shown in the case further support the diagnosis of urothelial cell carcinoma.
The fact that the patient has a long-standing history of anticoagulation with warfarin does not rule out the possibility of bladder cancer as the cause of hematuria.
Urolithiasis, which is the presence of stones in the urinary tract, can cause hematuria but it is not a likely diagnosis in this case as the subsequent ultrasound did not show any stones or hydronephrosis.
Benign prostatic hyperplasia can cause hematuria but it is not likely in this case as the patient has no symptoms of urinary tract symptoms and the physical examination did not reveal any tenderness to the prostate.
Cystitis, which is an infection of the bladder, can also cause hematuria but the urinalysis findings in this case show negative leukocyte esterase and nitrites which rules out the possibility of an infection.</t>
  </si>
  <si>
    <t>A Sexually Active 23-Year-Old With Seizures and Tongue Pain</t>
  </si>
  <si>
    <t>https://reference.medscape.com/viewarticle/865890</t>
  </si>
  <si>
    <r>
      <rPr>
        <b/>
        <sz val="10"/>
        <color rgb="FF000000"/>
        <rFont val="Roboto"/>
      </rPr>
      <t xml:space="preserve">Central nervous system (CNS) toxoplasmosis
</t>
    </r>
    <r>
      <rPr>
        <sz val="10"/>
        <color rgb="FF000000"/>
        <rFont val="Roboto"/>
      </rPr>
      <t xml:space="preserve">Glioblastoma multiforme
Subarachnoid hemorrhage
CNS lymphoma
</t>
    </r>
  </si>
  <si>
    <t>CNS toxoplasmosis</t>
  </si>
  <si>
    <t>Based on the patient's symptoms and laboratory findings, the most likely diagnosis is CNS toxoplasmosis. The patient has a 10-month history of malaise, fatigue, weight loss, diminished appetite, painful tongue erosions, and a declining mental status, which progressed to confusion and stupor. He also had generalized tonic-clonic seizures and a sudden dense left hemiparesis. The patient's social history of sexual relationships with men increases the likelihood of this diagnosis, as this patient population is at increased risk for acquiring Toxoplasma gondii, the parasite that causes CNS toxoplasmosis.
Additionally, the CT scan of the brain reveals findings that are consistent with CNS toxoplasmosis, including a single, ring-enhancing lesion in the right temporal lobe. This type of lesion is a hallmark of CNS toxoplasmosis and helps differentiate it from other CNS lesions, such as glioblastoma multiforme, which typically present with multiple, heterogeneously enhancing lesions.
The patient's anemia, elevated erythrocyte sedimentation rate, and high percentage of lymphocytes also support the diagnosis of CNS toxoplasmosis. This differential is ruled out by the patient's normal metabolic panel and lack of neck stiffness, which are not typically associated with subarachnoid hemorrhage. Additionally, the absence of known risk factors for tuberculosis, a normal temperature, and lack of pupillary abnormalities make CNS lymphoma unlikely.
In conclusion, the patient's symptoms and laboratory findings, in combination with his social history and imaging findings, support the diagnosis of CNS toxoplasmosis.</t>
  </si>
  <si>
    <t>A 17-Year-Old With Hallucinations About Martians and Paranoia</t>
  </si>
  <si>
    <t>https://reference.medscape.com/viewarticle/959268</t>
  </si>
  <si>
    <r>
      <rPr>
        <sz val="10"/>
        <color rgb="FF000000"/>
        <rFont val="Roboto"/>
      </rPr>
      <t xml:space="preserve">Wilson disease
Thyrotoxicosis
Nicotine use disorder
Bipolar 1 disorder
</t>
    </r>
    <r>
      <rPr>
        <b/>
        <sz val="10"/>
        <color rgb="FF000000"/>
        <rFont val="Roboto"/>
      </rPr>
      <t>Schizophrenia</t>
    </r>
  </si>
  <si>
    <t>Bipolar 1 disorder</t>
  </si>
  <si>
    <t>The most likely diagnosis based on these findings is Bipolar 1 Disorder.
The patient's symptoms of hallucinations, delusions, and paranoia for more than 6 months, acute excitability, and flat affect are consistent with symptoms of bipolar disorder. The patient's history of an acute depressive episode 3 years ago and the presence of bipolar disorder in his paternal grandmother further support this diagnosis.
Additionally, the patient's history of recreational use of marijuana 7 months earlier and smoking cigarettes for the past year suggests a potential trigger for the onset of his symptoms, as substance use can trigger manic episodes in individuals with bipolar disorder.
The results of the laboratory workup, including the negative results of the urine drug test, normal CBC count, vitamin B12 levels, renal and liver function tests, normal TSH and T3/T4 levels, and normal copper levels, help to rule out metabolic and drug-induced psychoses, hyperthyroidism-induced psychosis, and Wilson disease as possible causes of his symptoms. The normal CT scan also rules out the presence of an intracranial mass or increased intracranial pressure.
Overall, the clinical presentation and results of the laboratory workup are most consistent with a diagnosis of Bipolar 1 Disorder.</t>
  </si>
  <si>
    <t>moderate cognitive load</t>
  </si>
  <si>
    <t>A 30-Year-Old With a Full-Body Rash, Vomiting, and Confusion</t>
  </si>
  <si>
    <t>https://reference.medscape.com/viewarticle/861792</t>
  </si>
  <si>
    <r>
      <rPr>
        <sz val="10"/>
        <color rgb="FF000000"/>
        <rFont val="Roboto"/>
      </rPr>
      <t xml:space="preserve">Toxic shock syndrome
</t>
    </r>
    <r>
      <rPr>
        <b/>
        <sz val="10"/>
        <color rgb="FF000000"/>
        <rFont val="Roboto"/>
      </rPr>
      <t xml:space="preserve">Waterhouse-Friderichsen syndrome
</t>
    </r>
    <r>
      <rPr>
        <sz val="10"/>
        <color rgb="FF000000"/>
        <rFont val="Roboto"/>
      </rPr>
      <t xml:space="preserve">Acute necrotizing pancreatitis
Acute respiratory distress syndrome
</t>
    </r>
  </si>
  <si>
    <t>Toxic shock syndrome</t>
  </si>
  <si>
    <t>The most likely diagnosis based on the findings is toxic shock syndrome (TSS). The differential diagnosis of TSS includes acute respiratory distress syndrome (ARDS), waterhouse-friderichsen syndrome, and acute necrotizing pancreatitis, but the findings in this patient do not support these diagnoses.
The rationale for TSS as the most likely diagnosis is as follows:
The patient presents with malaise, diffuse myalgia, and a rash all over her body, which are classic symptoms of TSS.
The patient's tachycardia and hypotension are consistent with circulatory shock, a hallmark of TSS.
The elevated white blood cell count, elevated myoglobin and creatine kinase concentrations, high C-reactive protein level, elevated partial thromboplastin time, and elevated international normalized ratio support the presence of a systemic inflammatory response, which is seen in TSS.
The elevated D-dimer value and the elevated lactate level suggest microvascular thrombosis and tissue hypoperfusion, respectively, both of which are hallmarks of TSS.
These findings do not support ARDS, waterhouse-friderichsen syndrome, or acute necrotizing pancreatitis as the most likely diagnosis. ARDS is characterized by respiratory distress, but the patient does not have any evidence of this. Waterhouse-friderichsen syndrome is a form of meningococcemia that is associated with severe bleeding into the adrenal glands, but the patient does not have any evidence of adrenal insufficiency or disseminated intravascular coagulation, which are typical findings in this syndrome. Acute necrotizing pancreatitis is characterized by severe abdominal pain, but the patient does not have any evidence of this.
In conclusion, the findings in this patient are most consistent with TSS, and further diagnostic testing and management should focus on this diagnosis.</t>
  </si>
  <si>
    <t>false, positive</t>
  </si>
  <si>
    <t>An Adopted 42-Year-Old With Slurred Speech and Memory Loss</t>
  </si>
  <si>
    <t>https://reference.medscape.com/viewarticle/958256</t>
  </si>
  <si>
    <r>
      <rPr>
        <sz val="10"/>
        <color rgb="FF000000"/>
        <rFont val="Roboto"/>
      </rPr>
      <t xml:space="preserve">Lambert-Eaton myasthenic syndrome
Multiple sclerosis
</t>
    </r>
    <r>
      <rPr>
        <b/>
        <sz val="10"/>
        <color rgb="FF000000"/>
        <rFont val="Roboto"/>
      </rPr>
      <t>Myasthenia gravis</t>
    </r>
    <r>
      <rPr>
        <sz val="10"/>
        <color rgb="FF000000"/>
        <rFont val="Roboto"/>
      </rPr>
      <t xml:space="preserve">
Amyotrophic lateral sclerosis</t>
    </r>
  </si>
  <si>
    <t>Myasthenia gravis</t>
  </si>
  <si>
    <t>Based on the patient's history, physical examination, and workup, the most likely diagnosis is myasthenia gravis. The patient presents with dysarthria, dysphagia, and respiratory difficulties, which are hallmark symptoms of myasthenia gravis. The bulbar muscle weakness and ptosis noted on the neurologic examination are also consistent with this diagnosis. The presence of fluctuating symptoms, which improve with rest, is also a classic finding in myasthenia gravis.
The results of the CT of the head and MRI of the brain and metabolic panel, blood cell count, and urinalysis are all unremarkable, which rules out other diagnoses such as multiple sclerosis or amyotrophic lateral sclerosis. The arterial blood gas values are consistent with respiratory distress but do not provide a definitive diagnosis.
The CT and MRI of the brain findings are also normal, which would be unlikely in Lambert-Eaton myasthenic syndrome, a condition characterized by pre-synaptic defect in the neuromuscular junction that is typically associated with malignancy. The normal cerebellar testing results also support the diagnosis of myasthenia gravis as opposed to Lambert-Eaton myasthenic syndrome.
In conclusion, the patient's clinical presentation, including symptoms, physical examination, and workup results, are most consistent with the diagnosis of myasthenia gravis. Further testing, such as serologic or electrophysiologic studies, may be necessary to confirm the diagnosis.</t>
  </si>
  <si>
    <t>low cognitive load</t>
  </si>
  <si>
    <t>A 26-Year-Old With Fever and Malaise Now Can't Tie His Shoes</t>
  </si>
  <si>
    <t>https://reference.medscape.com/viewarticle/855223</t>
  </si>
  <si>
    <r>
      <rPr>
        <b/>
        <sz val="10"/>
        <color rgb="FF000000"/>
        <rFont val="Roboto"/>
      </rPr>
      <t xml:space="preserve">Ankylosing spondylitis
</t>
    </r>
    <r>
      <rPr>
        <sz val="10"/>
        <color rgb="FF000000"/>
        <rFont val="Roboto"/>
      </rPr>
      <t>Spinal stenosis
Psoriatic arthritis
Diffuse idiopathic skeletal hyperostosis</t>
    </r>
  </si>
  <si>
    <t>Ankylosing soibdtkutus</t>
  </si>
  <si>
    <t>The most likely diagnosis based on the patient's symptoms and physical examination findings is Ankylosing spondylitis. The patient presents with lower back pain and stiffness that is worse in the morning, improves with activity, and worsens after rest, consistent with a type of inflammatory arthritis. The patient also reports a several-month history of low-grade fever, malaise, and anorexia, which are all consistent with the symptoms of Ankylosing spondylitis. The decreased range of motion and pain with rotation and lateral flexion at the lumbar spine upon physical examination are also characteristic of this condition.
Additionally, the positive finding for HLA-B27, a genetic marker for Ankylosing spondylitis, supports this diagnosis. The erythrocyte sedimentation rate of 64 mm/hr, which is elevated, is also consistent with an inflammatory condition like Ankylosing spondylitis. The negative rheumatoid factor test rules out the possibility of rheumatoid arthritis.
The radiographs of the lumbar spine show signs of bony proliferation in the sacroiliac joints, which is a characteristic finding in Ankylosing spondylitis. The lack of stenosis or compression of the spinal canal, which would be seen in spinal stenosis, also supports a diagnosis of Ankylosing spondylitis. The absence of skin involvement and a negative test for psoriatic arthritis also rules out psoriatic arthritis as a possibility.
In conclusion, the patient's symptoms and physical examination findings, positive HLA-B27, elevated erythrocyte sedimentation rate, and radiographic findings are all consistent with a diagnosis of Ankylosing spondylitis, while the negative test results for rheumatoid arthritis and psoriatic arthritis and the absence of spinal stenosis or compression of the spinal canal rule out other possibilities.</t>
  </si>
  <si>
    <t>Decreased Speech and Jerky Eye Movements in a 'Clumsy' Toddler</t>
  </si>
  <si>
    <t>https://reference.medscape.com/viewarticle/957245</t>
  </si>
  <si>
    <r>
      <rPr>
        <sz val="10"/>
        <color rgb="FF000000"/>
        <rFont val="Roboto"/>
      </rPr>
      <t xml:space="preserve">Lead-related neurotoxicity
Sydenham (rheumatic) chorea
Postviral cerebellar ataxia
</t>
    </r>
    <r>
      <rPr>
        <b/>
        <sz val="10"/>
        <color rgb="FF000000"/>
        <rFont val="Roboto"/>
      </rPr>
      <t>Opsoclonus-myoclonus ataxia syndrome</t>
    </r>
  </si>
  <si>
    <r>
      <rPr>
        <sz val="10"/>
        <color rgb="FF000000"/>
        <rFont val="Roboto"/>
      </rPr>
      <t xml:space="preserve">
</t>
    </r>
    <r>
      <rPr>
        <sz val="10"/>
        <color rgb="FF000000"/>
        <rFont val="Roboto"/>
      </rPr>
      <t>Opsoclonus-myoclonus ataxia syndrome</t>
    </r>
  </si>
  <si>
    <t>The most likely diagnosis based on the findings is Opsoclonus-Myoclonus Ataxia Syndrome (OMAS). This diagnosis is supported by the presence of irritability, decreased speech, clumsiness, unsteady ataxic gait, and intermittent conjugate jerky eye movements, which are all hallmark symptoms of OMAS. The normal results from the CT scan of the brain, abdominal ultrasound, lumbar puncture, and MRI scan of the brain with contrast help to rule out other possibilities such as a brain tumor, hydrocephalus, or intracranial bleeding. Additionally, the normal results of the routine urine examination, serum electrolyte and liver enzyme levels, and normal VMA level rule out heavy metal poisoning, which is a potential cause of lead-related neurotoxicity.
Furthermore, the absence of a history of weight loss, fever, headache, rashes, joint swelling, pallor, or bruising, as well as normal results from the complete blood cell count, support the diagnosis of OMAS. Sydenham (rheumatic) chorea is also a possibility but is less likely based on the presence of ataxia and eye movements, which are not typically seen in this condition. The normal results from the lumbar puncture also help to rule out postviral cerebellar ataxia, which is associated with elevated levels of protein in the cerebrospinal fluid.
Overall, the findings from the physical examination, workup, and laboratory results support a diagnosis of OMAS.</t>
  </si>
  <si>
    <t>A 50-Year-Old With Telangiectasia, Cough, and Epistaxis</t>
  </si>
  <si>
    <t>https://reference.medscape.com/viewarticle/852434</t>
  </si>
  <si>
    <r>
      <rPr>
        <sz val="10"/>
        <color rgb="FF000000"/>
        <rFont val="Roboto"/>
      </rPr>
      <t xml:space="preserve">Dermatomyositis
von Willebrand disease
</t>
    </r>
    <r>
      <rPr>
        <b/>
        <sz val="10"/>
        <color rgb="FF000000"/>
        <rFont val="Roboto"/>
      </rPr>
      <t>Osler-Weber-Rendu syndrome</t>
    </r>
    <r>
      <rPr>
        <sz val="10"/>
        <color rgb="FF000000"/>
        <rFont val="Roboto"/>
      </rPr>
      <t xml:space="preserve">
Louis-Bar syndrome</t>
    </r>
  </si>
  <si>
    <t>Dermatomyositis</t>
  </si>
  <si>
    <t>Based on the patient's clinical presentation and laboratory findings, the most likely condition responsible for her abnormal skin findings is Dermatomyositis.
Rationale: Dermatomyositis is a type of autoimmune inflammatory myopathy that is characterized by skin and muscle involvement. The skin manifestations of Dermatomyositis typically include a distinctive heliotrope rash (purple discoloration) on the eyelids, Gottron's papules (raised red or violaceous skin lesions over the knuckles, elbows, and knees), and calcinosis cutis (calcium deposits in the skin). The presence of these skin findings, as seen in Figures 1-3, suggests a diagnosis of Dermatomyositis.
In addition, the patient's laboratory findings, such as an increased white blood cell count and a microcytic, hypochromic anemia, support the differential of Dermatomyositis. Anemia and leukocytosis are often seen in autoimmune disorders.
The presence of other medical conditions such as COPD, hypertension, seizures, and depression does not rule out a diagnosis of Dermatomyositis.
von Willebrand disease is a bleeding disorder that can present with epistaxis and easy bruising, but it does not typically cause skin findings. Osler-Weber-Rendu syndrome is a hereditary disorder characterized by multiple telangiectasias (dilated small blood vessels), but it does not typically cause skin findings or anemia. Louis-Bar syndrome is a rare genetic disorder that can cause ataxia and intellectual disability, but it does not typically cause skin findings or anemia.
Thus, the combination of the patient's skin findings, anemia, and leukocytosis makes Dermatomyositis the most likely diagnosis.</t>
  </si>
  <si>
    <t>After Travel, a 50-Year-Old Grandfather Has Dyspnea, Fever</t>
  </si>
  <si>
    <t>https://reference.medscape.com/viewarticle/955983</t>
  </si>
  <si>
    <r>
      <rPr>
        <sz val="10"/>
        <color rgb="FF000000"/>
        <rFont val="Roboto"/>
      </rPr>
      <t xml:space="preserve">Acute myocardial infarction
Perforation of peptic ulcer
Hypertensive urgency
</t>
    </r>
    <r>
      <rPr>
        <b/>
        <sz val="10"/>
        <color rgb="FF000000"/>
        <rFont val="Roboto"/>
      </rPr>
      <t xml:space="preserve">Acute peritonitis
</t>
    </r>
    <r>
      <rPr>
        <sz val="10"/>
        <color rgb="FF000000"/>
        <rFont val="Roboto"/>
      </rPr>
      <t>Acute pericarditis</t>
    </r>
  </si>
  <si>
    <t>Acute peritonitis</t>
  </si>
  <si>
    <t>Based on the provided information, the most likely diagnosis is Acute Peritonitis.
Rationale:
The patient presents with 4-day history of epigastric pain which has worsened over time and is accompanied by shortness of breath, nausea, and fever. Physical examination reveals diffuse tenderness, guarding, and positive rebound tenderness in the abdomen, with elevated WBC count and decreased lymphocytes. The patient also has a PD catheter in place, which could be a source of infection. These findings suggest an abdominal infection, likely in the peritoneal cavity given the presence of the PD catheter.
Elevated BNP levels, mild pleural effusion seen on chest radiography, and increased BUN and creatinine levels suggest cardiac and renal involvement, which are common in cases of peritonitis due to sepsis. The elevated D-dimer level also supports this diagnosis.
The negative Murphy sign also suggests acute peritonitis, as a positive sign could indicate biliary or hepatic disease. The patient's elevated blood pressure and T-wave changes on ECG could be due to the elevated catecholamines and cytokines seen in sepsis.
These findings rule out the other options, as there is no evidence of a myocardial infarction (normal troponin, T-wave changes rather than ST-segment elevation), perforation of peptic ulcer (no history of peptic ulcer disease, negative Murphy sign), or hypertensive urgency (abdominal pain, tenderness, and elevated WBC count, which are not typical of hypertensive urgency).</t>
  </si>
  <si>
    <t>A 28-Year-Old Soccer Player With Odd Abdominal Pain, Fatigue</t>
  </si>
  <si>
    <t>https://reference.medscape.com/viewarticle/846861</t>
  </si>
  <si>
    <r>
      <rPr>
        <sz val="10"/>
        <color rgb="FF000000"/>
        <rFont val="Roboto"/>
      </rPr>
      <t xml:space="preserve">Perirectal abscess
Ruptured diverticulum of the urinary bladder
Primary sarcoma of the pubic tubercle
</t>
    </r>
    <r>
      <rPr>
        <b/>
        <sz val="10"/>
        <color rgb="FF000000"/>
        <rFont val="Roboto"/>
      </rPr>
      <t>Osteomyelitis pubis</t>
    </r>
    <r>
      <rPr>
        <sz val="10"/>
        <color rgb="FF000000"/>
        <rFont val="Roboto"/>
      </rPr>
      <t xml:space="preserve">
</t>
    </r>
  </si>
  <si>
    <t>Osteomyelitis pubis.</t>
  </si>
  <si>
    <t>Based on these findings, the most likely diagnosis is Osteomyelitis pubis. The rationale is as follows:
The patient presents with lower abdominal pain, myalgia, low-grade fever, and positive blood culture for Staphylococcus aureus, all of which are consistent with osteomyelitis.
The location of the area of inflammation deep to the pubic symphysis, as demonstrated on CT and MRI, supports the diagnosis of osteomyelitis pubis. The pubic symphysis is a common site for osteomyelitis, especially in young, otherwise healthy individuals.
The patient's occupational exposure to raw animal manure and recent episode of diarrhea and vomiting suggest a possible source of infection, which could have spread to the pubic symphysis.
The negative results of leptospirosis laboratory examination and normal abdominal and chest radiographs suggest that the other diagnoses, such as perirectal abscess or ruptured diverticulum of the urinary bladder, are unlikely.
Thus, based on the patient's symptoms, physical examination findings, laboratory test results, and imaging studies, Osteomyelitis pubis is the most likely diagnosis.</t>
  </si>
  <si>
    <t>A 47-Year-Old With Diplopia, Limb Tingling, and Imbalance</t>
  </si>
  <si>
    <t>https://reference.medscape.com/viewarticle/955518</t>
  </si>
  <si>
    <r>
      <rPr>
        <sz val="10"/>
        <color rgb="FF000000"/>
        <rFont val="Roboto"/>
      </rPr>
      <t xml:space="preserve">Guillain-Barré syndrome
</t>
    </r>
    <r>
      <rPr>
        <b/>
        <sz val="10"/>
        <color rgb="FF000000"/>
        <rFont val="Roboto"/>
      </rPr>
      <t>Miller Fisher syndrome</t>
    </r>
    <r>
      <rPr>
        <sz val="10"/>
        <color rgb="FF000000"/>
        <rFont val="Roboto"/>
      </rPr>
      <t xml:space="preserve">
Charcot-Marie-Tooth disease
Myasthenia gravis
Botulism</t>
    </r>
  </si>
  <si>
    <t>Guillain-Barré syndrome</t>
  </si>
  <si>
    <t>The most likely diagnosis is Guillain-Barré syndrome (GBS).
The patient presents with diplopia, tingling in the lower extremities, impaired gait and balance issues, all of which are common symptoms of GBS. The absence of pain, fever, headache, and fatigue is also consistent with GBS. The mild progression of symptoms since onset and the normal cerebrospinal fluid analysis also support a diagnosis of GBS.
The MRI of the brain and the T1-weighted MRI scan of the spine being normal rules out Charcot-Marie-Tooth disease, which is a neuropathy that affects the peripheral nerves and often causes muscle weakness and wasting in the extremities. The normal comprehensive metabolic panel and blood urea nitrogen/creatinine ratio rules out botulism, which is caused by a neurotoxin produced by the bacterium Clostridium botulinum and results in muscle weakness, particularly in the cranial nerves.
The presence of mild tingling in the lower extremities, as well as the impaired gait and balance, would rule out Miller Fisher syndrome, which is a variant of GBS and primarily affects the cranial nerves with less involvement of the peripheral nerves.
The absence of fatigue, which is a common symptom of myasthenia gravis, an autoimmune disorder that causes muscle weakness, further supports a diagnosis of GBS.
In conclusion, the patient's symptoms and findings from the physical examination, workup, and MRI scans point towards a diagnosis of Guillain-Barré syndrome.</t>
  </si>
  <si>
    <t>A 40-Year-Old Man With Painful, Rupturing Lesions</t>
  </si>
  <si>
    <t>https://reference.medscape.com/viewarticle/860310</t>
  </si>
  <si>
    <r>
      <rPr>
        <sz val="10"/>
        <color rgb="FF000000"/>
        <rFont val="Roboto"/>
      </rPr>
      <t xml:space="preserve">Granuloma inguinale
Lymphogranuloma venereum
Cutaneous Crohn disease
</t>
    </r>
    <r>
      <rPr>
        <b/>
        <sz val="10"/>
        <color rgb="FF000000"/>
        <rFont val="Roboto"/>
      </rPr>
      <t>Hidradenitis suppurativa</t>
    </r>
    <r>
      <rPr>
        <sz val="10"/>
        <color rgb="FF000000"/>
        <rFont val="Roboto"/>
      </rPr>
      <t xml:space="preserve">
Recurrent furunculosis
</t>
    </r>
  </si>
  <si>
    <t>Hidradenitis suppurativa</t>
  </si>
  <si>
    <t>The most likely diagnosis based on the patient's history and physical examination findings is Hidradenitis suppurativa (HS).
The presence of recurrent painful nodules on the bilateral buttocks, gluteal cleft, and medial aspect of the upper thighs that often rupture and result in sinus tracts or scarring is a classic finding in HS. The presence of sinus tracts with purulent material, mixed inflammatory infiltrate composed of lymphocytes, histiocytes, and plasma cells, and focal collections of neutrophils observed in the punch biopsy supports the diagnosis of HS.
The patient's lack of arthralgia, gastrointestinal or genitourinary symptoms, and fever or chills, as well as normal body mass index and lack of a family history of similar lesions, rules out other differential diagnoses such as Cutaneous Crohn disease. Additionally, the absence of facial or back acne, pseudofolliculitis barbae, or dissecting scalp folliculitis further supports the diagnosis of HS over Recurrent furunculosis.
The findings in the punch biopsy and lack of a positive tissue culture result rule out Granuloma inguinale, and Lymphogranuloma venereum is an unlikely diagnosis given the patient's absence of genital involvement and lack of a history of sexually transmitted infections.
In conclusion, based on the patient's history, physical examination, and biopsy findings, the most likely diagnosis is Hidradenitis suppurativa.</t>
  </si>
  <si>
    <t>A 53-Year-Old Social Media Worker With Dysphonia and Paresis</t>
  </si>
  <si>
    <t>https://reference.medscape.com/viewarticle/954850</t>
  </si>
  <si>
    <r>
      <rPr>
        <sz val="10"/>
        <color rgb="FF000000"/>
        <rFont val="Roboto"/>
      </rPr>
      <t xml:space="preserve">Tolosa-Hunt syndrome
Guillain-Barré syndrome
Tick paralysis
</t>
    </r>
    <r>
      <rPr>
        <b/>
        <sz val="10"/>
        <color rgb="FF000000"/>
        <rFont val="Roboto"/>
      </rPr>
      <t xml:space="preserve">Foodborne botulism
</t>
    </r>
  </si>
  <si>
    <t>Tick paralysis</t>
  </si>
  <si>
    <t>The most likely diagnosis is Tick paralysis.
The patient's presentation of progressive symptoms including visual blurriness, xerostomia, abdominal pain, double vision, and difficulty speaking along with shortness of breath, low heart rate, respiratory acidosis, and bilateral ptosis, dysphonia, dysarthria, and cranial nerve VI paresis all suggest a tick-borne illness. The lack of other symptoms such as fever, nausea, vomiting, constipation, diarrhea, urinary symptoms, or evidence of mechanical obstruction on CT scans, along with normal results on complete blood cell count, comprehensive metabolic panel, and urinalysis, further support this diagnosis. Additionally, the fact that the patient and her family have been living in isolation, without recent travel or hospitalization, raises the possibility of exposure to ticks in their local environment.
The other diagnoses, such as Tolosa-Hunt syndrome, Guillain-Barré syndrome, and Foodborne botulism, could also present with some of the symptoms seen in the patient, but they would typically have other associated symptoms or findings that are not present in this case. For example, Tolosa-Hunt syndrome typically presents with headache, pain and swelling around the eye, and vision changes, while Guillain-Barré syndrome presents with a rapidly progressive symmetrical weakness of the limbs, areflexia, and ascending paralysis. Foodborne botulism can cause symptoms such as double vision, dry mouth, and difficulty speaking, but it typically presents with symptoms such as nausea, vomiting, and abdominal pain, which are not present in this patient.
Thus, based on these findings, Tick paralysis is the most likely diagnosis.</t>
  </si>
  <si>
    <t>After a Wild Party, a 24-Year-Old Has Intense Abdominal Pain</t>
  </si>
  <si>
    <t>https://reference.medscape.com/viewarticle/954084</t>
  </si>
  <si>
    <r>
      <rPr>
        <sz val="10"/>
        <color rgb="FF000000"/>
        <rFont val="Roboto"/>
      </rPr>
      <t xml:space="preserve">Nephrolithiasis with spontaneous stone passage
Cocaine-induced intestinal ischemia
Acute hepatitis
</t>
    </r>
    <r>
      <rPr>
        <b/>
        <sz val="10"/>
        <color rgb="FF000000"/>
        <rFont val="Roboto"/>
      </rPr>
      <t>Acute renal infarction</t>
    </r>
    <r>
      <rPr>
        <sz val="10"/>
        <color rgb="FF000000"/>
        <rFont val="Roboto"/>
      </rPr>
      <t xml:space="preserve">
Pyelonephritis</t>
    </r>
  </si>
  <si>
    <t>Cocaine-induced intestinal ischemia</t>
  </si>
  <si>
    <t>The most likely diagnosis is Cocaine-induced intestinal ischemia based on the patient's history of recent recreational intranasal cocaine use, the sudden onset of right lower quadrant abdominal pain, nausea, and vomiting, and the presence of significant abdominal tenderness in the right lower quadrant without guarding or rebound tenderness. Cocaine use has been associated with the development of abdominal pain and ischemia of the intestines, which can present as an acute abdomen.
The elevated creatinine level and eGFR value suggest possible renal impairment, which could also be associated with cocaine use, but the presence of abdominal pain and tenderness as well as the absence of other signs of nephrolithiasis (such as hematuria or radiating pain to the groin) makes nephrolithiasis with spontaneous stone passage unlikely. The elevated aspartate aminotransferase and alanine aminotransferase levels could suggest hepatitis, but the absence of other findings such as jaundice, hepatomegaly, or an abnormal liver function test makes acute hepatitis unlikely. The absence of findings such as fever, pyuria, or costovertebral angle tenderness makes acute renal infarction and pyelonephritis unlikely as well.
In conclusion, the patient's history of recent cocaine use and the presence of abdominal pain and tenderness, as well as the absence of findings to suggest other diagnoses, make Cocaine-induced intestinal ischemia the most likely diagnosis. Further investigations such as endoscopic or angiographic evaluation may be necessary to confirm the diagnosis and guide appropriate management.</t>
  </si>
  <si>
    <t>An Accountant Who Loves Aerobics With Hiccups and Incoordination</t>
  </si>
  <si>
    <t>https://reference.medscape.com/viewarticle/731206</t>
  </si>
  <si>
    <r>
      <rPr>
        <sz val="10"/>
        <color rgb="FF000000"/>
        <rFont val="Roboto"/>
      </rPr>
      <t xml:space="preserve">Right-sided lateral pontine stroke (ie, Marie-Foix syndrome)
</t>
    </r>
    <r>
      <rPr>
        <b/>
        <sz val="10"/>
        <color rgb="FF000000"/>
        <rFont val="Roboto"/>
      </rPr>
      <t>Right-sided lateral medullary stroke (ie, Wallenberg syndrome)</t>
    </r>
    <r>
      <rPr>
        <sz val="10"/>
        <color rgb="FF000000"/>
        <rFont val="Roboto"/>
      </rPr>
      <t xml:space="preserve">
Right-sided medial medullary stroke (ie, Dejerine syndrome)
Right-sided hemi-medullary stroke (ie, Babinski-Nageotte syndrome)
Left-sided medial medullary stroke
</t>
    </r>
  </si>
  <si>
    <t>right-sided lateral medullary stroke (ie, Wallenberg syndrome)</t>
  </si>
  <si>
    <t>The most likely diagnosis based on the patient's symptoms and examination findings is right-sided lateral medullary stroke (ie, Wallenberg syndrome).
The rationale for this diagnosis is as follows:
The patient's symptoms, including dizziness, feeling of discomfort in the throat, burning sensation in the left arm and leg, and difficulty moving her right arm and leg in a coordinated manner, suggest a disturbance in the brainstem.
The physical examination findings, including right-sided ptosis, miosis, sustained horizontal gaze-evoked nystagmus with a downbeating nystagmus on downward gaze, decreased sensation of pinprick and temperature on the right side of the face, reduced movement of the palate, and diminished gag reflex on the right side, are consistent with Wallenberg syndrome, which is caused by a stroke in the lateral medulla.
The absence of a Babinski sign and normal deep tendon reflexes also support the diagnosis of Wallenberg syndrome, as this syndrome is characterized by intact reflexes.
The findings that rule out the other diagnoses are:
Right-sided lateral pontine stroke (ie, Marie-Foix syndrome): This diagnosis is ruled out because the patient has normal sensation to pinprick and temperature on the right side of the face, which is inconsistent with Marie-Foix syndrome, which is characterized by decreased sensation on the ipsilateral side of the face.
Right-sided medial medullary stroke (ie, Dejerine syndrome): This diagnosis is ruled out because the patient does not have any weakness or sensory loss in the tongue, which is a key feature of Dejerine syndrome.
Right-sided hemi-medullary stroke (ie, Babinski-Nageotte syndrome): This diagnosis is ruled out because the patient does not have any weakness or sensory loss in the lower extremities, which is a key feature of Babinski-Nageotte syndrome.
Left-sided medial medullary stroke: This diagnosis is ruled out because the patient's symptoms and examination findings are all consistent with a right-sided lesion, and there is no evidence of any involvement of the left side.</t>
  </si>
  <si>
    <t>A Woman With DVT After a Flight, Anemia, and Bowel Changes</t>
  </si>
  <si>
    <t>https://reference.medscape.com/viewarticle/855224</t>
  </si>
  <si>
    <r>
      <rPr>
        <sz val="10"/>
        <color rgb="FF000000"/>
        <rFont val="Roboto"/>
      </rPr>
      <t xml:space="preserve">Crohn disease
Ischemic colitis
Pseudomembranous colitis
</t>
    </r>
    <r>
      <rPr>
        <b/>
        <sz val="10"/>
        <color rgb="FF000000"/>
        <rFont val="Roboto"/>
      </rPr>
      <t>Ulcerative colitis</t>
    </r>
    <r>
      <rPr>
        <sz val="10"/>
        <color rgb="FF000000"/>
        <rFont val="Roboto"/>
      </rPr>
      <t xml:space="preserve">
Colon cancer</t>
    </r>
  </si>
  <si>
    <r>
      <rPr>
        <sz val="10"/>
        <color rgb="FF000000"/>
        <rFont val="Roboto"/>
      </rPr>
      <t xml:space="preserve">
</t>
    </r>
    <r>
      <rPr>
        <sz val="10"/>
        <color rgb="FF000000"/>
        <rFont val="Roboto"/>
      </rPr>
      <t>Ulcerative colitis</t>
    </r>
  </si>
  <si>
    <t>Based on the given findings, the most likely diagnosis is Ulcerative colitis.
Rationale: The patient presents with symptoms such as increased bowel movements and bloating, which are commonly associated with inflammatory bowel disease (IBD). The colonoscopy findings of a continuous edematous, hyperemic, and friable mucosa of a granular pattern in the rectosigmoid, as well as a typical gross appearance of disease, further supports the diagnosis of IBD. The patient's mild anemia and elevated C-reactive protein level are also consistent with IBD. Additionally, the patient's history of a daughter being diagnosed with ulcerative colitis and the absence of blood or mucus in the stool suggest ulcerative colitis as the specific subtype of IBD.
Findings that rule out other diagnoses: The absence of blood or mucus in the stool and the negative results of stool examination for C. difficile toxin rule out pseudomembranous colitis. The absence of ischemic changes in the colon and rectal examination findings rule out ischemic colitis. The absence of a mass in the colon and negative urinalysis rule out colon cancer. The absence of recent travel or antibiotic use and negative results of stool examination for ova and parasite rule out Crohn disease.</t>
  </si>
  <si>
    <t>A 37-Year-Old Man With Chest Pain and Elbow/Eyelid Papules</t>
  </si>
  <si>
    <t>https://reference.medscape.com/viewarticle/953529</t>
  </si>
  <si>
    <r>
      <rPr>
        <sz val="10"/>
        <color rgb="FF000000"/>
        <rFont val="Roboto"/>
      </rPr>
      <t xml:space="preserve">Familial hypercholesterolemia
Hypertriglyceridemia due to poorly controlled diabetes
Hypertriglyceridemia due to a nonfasting state
</t>
    </r>
    <r>
      <rPr>
        <b/>
        <sz val="10"/>
        <color rgb="FF000000"/>
        <rFont val="Roboto"/>
      </rPr>
      <t>Lipoprotein lipase deficiency</t>
    </r>
  </si>
  <si>
    <r>
      <rPr>
        <sz val="10"/>
        <color rgb="FF000000"/>
        <rFont val="Roboto"/>
      </rPr>
      <t xml:space="preserve">
</t>
    </r>
    <r>
      <rPr>
        <sz val="10"/>
        <color rgb="FF000000"/>
        <rFont val="Roboto"/>
      </rPr>
      <t>Familial hypercholesterolemia</t>
    </r>
  </si>
  <si>
    <t>The most likely diagnosis in this case is Familial hypercholesterolemia.
Rationale:
Familial hypercholesterolemia (FH) is a genetic disorder characterized by elevated levels of low-density lipoprotein cholesterol (LDL-C) and an increased risk of premature cardiovascular disease. The patient in this case presents with chest pain and has elevated levels of total cholesterol (417 mg/dL), LDL-C (130 mg/dL), and triglycerides (5077 mg/dL). Additionally, the patient has a family history of myocardial infarction in his grandfather, which is a common manifestation of FH. The physical examination findings, including yellowish papules on the eyelids and elbows, are consistent with xanthomas, which are also a characteristic finding in FH.
The elevated high-sensitivity troponin T level and biphasic T-wave inversions on ECG are consistent with myocardial ischemia, which can occur as a result of the accumulation of LDL-C in the coronary arteries. The finding of a 95% occlusion in the mid-left anterior descending artery is further evidence of atherosclerosis, which is a common complication of FH.
The elevated HbA1c (9.8%) and poor control of diabetes suggest that the patient has poor glycemic control, which can contribute to hypertriglyceridemia. However, the elevated chylomicron levels, decreased alpha-lipoprotein levels, and markedly increased VLDL levels are consistent with an underlying genetic defect in lipid metabolism, which is more suggestive of FH than poorly controlled diabetes.
Therefore, based on the patient's clinical presentation, laboratory findings, and imaging studies, FH is the most likely diagnosis. Further genetic testing is needed to confirm the diagnosis.</t>
  </si>
  <si>
    <t>A Marijuana User With Sudden Chest Pain Radiating to His Neck</t>
  </si>
  <si>
    <t>https://reference.medscape.com/viewarticle/857130</t>
  </si>
  <si>
    <r>
      <rPr>
        <sz val="10"/>
        <color rgb="FF000000"/>
        <rFont val="Roboto"/>
      </rPr>
      <t xml:space="preserve">Pulmonary embolism
</t>
    </r>
    <r>
      <rPr>
        <b/>
        <sz val="10"/>
        <color rgb="FF000000"/>
        <rFont val="Roboto"/>
      </rPr>
      <t xml:space="preserve">Pneumomediastinum
</t>
    </r>
    <r>
      <rPr>
        <sz val="10"/>
        <color rgb="FF000000"/>
        <rFont val="Roboto"/>
      </rPr>
      <t xml:space="preserve">Aortic dissection
Pericarditis
</t>
    </r>
  </si>
  <si>
    <t>Pericarditis</t>
  </si>
  <si>
    <t>The most likely diagnosis is Pericarditis based on the following findings:
The patient's sudden-onset chest pain is located in the mid-substernal region and radiates to the neck, which is characteristic of pericarditis.
The patient describes the pain as sharp and rated it as an 8 on a scale of 1 to 10, which is also consistent with pericarditis.
The chest pain worsens with inspiration, another hallmark of pericarditis.
The physical examination findings, including a normal heart examination with no murmurs or rubs, are not consistent with aortic dissection or pulmonary embolism.
The normal sinus rhythm on the ECG and the normal results on the basic metabolic panel, erythrocyte sedimentation rate, and urine toxicology screen also rule out aortic dissection and pulmonary embolism.
It is important to note that a chest radiograph is not as sensitive as an echocardiogram for diagnosing pericarditis. An echocardiogram would likely provide more definitive evidence of pericarditis if the diagnosis is in question.</t>
  </si>
  <si>
    <t>A Farmer With Diffuse Pruritus and a Suntan That Won't Fade</t>
  </si>
  <si>
    <t>https://reference.medscape.com/viewarticle/952272</t>
  </si>
  <si>
    <r>
      <rPr>
        <sz val="10"/>
        <color rgb="FF000000"/>
        <rFont val="Roboto"/>
      </rPr>
      <t xml:space="preserve">Acute cholecystitis
</t>
    </r>
    <r>
      <rPr>
        <b/>
        <sz val="10"/>
        <color rgb="FF000000"/>
        <rFont val="Roboto"/>
      </rPr>
      <t xml:space="preserve">Cirrhosis
</t>
    </r>
    <r>
      <rPr>
        <sz val="10"/>
        <color rgb="FF000000"/>
        <rFont val="Roboto"/>
      </rPr>
      <t>Cholangiocarcinoma
Hepatocellular carcinoma
Hepatocellular adenoma</t>
    </r>
  </si>
  <si>
    <t>Cirrhosis</t>
  </si>
  <si>
    <t>The most likely diagnosis based on these findings is Cirrhosis.
Rationale:
The patient presents with diffuse pruritus, scleral icterus, and jaundiced skin, all of which can be symptoms of cirrhosis. The laboratory analysis shows elevated bilirubin levels, which is a hallmark of cirrhosis. CT and MRI scans of the abdomen and pelvis show moderate ascites, cirrhotic morphology of the liver, and a mass in the right hepatic lobe that is causing extrinsic compression of the biliary tree, further supporting a diagnosis of cirrhosis. Additionally, the patient's HFE genetic testing reveals a homozygous C282Y mutation, which is a known risk factor for developing hereditary hemochromatosis, a condition that can lead to cirrhosis.
Findings that would rule out other answers:
Negative results for hepatitis B and C virus antibodies rule out acute cholecystitis and cholangiocarcinoma.
The absence of a fever, nausea, or vomiting, and the absence of a history of alcohol or drug use rule out acute cholecystitis.
The presence of a mass in the liver and the findings of cirrhotic morphology on imaging studies rule out hepatocellular adenoma.
The absence of elevated alpha-fetoprotein levels rules out hepatocellular carcinoma.</t>
  </si>
  <si>
    <t>A 28-Year-Old Writer With Bilious Vomiting After Egg Donation</t>
  </si>
  <si>
    <t>https://reference.medscape.com/viewarticle/861022</t>
  </si>
  <si>
    <t>Gastroenteritis
Ovarian hyperstimulation syndrome
First Crohn disease exacerbation
Clostridium difficile infection
Pyelonephritis
Diverticulitis</t>
  </si>
  <si>
    <t>Ovarian hyperstimulation syndrome</t>
  </si>
  <si>
    <t>Based on the patient's presentation of 14 hours of non-bloody bilious emesis, constant abdominal cramping along the lower abdomen, and new onset of watery non-bloody diarrhea, it is most likely that the patient has Ovarian Hyperstimulation Syndrome (OHSS). The patient's recent history of being an anonymous egg donor and undergoing oocyte retrieval just 3 days ago supports this diagnosis. The patient's limited deep inhalation and soft, diffusely tender abdomen without rebound or guarding on physical examination are also consistent with OHSS.
OHSS is a complication that can occur after controlled ovarian stimulation (COS) and oocyte retrieval, which is used in fertility treatments. It is characterized by fluid accumulation in the abdominal and thoracic cavities, which can cause abdominal distension, nausea, vomiting, and diarrhea. The presence of a soft, diffusely tender abdomen on physical examination supports this diagnosis.
In addition, the patient's elevated white blood cell count (14.4 x 103 cells/µL) and neutrophil count (92.1%) suggest an inflammatory response, which is also consistent with OHSS. The patient's albumin level being low (3.1 g/dL) is another indicator of fluid accumulation, which is a hallmark of OHSS.
The other diagnostic options listed are unlikely based on the patient's presentation and history. Gastroenteritis, Clostridium difficile infection, and Pyelonephritis would likely present with more pronounced fever, abdominal pain, and systemic symptoms than what the patient is experiencing. Diverticulitis would typically present with pain localizing to the left lower quadrant of the abdomen, which is not what the patient is experiencing. The patient's recent oocyte retrieval and history of infertility treatments make it unlikely that this is the first Crohn disease exacerbation.
In conclusion, based on the patient's presentation and history, the most likely diagnosis is Ovarian Hyperstimulation Syndrome.</t>
  </si>
  <si>
    <t>A 35-Year-Old Soldier With Galactorrhea and Amenorrhea</t>
  </si>
  <si>
    <t>https://reference.medscape.com/viewarticle/951403</t>
  </si>
  <si>
    <r>
      <rPr>
        <sz val="10"/>
        <color rgb="FF000000"/>
        <rFont val="Roboto"/>
      </rPr>
      <t xml:space="preserve">Cushing syndrome
Pituitary adenoma
Female athlete triad
Premature ovarian failure
</t>
    </r>
    <r>
      <rPr>
        <b/>
        <sz val="10"/>
        <color rgb="FF000000"/>
        <rFont val="Roboto"/>
      </rPr>
      <t>Hashimoto thyroiditis</t>
    </r>
  </si>
  <si>
    <t>Pituitary adenoma</t>
  </si>
  <si>
    <t>The most likely diagnosis based on the findings in this case is a pituitary adenoma. This is due to several factors, including the patient's galactorrhea, amenorrhea, elevated prolactin level, normal levels of FSH and LH, and the presence of a mass in the sella turcica on MRI.
Galactorrhea is a common symptom of hyperprolactinemia, which can be caused by a pituitary adenoma. Amenorrhea can also be a result of elevated prolactin levels, as high prolactin levels can inhibit gonadotropin-releasing hormone, leading to decreased levels of FSH and LH and eventual amenorrhea. In this case, the patient's elevated prolactin level of 94 ng/mL supports the diagnosis of a pituitary adenoma.
The normal levels of FSH and LH further support the diagnosis of a pituitary adenoma, as these hormones are usually suppressed in cases of hypothalamic amenorrhea, such as that seen in the female athlete triad or premature ovarian failure. The presence of a mass in the sella turcica on MRI also supports the diagnosis of a pituitary adenoma.
The patient's elevated TSH and low FT4 levels suggest hypothyroidism, which is common in her family. However, the very high TPO antibody titer is indicative of Hashimoto thyroiditis, which is an autoimmune disease that can cause hypothyroidism. While this could potentially contribute to the patient's symptoms, it does not explain the galactorrhea and amenorrhea, which are more consistent with a pituitary adenoma.
In conclusion, the combination of galactorrhea, amenorrhea, elevated prolactin level, normal levels of FSH and LH, and the presence of a mass in the sella turcica on MRI make a pituitary adenoma the most likely diagnosis in this case.</t>
  </si>
  <si>
    <t>A 52-Year-Old Man With a Hole in His Jaw and Alcoholism</t>
  </si>
  <si>
    <t>https://reference.medscape.com/viewarticle/865888</t>
  </si>
  <si>
    <r>
      <rPr>
        <sz val="10"/>
        <color rgb="FF000000"/>
        <rFont val="Roboto"/>
      </rPr>
      <t xml:space="preserve">Infected residual cystic lesion
Actinomycosis
Chronic pyogenic osteomyelitis
</t>
    </r>
    <r>
      <rPr>
        <b/>
        <sz val="10"/>
        <color rgb="FF000000"/>
        <rFont val="Roboto"/>
      </rPr>
      <t>Tuberculous osteomyelitis</t>
    </r>
    <r>
      <rPr>
        <sz val="10"/>
        <color rgb="FF000000"/>
        <rFont val="Roboto"/>
      </rPr>
      <t xml:space="preserve">
Complicated malignant tumor
Secondary metastasis</t>
    </r>
  </si>
  <si>
    <t>Tuberculous osteomyelitis</t>
  </si>
  <si>
    <t>Based on these findings, the most likely diagnosis is Tuberculous osteomyelitis.
The presence of an extensive radiolucent area located at the posterior part of the mandible extending to the entire left ramus, except for the condyle and coronoid holding bone segment as seen in the radiographic examination, along with a positive purified protein derivative (PPD) test result, points towards tuberculosis infection. The elevated erythrocyte sedimentation rate (ESR) further supports the possibility of an infectious etiology.
Although AFB culture of the discharge was positive after 5 weeks of incubation, this can also be seen in cases of tuberculous osteomyelitis. The negative AFB smear findings may not rule out the diagnosis of tuberculosis, as AFB smears have a low sensitivity for diagnosing tuberculosis in clinical practice.
The history of a fracture of the mandible body, failure of prior treatment with antibiotics, and the presence of multiple comorbidities such as hypertension, diabetes, and alcoholism also increase the likelihood of tuberculous osteomyelitis.
Ruling out other possibilities:
Infected residual cystic lesion can cause an extensive radiolucent area but typically does not present with a positive PPD test result and elevated ESR.
Actinomycosis may present with soft tissue swelling and draining sinuses, but typically does not present with a radiolucent mandibular lesion and a positive PPD test result.
Chronic pyogenic osteomyelitis typically presents with a more focal, well-defined radiolucent area and a positive culture for a specific organism, whereas tuberculous osteomyelitis tends to have a more indolent, progressive course and may not have a positive culture result.
Complicated malignant tumor may present with a radiolucent lesion, but typically does not present with a positive PPD test result and elevated ESR.
Secondary metastasis typically does not present with a positive PPD test result and elevated ESR, and is more likely to be seen in the setting of a known primary malignancy.</t>
  </si>
  <si>
    <t>A 57-Year-Old Man With a Fever Who Can't Stop Bleeding</t>
  </si>
  <si>
    <t>https://reference.medscape.com/viewarticle/950574</t>
  </si>
  <si>
    <r>
      <rPr>
        <sz val="10"/>
        <color rgb="FF000000"/>
        <rFont val="Roboto"/>
      </rPr>
      <t xml:space="preserve">Primary immune thrombocytopenia
Aplastic anemia
Primary myelofibrosis
</t>
    </r>
    <r>
      <rPr>
        <b/>
        <sz val="10"/>
        <color rgb="FF000000"/>
        <rFont val="Roboto"/>
      </rPr>
      <t>Autoimmune myelofibrosis</t>
    </r>
    <r>
      <rPr>
        <sz val="10"/>
        <color rgb="FF000000"/>
        <rFont val="Roboto"/>
      </rPr>
      <t xml:space="preserve">
Systemic lupus erythematosus</t>
    </r>
  </si>
  <si>
    <t>Autoimmune myelofibrosis</t>
  </si>
  <si>
    <t>The most likely diagnosis is Autoimmune Myelofibrosis.
The patient has a history of fever, thrombocytopenia and pancytopenia. He also has hypercellular bone marrow with trilineage hematopoiesis and reticulin fibrosis. The elevated level of anticardiolipin IgM, the negative results for mutations associated with myeloid neoplasms, and the negative ANA level are supportive of a diagnosis of autoimmune myelofibrosis.
The diagnosis of primary immune thrombocytopenia (ITP) is ruled out by the fact that the patient has pancytopenia and not just isolated thrombocytopenia, and the corticosteroid therapy given for ITP was not effective in the long term. Aplastic anemia is ruled out by the hypercellular bone marrow and the presence of trilineage hematopoiesis. Primary myelofibrosis is ruled out by the negative myeloid mutation panel. Systemic lupus erythematosus is ruled out by the negative ANA level and undetectable lupus anticoagulant level.</t>
  </si>
  <si>
    <t>Abdominal Pain, Anemia, and Oliguria in a Distressed Woman</t>
  </si>
  <si>
    <t>https://reference.medscape.com/viewarticle/840963</t>
  </si>
  <si>
    <r>
      <rPr>
        <sz val="10"/>
        <color rgb="FF000000"/>
        <rFont val="Roboto"/>
      </rPr>
      <t xml:space="preserve">Spontaneous retroperitoneal hematoma
</t>
    </r>
    <r>
      <rPr>
        <b/>
        <sz val="10"/>
        <color rgb="FF000000"/>
        <rFont val="Roboto"/>
      </rPr>
      <t xml:space="preserve">Abdominal compartment syndrome
</t>
    </r>
    <r>
      <rPr>
        <sz val="10"/>
        <color rgb="FF000000"/>
        <rFont val="Roboto"/>
      </rPr>
      <t>Abdominal wall abscess
Septic shock</t>
    </r>
  </si>
  <si>
    <t>Abdominal compartment syndrome</t>
  </si>
  <si>
    <t>Based on these findings, the most likely diagnosis is Abdominal Compartment Syndrome (ACS). The following findings support this diagnosis:
The patient is presenting with abdominal pain, which is diffuse and firm to palpation.
The patient has leukocytosis, anemia, hyperkalemia, renal insufficiency, anion gap metabolic acidosis, and elevated liver enzymes, which can indicate a systemic response to a localized insult such as ACS.
The CT scan revealed a large hypodense mass in the retroperitoneal area, dependent hyperdensities, and a collapsed inferior vena cava, which are consistent with ACS.
The patient's blood pressure remained low despite fluid and blood resuscitation, and norepinephrine was required to maintain blood pressure, indicating that the underlying issue was not simply volume depletion.
Intra-abdominal pressure (IAP) measurement showed an increase from 24 to 38 mm Hg, indicating increased pressure within the abdominal cavity, which is a hallmark of ACS.
Other diagnoses such as spontaneous retroperitoneal hematoma, abdominal wall abscess, or septic shock could be ruled out due to the following:
Spontaneous retroperitoneal hematoma: Although the patient is anticoagulated with warfarin, the normal saline boluses and blood transfusions would have corrected any coagulopathies, and the hypodense mass on CT scan is not consistent with a hematoma.
Abdominal wall abscess: The patient is receiving enoxaparin injections in the abdominal wall, but this would not account for the systemic response, hypodense mass on CT scan, or the increase in IAP.
Septic shock: Although the patient has leukocytosis and an elevated anion gap metabolic acidosis, she does not have a fever, and her heart rate was initially rapid but then dropped after fluid resuscitation, which is not typical for septic shock.
Given these findings, the diagnosis of Abdominal Compartment Syndrome is the most likely.</t>
  </si>
  <si>
    <t>A Sexually Active 29-Year-Old Man With a Weak Urine Stream</t>
  </si>
  <si>
    <t>https://reference.medscape.com/viewarticle/949659</t>
  </si>
  <si>
    <r>
      <rPr>
        <b/>
        <sz val="10"/>
        <color rgb="FF000000"/>
        <rFont val="Roboto"/>
      </rPr>
      <t xml:space="preserve">Benign prostatic hyperplasia
</t>
    </r>
    <r>
      <rPr>
        <sz val="10"/>
        <color rgb="FF000000"/>
        <rFont val="Roboto"/>
      </rPr>
      <t xml:space="preserve">Urethral stricture
</t>
    </r>
    <r>
      <rPr>
        <b/>
        <sz val="10"/>
        <color rgb="FF000000"/>
        <rFont val="Roboto"/>
      </rPr>
      <t>Urothelial bladder cancer</t>
    </r>
    <r>
      <rPr>
        <sz val="10"/>
        <color rgb="FF000000"/>
        <rFont val="Roboto"/>
      </rPr>
      <t xml:space="preserve">
Urinary tract infection</t>
    </r>
  </si>
  <si>
    <t>Benign prostatic hyperplasia</t>
  </si>
  <si>
    <t>The most likely diagnosis is benign prostatic hyperplasia (BPH). The patient's symptoms, including a weak urinary stream, straining to urinate, and increased frequency, are consistent with BPH. Furthermore, the patient's age (29 years old) and positive family history of bladder cancer also increase the likelihood of BPH, as BPH is a common condition in men over the age of 50. The negative results from the urinalysis, including a normal specific gravity and lack of evidence of infection, support a diagnosis of BPH.
The physical examination findings and workup are also consistent with BPH. The patent urethral meatus and lack of costovertebral angle tenderness suggest that a urethral stricture is not present. The normal urine pH and the lack of significant amounts of glucose, ketones, or protein in the urine suggest that the patient does not have a urinary tract infection. The lack of evidence of red blood cell (RBC) casts in the urine, as well as the normal urobilinogen level, also support a diagnosis of BPH, as these are markers for urothelial bladder cancer.
In conclusion, based on the patient's symptoms, family history, physical examination, and workup, BPH is the most likely diagnosis. Further testing, such as a prostate examination or ultrasound, may be necessary to confirm the diagnosis.</t>
  </si>
  <si>
    <t>A 51-Year-Old Who Lost Her Job Due to Cognitive Decline</t>
  </si>
  <si>
    <t>https://reference.medscape.com/viewarticle/850363</t>
  </si>
  <si>
    <r>
      <rPr>
        <sz val="10"/>
        <color rgb="FF000000"/>
        <rFont val="Roboto"/>
      </rPr>
      <t xml:space="preserve">Frontotemporal lobar degeneration
Limbic encephalitis
Primary progressive multiple sclerosis
</t>
    </r>
    <r>
      <rPr>
        <b/>
        <sz val="10"/>
        <color rgb="FF000000"/>
        <rFont val="Roboto"/>
      </rPr>
      <t xml:space="preserve">Alzheimer disease
</t>
    </r>
    <r>
      <rPr>
        <sz val="10"/>
        <color rgb="FF000000"/>
        <rFont val="Roboto"/>
      </rPr>
      <t>Corticobasal degeneration</t>
    </r>
  </si>
  <si>
    <t>Alzheimer disease</t>
  </si>
  <si>
    <t>Based on the given information, the most likely diagnosis is Alzheimer's Disease.
The patient presents with a 2-year history of slowly progressive cognitive decline, initially with symptoms of memory loss, forgetting conversations, repetition, and difficulties with daily tasks such as remembering passwords, writing checks, and navigating familiar places. The patient has also had moderate deficits in orientation, memory, and visual-spatial skills on cognitive testing, with notable bilateral hippocampal atrophy seen on brain MRI. These findings, along with a normal Geriatric Depression Scale score and normal results on a complete blood cell count and metabolic panel, suggest a neurodegenerative condition such as Alzheimer's Disease.
The presence of tau protein accumulation, as indicated by elevated CSF tau levels, is consistent with Alzheimer's Disease, as tau protein accumulation is a hallmark of the disease. The CSF amyloid beta (1-42) level, along with the amyloid beta (1-42) tau index, being in the abnormal range further supports the diagnosis of Alzheimer's Disease.
The absence of focal neurologic symptoms, headaches, fevers, or seizures, as well as normal results on a CSF study, helps to rule out conditions such as Limbic Encephalitis and Primary Progressive Multiple Sclerosis, which may present with similar symptoms but also have distinct physical examination and laboratory findings.
The patient's history of only moderate deficits in orientation, memory, and visual-spatial skills, along with a normal Geriatric Depression Scale score, also helps to rule out Frontotemporal Lobar Degeneration, which is characterized by early onset of behavioral and language symptoms, and Corticobasal Degeneration, which is characterized by asymmetric motor symptoms and cognitive deficits.</t>
  </si>
  <si>
    <t>Strange Stool Color and Fatigue in a Man With COPD and Atrial Fibrillation</t>
  </si>
  <si>
    <t>https://reference.medscape.com/viewarticle/948838</t>
  </si>
  <si>
    <r>
      <rPr>
        <sz val="10"/>
        <color rgb="FF000000"/>
        <rFont val="Roboto"/>
      </rPr>
      <t xml:space="preserve">Acute exacerbation of COPD
</t>
    </r>
    <r>
      <rPr>
        <b/>
        <sz val="10"/>
        <color rgb="FF000000"/>
        <rFont val="Roboto"/>
      </rPr>
      <t xml:space="preserve">Acute gastrointestinal (GI) bleeding
</t>
    </r>
    <r>
      <rPr>
        <sz val="10"/>
        <color rgb="FF000000"/>
        <rFont val="Roboto"/>
      </rPr>
      <t xml:space="preserve">Congestive heart failure
In-stent restenosis
IBD
</t>
    </r>
  </si>
  <si>
    <t>Acute gastrointestinal (GI) bleeding</t>
  </si>
  <si>
    <t>The most likely diagnosis in this case is acute gastrointestinal (GI) bleeding.
The patient's symptoms of worsening dyspnea, fatigue, and change in color of his stools, along with the positive fecal occult blood test result and unremarkable laboratory values, suggest GI bleeding as the source of the patient's problems. The patient's history of smoking, atrial fibrillation, and recent PCI for STEMI increase his risk for GI bleeding, as smoking and anti-coagulant use are both known risk factors for GI bleeding. The results of EGD and colonoscopy would likely provide further evidence for this diagnosis.
The patient's history of COPD, while relevant, does not fully explain the symptoms in this case and is less likely to be the primary cause of the patient's presentation in the ED. In-stent restenosis is a possibility, but the lack of chest pain and other findings on physical examination and laboratory tests make this less likely as the sole cause of the patient's symptoms. Congestive heart failure is also unlikely as a sole cause, given the patient's normal ejection fraction on echocardiography. IBD is a possibility, but the patient's history of diverticulosis in his mother and lack of abdominal pain, recent diarrhea, and change in bowel and bladder habits make this a less likely diagnosis in this case.</t>
  </si>
  <si>
    <t>Painful, Discolored Toes With Sores in a 43-Year-Old Woman</t>
  </si>
  <si>
    <t>https://reference.medscape.com/viewarticle/850362</t>
  </si>
  <si>
    <r>
      <rPr>
        <sz val="10"/>
        <color rgb="FF000000"/>
        <rFont val="Roboto"/>
      </rPr>
      <t xml:space="preserve">Systemic lupus erythematosus
Bacterial endocarditis with emboli
Raynaud phenomenon
</t>
    </r>
    <r>
      <rPr>
        <b/>
        <sz val="10"/>
        <color rgb="FF000000"/>
        <rFont val="Roboto"/>
      </rPr>
      <t>Chilblains</t>
    </r>
  </si>
  <si>
    <t>Raynaud phenomenon</t>
  </si>
  <si>
    <t>The most likely diagnosis based on the findings is Raynaud phenomenon.
The patient presents with painful and discolored toes that are sensitive to cold, with nonblanching purpuric lesions and poorly demarcated blanching erythema. These symptoms are characteristic of Raynaud phenomenon, a condition in which the small blood vessels in the fingers and toes go into spasm in response to cold temperatures or stress, reducing blood flow and causing pain, tingling, and discoloration.
The patient's history and physical examination results also support a diagnosis of Raynaud phenomenon. The patient reports that the symptoms began after exposure to cold temperatures, and physical examination reveals that the affected areas are the tips of the toes, which are commonly affected in Raynaud phenomenon. The laboratory findings, including normal ESR and CRP levels, ANA and ANCA tests, and lower-extremity arteriogram results, rule out systemic lupus erythematosus, bacterial endocarditis with emboli, and other systemic inflammatory conditions. The punch biopsy also supports a diagnosis of Raynaud phenomenon, with a superficial and deep perivascular inflammatory infiltrate that is predominantly lymphocytic, a superficial dermal hemorrhage, and a lichenoid tissue reaction/interface dermatitis, which are consistent with the pathologic changes seen in Raynaud phenomenon.
Chilblains, a condition in which the skin on the feet and hands becomes itchy, painful, and red after exposure to cold, can also present with similar symptoms. However, chilblains typically affect the fingers and toes differently, with the toes being more affected, and do not typically cause purpuric lesions or ulceration. Additionally, the patient's history of exposure to cold temperatures and the physical examination findings of discolored and painful toes suggest Raynaud phenomenon rather than chilblains.</t>
  </si>
  <si>
    <t xml:space="preserve">false, negative </t>
  </si>
  <si>
    <t>Pleural Effusion and an Axillary Mass in a Woman With Hypertension</t>
  </si>
  <si>
    <t>https://reference.medscape.com/viewarticle/948069</t>
  </si>
  <si>
    <t>Lung
Cervix
Stomach
Breast
Oropharynx</t>
  </si>
  <si>
    <t>Stomach</t>
  </si>
  <si>
    <t>Based on the clinical information and imaging results, the most likely site of origin of this cancer is the Stomach.
This conclusion is made based on the patient's history of a positive family history of pancreatic cancer (father) and "cancer in the stomach" (grandmother), as well as the normal results from the breast examination, mammography, and breast MRI. The normal results from the pelvic examination and CT of the abdomen and pelvis also support the conclusion that the cancer is not originating from the cervix, as the patient has a history of cervical cancer treated with surgery and chemoradiation. The negative results from the fecal occult blood test also suggest that the cancer is not originating from the colon. The negative results from the chest imaging and the fact that the patient does not have shortness of breath or any other respiratory symptoms suggests that the lung is not the origin of the cancer. Finally, the immunohistochemical findings from the biopsy of the axillary mass, with the cancer being CK7+/CK20-, TTF-1 negative, and thyroglobulin negative, suggest that the cancer is more likely to originate from a gastrointestinal site such as the stomach, rather than the oropharynx or the breast.</t>
  </si>
  <si>
    <t>Penis Injury and Hematuria in a Man Who Fell on a Log</t>
  </si>
  <si>
    <t>https://reference.medscape.com/viewarticle/850957</t>
  </si>
  <si>
    <r>
      <rPr>
        <sz val="10"/>
        <color rgb="FF000000"/>
        <rFont val="Roboto"/>
      </rPr>
      <t>Pelvic fracture
Urethral injury</t>
    </r>
    <r>
      <rPr>
        <b/>
        <sz val="10"/>
        <color rgb="FF000000"/>
        <rFont val="Roboto"/>
      </rPr>
      <t xml:space="preserve">
</t>
    </r>
    <r>
      <rPr>
        <sz val="10"/>
        <color rgb="FF000000"/>
        <rFont val="Roboto"/>
      </rPr>
      <t xml:space="preserve">Penile fracture
Bladder rupture
</t>
    </r>
  </si>
  <si>
    <t>Penile fracture</t>
  </si>
  <si>
    <t>The most likely diagnosis based on the given findings is a Penile Fracture.
The patient's symptoms of severe, burning pain in the penis and hematuria following a direct blow to the perineum and penis support the diagnosis of a penile fracture. The fact that the patient reports no pain while at rest and no scrotal swelling or bruising also support this diagnosis. Additionally, the absence of any fractures seen on plain radiographs of the pelvis further supports the diagnosis of a penile fracture. The retrograde urethrogram shows the presence of a tear in the corpus cavernosum, further confirming the diagnosis.
The absence of any other significant physical examination findings, such as tenderness in the abdomen or flank, and normal results on complete blood cell count and coagulation profile, rule out the diagnoses of pelvic fracture, bladder rupture, and urethral injury.
In conclusion, the patient's presentation and examination findings, as well as the results of the imaging studies, strongly suggest a diagnosis of penile fracture as the most likely explanation for the patient's symptoms.</t>
  </si>
  <si>
    <t>A 25-Year-Old Mother With Joint Pain Who Feels Faint</t>
  </si>
  <si>
    <t>https://reference.medscape.com/viewarticle/947225</t>
  </si>
  <si>
    <r>
      <rPr>
        <sz val="10"/>
        <color rgb="FF000000"/>
        <rFont val="Roboto"/>
      </rPr>
      <t xml:space="preserve">Pulmonary embolism
</t>
    </r>
    <r>
      <rPr>
        <b/>
        <sz val="10"/>
        <color rgb="FF000000"/>
        <rFont val="Roboto"/>
      </rPr>
      <t>Lyme carditis</t>
    </r>
    <r>
      <rPr>
        <sz val="10"/>
        <color rgb="FF000000"/>
        <rFont val="Roboto"/>
      </rPr>
      <t xml:space="preserve">
Sarcoidosis
Myocardial ischemia</t>
    </r>
  </si>
  <si>
    <t>Lyme carditis</t>
  </si>
  <si>
    <t>The most likely diagnosis based on the given findings is Lyme carditis.
The rationale for this differential is the following:
The patient has a recent history of a bug bite with an itchy rash, which is consistent with Lyme disease.
The ECG shows atrioventricular (AV) block, which is commonly seen in Lyme carditis. The AV block may be seen in other conditions such as myocardial infarction and sarcoidosis, but the presence of Lyme disease history in this case makes it a more likely explanation.
The absence of fever, headache, cough, and any other signs of respiratory distress, as well as normal chest radiography, rule out pulmonary embolism as the cause of the patient's symptoms.
The normal cardiac troponin and pro B-type natriuretic peptide levels also rule out myocardial ischemia as a cause of the patient's symptoms.
In conclusion, Lyme carditis is the most likely diagnosis in this case, given the presence of AV block on the ECG and a recent history of a bug bite, which is consistent with Lyme disease. The absence of other findings such as fever, respiratory distress, chest radiographic abnormalities, and elevated cardiac markers also support this diagnosis.</t>
  </si>
  <si>
    <t>A 42-Year-Old Office Assistant With Chronic Leg and Back Pain</t>
  </si>
  <si>
    <t>https://reference.medscape.com/viewarticle/878375</t>
  </si>
  <si>
    <t xml:space="preserve">Hyperdense renal cyst
Renal cell carcinoma
Oncocytoma
Angiomyolipoma
</t>
  </si>
  <si>
    <t>Angiomyolipoma</t>
  </si>
  <si>
    <t>Based on the findings presented, the most likely diagnosis is Angiomyolipoma.
Angiomyolipoma is a benign renal tumor that typically appears as a heterogeneously enhancing mass on CT imaging with a typical finding of fat within the lesion on both T1 and T2 weighted images. The findings in Figures 1 and 2 of a well-circumscribed, homogeneously enhancing renal mass with fatty content on CT imaging are highly suggestive of Angiomyolipoma.
The absence of hematuria, flank pain, and red blood cells or protein in the urine makes hyperdense renal cyst an unlikely diagnosis. The absence of symptoms such as fevers, weight loss, or appetite loss and the lack of any history of chronic illness and family history of renal tumors make renal cell carcinoma an unlikely diagnosis. The lack of a characteristic echogenic rim seen in oncocytoma and its rarity also make it an unlikely diagnosis.
Therefore, Angiomyolipoma is the most likely diagnosis based on the imaging findings and the patient's medical history and physical examination.</t>
  </si>
  <si>
    <t>Blackout at Rest and Slurring in a Man Afraid of COVID-19</t>
  </si>
  <si>
    <t>https://reference.medscape.com/viewarticle/946426</t>
  </si>
  <si>
    <r>
      <rPr>
        <sz val="10"/>
        <color rgb="FF000000"/>
        <rFont val="Roboto"/>
      </rPr>
      <t xml:space="preserve">Protein-losing enteropathy (eg, celiac disease)
Connective tissue disorder (eg, lupus nephritis)
Nephrotic syndrome
</t>
    </r>
    <r>
      <rPr>
        <b/>
        <sz val="10"/>
        <color rgb="FF000000"/>
        <rFont val="Roboto"/>
      </rPr>
      <t>Systemic amyloidosis</t>
    </r>
    <r>
      <rPr>
        <sz val="10"/>
        <color rgb="FF000000"/>
        <rFont val="Roboto"/>
      </rPr>
      <t xml:space="preserve">
Diabetic nephropathy and autonomic neuropathy</t>
    </r>
  </si>
  <si>
    <t>Nephrotic Syndrome</t>
  </si>
  <si>
    <t>Based on the findings, the most likely diagnosis is Nephrotic Syndrome.
The presence of proteinuria (7.1 g of protein loss in 24-hour urine examination) is one of the hallmark symptoms of Nephrotic Syndrome. Additionally, the low serum albumin level (1.8 g/dL) and high serum globulin level (2.3 g/dL), along with the high level of edema in the lower limbs (bilateral pitting pedal edema), are also consistent with Nephrotic Syndrome.
The elevated serum creatinine level (1.91 mg/dL) is an indicator of impaired renal function, which is also a feature of Nephrotic Syndrome. The presence of short runs of ventricular premature complexes detected by 24-hour Holter monitoring, along with the elevated N-terminal pro-brain natriuretic peptide (NT-proBNP) level (24,924 pg/mL), suggest the presence of heart involvement, which is commonly seen in Nephrotic Syndrome.
The findings of normocytic anemia, with a hemoglobin level of 10.5 g/dL, are also consistent with Nephrotic Syndrome, as protein loss through the urine can lead to anemia.
The absence of monoclonal bands on serum protein electrophoresis rules out Systemic Amyloidosis, which is characterized by the presence of monoclonal immunoglobulin deposits in the organs.
The absence of joint pain, swelling, and rashes rules out a Connective Tissue Disorder (eg, lupus nephritis).
The presence of IBS, the use of antidiarrheal and anticholinergic drugs, and the normal findings on peripheral smear examination rule out Protein-Losing Enteropathy (eg, celiac disease).
The patient's history of diabetes mellitus and autonomic neuropathy does not sufficiently explain the patient's symptoms and findings, and therefore Diabetic Nephropathy and Autonomic Neuropathy is not the most likely diagnosis.</t>
  </si>
  <si>
    <t>Chronic Gastritis, a Lesion, and Weight Loss in a Teenager</t>
  </si>
  <si>
    <t>https://reference.medscape.com/viewarticle/843821</t>
  </si>
  <si>
    <r>
      <rPr>
        <sz val="10"/>
        <color rgb="FF000000"/>
        <rFont val="Roboto"/>
      </rPr>
      <t xml:space="preserve">Complete Fanconi syndrome
</t>
    </r>
    <r>
      <rPr>
        <b/>
        <sz val="10"/>
        <color rgb="FF000000"/>
        <rFont val="Roboto"/>
      </rPr>
      <t xml:space="preserve">Sarcoidosis
</t>
    </r>
    <r>
      <rPr>
        <sz val="10"/>
        <color rgb="FF000000"/>
        <rFont val="Roboto"/>
      </rPr>
      <t>IgA nephropathy
Bartter syndrome</t>
    </r>
  </si>
  <si>
    <t>Complete Fanconi syndrome</t>
  </si>
  <si>
    <t>The most likely diagnosis in this case is Complete Fanconi syndrome based on the patient's symptoms and laboratory findings. The patient presents with epigastric pain, vomiting, malaise, polyuria, and a significant weight loss, which are all indicative of renal dysfunction. The elevated blood urea nitrogen and creatinine levels, low phosphorus level, and elevated calcium level further support the diagnosis of renal dysfunction.
Additionally, the presence of hypercalciuria, with a urinary calcium/creatinine ratio ranging from 2.5 to 3.5, is a hallmark of Complete Fanconi syndrome. The renal biopsy also shows evidence of tubulointerstitial nephritis with tubular calcium deposits, interstitial fibrosis, and tubular necrosis, all of which are consistent with Complete Fanconi syndrome. The normal results of the immunoglobulin A, IgG, IgM, and C3 tests on immunofluorescence analysis and the absence of glomerular abnormalities also support the diagnosis of Complete Fanconi syndrome.
The diagnosis of Bartter syndrome is ruled out by the presence of hypercalciuria, the elevated blood urea nitrogen and creatinine levels, and the low phosphorus level, which are all inconsistent with Bartter syndrome. Additionally, the patient does not have the typical dysmorphic facial features commonly seen in Bartter syndrome.
The diagnosis of sarcoidosis is ruled out by the absence of systemic symptoms such as fever, chills, and weight loss, as well as the negative results of the purified protein derivative test. The patient's chest radiograph also shows no evidence of sarcoidosis.
The diagnosis of IgA nephropathy is ruled out by the negative results of the immunoglobulin A test on immunofluorescence analysis and the absence of glomerular abnormalities on the renal biopsy.
In conclusion, the patient's symptoms, laboratory findings, and renal biopsy results all point to the diagnosis of Complete Fanconi syndrome.</t>
  </si>
  <si>
    <t>Clitoromegaly, Amenorrhea, and Hair Loss in a 32-Year-Old</t>
  </si>
  <si>
    <t>https://reference.medscape.com/viewarticle/945754</t>
  </si>
  <si>
    <r>
      <rPr>
        <sz val="10"/>
        <color rgb="FF000000"/>
        <rFont val="Roboto"/>
      </rPr>
      <t xml:space="preserve">Steroid-secreting adrenal tumor
Congenital adrenal hyperplasia
</t>
    </r>
    <r>
      <rPr>
        <b/>
        <sz val="10"/>
        <color rgb="FF000000"/>
        <rFont val="Roboto"/>
      </rPr>
      <t xml:space="preserve">Steroid cell ovarian tumor
</t>
    </r>
    <r>
      <rPr>
        <sz val="10"/>
        <color rgb="FF000000"/>
        <rFont val="Roboto"/>
      </rPr>
      <t>Placental aromatase deficiency</t>
    </r>
  </si>
  <si>
    <t>The most likely diagnosis based on the patient's symptoms and laboratory values is Congenital Adrenal Hyperplasia (CAH).
The patient presents with a history of diffuse hair loss on her scalp, increased hair growth on her arms and face, amenorrhea, and deepening of her voice, all of which are indicative of androgen excess. The elevated levels of DHEA-S, 17-hydroxyprogesterone, and testosterone, along with low levels of luteinizing hormone and follicle-stimulating hormone, support this diagnosis. These hormone levels are consistent with a lack of feedback inhibition of the adrenal gland and an overproduction of androgens, which are characteristic of CAH.
The presence of clitoromegaly and the normal appearance of the external genitalia further support the diagnosis of CAH.
The elevated levels of 17-hydroxyprogesterone, in particular, rule out the possibility of a steroid-secreting adrenal tumor, which typically causes elevated cortisol levels and decreased 17-hydroxyprogesterone levels. The normal pregnancy test rules out the possibility of a placental aromatase deficiency, as this condition is typically associated with virilization and elevated levels of androgens in pregnancy. The absence of adnexal masses on physical examination rules out the possibility of a steroid cell ovarian tumor.
In conclusion, based on the patient's symptoms and laboratory values, the most likely diagnosis is Congenital Adrenal Hyperplasia.</t>
  </si>
  <si>
    <t>A Daily Beer Drinker With Agonizing Gas and Back Pain</t>
  </si>
  <si>
    <t>https://reference.medscape.com/viewarticle/847160</t>
  </si>
  <si>
    <r>
      <rPr>
        <sz val="10"/>
        <color rgb="FF000000"/>
        <rFont val="Roboto"/>
      </rPr>
      <t xml:space="preserve">Gastroesophageal reflux disease
Acalculous cholecystitis
Acute pancreatitis
</t>
    </r>
    <r>
      <rPr>
        <b/>
        <sz val="10"/>
        <color rgb="FF000000"/>
        <rFont val="Roboto"/>
      </rPr>
      <t>Perforated peptic ulcer</t>
    </r>
    <r>
      <rPr>
        <sz val="10"/>
        <color rgb="FF000000"/>
        <rFont val="Roboto"/>
      </rPr>
      <t xml:space="preserve">
</t>
    </r>
  </si>
  <si>
    <t>Perforated Peptic Ulcer.</t>
  </si>
  <si>
    <t>The most likely diagnosis based on the findings is Perforated Peptic Ulcer.
The patient's symptoms of severe abdominal pain, gas-like epigastric pain and sensation of needing to burp, tenderness in the epigastric region, and focal rebound tenderness and guarding are indicative of a possible perforated peptic ulcer. The patient's history of drinking 6-8 beers daily, as well as a lack of history of medication use, suggests a potential etiology for the peptic ulcer, as alcohol consumption and non-steroidal anti-inflammatory drug (NSAID) use are well-known risk factors for peptic ulcers. The absence of fever, chills, diarrhea, and other systemic symptoms also support the diagnosis of a perforated peptic ulcer, as these symptoms are typically seen in more serious conditions such as acute pancreatitis.
The abdominal and rectal examinations, as well as the results of the abdominal ultrasound, further support the diagnosis of a perforated peptic ulcer, as they show no evidence of gallstones, biliary wall thickening, or other conditions that would point to a different diagnosis. The normal laboratory results, including normal hepatic and amylase/lipase levels, also support the diagnosis of a perforated peptic ulcer.
The CT of the abdomen and pelvis with oral and IV contrast images (Figures 1 and 2) likely show evidence of free air under the diaphragm, which is highly suggestive of a perforated viscus, further strengthening the diagnosis of a perforated peptic ulcer.
In conclusion, the patient's presentation and findings, including the results of the physical examination, laboratory workup, and imaging studies, support the diagnosis of a perforated peptic ulcer as the most likely explanation for the patient's symptoms.</t>
  </si>
  <si>
    <t>A Former Cocaine User Whose Specialist Told Her She's Dying</t>
  </si>
  <si>
    <t>https://reference.medscape.com/viewarticle/944870</t>
  </si>
  <si>
    <t xml:space="preserve">Surreptitious cocaine use
Hyperosmolar hyperglycemic syndrome
End-stage renal failure secondary to diabetes mellitus
Bradycardia, renal failure, atrioventricular nodal blockade, shock, and hyperkalemia syndrome
Chronic pancreatitis
</t>
  </si>
  <si>
    <t>Bradycardia, renal failure, atrioventricular nodal blockade, shock, and hyperkalemia syndrome</t>
  </si>
  <si>
    <t>The most likely diagnosis based on the given findings is "Bradycardia, renal failure, atrioventricular nodal blockade, shock, and hyperkalemia syndrome," also known as "BRASH Syndrome." This is a rare syndrome that occurs in patients with renal failure, who develop hyperkalemia and associated ECG changes (e.g., bradycardia and heart block), which can result in cardiogenic shock. In this case, the patient has a history of CKD, with an eGFR of 13 mL/min/1.73 m2, and a markedly elevated creatinine level, which suggests acute kidney injury superimposed on chronic renal failure. The patient also has hyperkalemia (potassium level of 5.7 mEq/L) and bradycardia with Mobitz type 2 atrioventricular block on the ECG. These findings suggest the diagnosis of BRASH syndrome.
The other answer choices can be ruled out as follows:
Surreptitious cocaine use: The patient denies any recent use of illicit drugs, and her urine drug screen is negative.
Hyperosmolar hyperglycemic syndrome: The patient's blood glucose level is only mildly elevated and is not consistent with the diagnosis of hyperosmolar hyperglycemic syndrome.
End-stage renal failure secondary to diabetes mellitus: While the patient has CKD secondary to diabetes, her eGFR is not low enough to suggest end-stage renal failure. Additionally, the patient's presentation is more consistent with acute kidney injury than end-stage renal failure.
Chronic pancreatitis: The patient's history and physical exam findings are not consistent with chronic pancreatitis.</t>
  </si>
  <si>
    <t>Date</t>
  </si>
  <si>
    <t>Case heavily image reliad</t>
  </si>
  <si>
    <t>Answer Correlates with most common Answer</t>
  </si>
  <si>
    <t>Answers right when 50% voters got wrong (if more than 50% correct just say no)</t>
  </si>
  <si>
    <t>Diagnostic Accuracy, Still considers differentials</t>
  </si>
  <si>
    <t>Internal Medicine Case Challenge: A Teacher's Assistant With Bipolar Disorder Has Lung Problems</t>
  </si>
  <si>
    <r>
      <rPr>
        <sz val="12"/>
        <color theme="1"/>
        <rFont val="Calibri"/>
      </rPr>
      <t xml:space="preserve">Lupus nephritis
Interstitial nephritis
</t>
    </r>
    <r>
      <rPr>
        <b/>
        <sz val="12"/>
        <color theme="1"/>
        <rFont val="Calibri"/>
      </rPr>
      <t xml:space="preserve">Antiphospholipid syndrome nephropathy
</t>
    </r>
    <r>
      <rPr>
        <sz val="12"/>
        <color theme="1"/>
        <rFont val="Calibri"/>
      </rPr>
      <t>Thrombotic thrombocytopenic purpura</t>
    </r>
  </si>
  <si>
    <t>Antiphospholopid syndrome nephropathy</t>
  </si>
  <si>
    <t>Based on the patient's history of congenital splenomegaly, thrombocytopenia, DVT, positive tests for lupus anticoagulant, oral ulcers, and bilateral hand, wrist, and elbow pain, along with the laboratory results showing high C-reactive protein, elevated ESR, positive ANA, positive dsDNA, positive atypical ANCA pattern, positive Smith antibody, and low complement levels, the most likely diagnosis in this case is Antiphospholipid syndrome nephropathy (APS).
APS is an autoimmune disorder characterized by the presence of antiphospholipid antibodies (APLAs) that can lead to recurrent thrombotic events and organ damage, including nephropathy. The patient's history of recurrent DVT, positive lupus anticoagulant, and presence of oral ulcers is consistent with this diagnosis. Additionally, the patient's laboratory results showing high C-reactive protein, elevated ESR, positive ANA, positive dsDNA, positive atypical ANCA pattern, positive Smith antibody, and low complement levels, are all indicative of APS.
Lupus nephritis is also a possibility, as the patient has a positive ANA, positive dsDNA, and positive atypical ANCA pattern. However, Lupus nephritis is typically associated with more severe renal involvement and the patient's creatinine levels are only slightly elevated. The patient's history of recurrent DVT, positive lupus anticoagulant, and presence of oral ulcers suggests APS as a more likely diagnosis.
Interstitial nephritis can also present with renal failure and is usually caused by drugs or infections, but the patient has no history of drug use or infections that would suggest this diagnosis.
Thrombotic thrombocytopenic purpura is a rare blood disorder characterized by thrombosis and thrombocytopenia, but the patient's platelet count is not that low and there is no evidence of TTP.
In conclusion, the patient's history of recurrent DVT, positive lupus anticoagulant, and presence of oral ulcers, along with the laboratory results showing high C-reactive protein, elevated ESR, positive ANA, positive dsDNA, positive atypical ANCA pattern, positive Smith antibody, and low complement levels, the most likely diagnosis in this case is Antiphospholipid syndrome nephropathy.</t>
  </si>
  <si>
    <t xml:space="preserve">Low </t>
  </si>
  <si>
    <t>True Positive</t>
  </si>
  <si>
    <r>
      <rPr>
        <sz val="12"/>
        <color theme="1"/>
        <rFont val="Calibri"/>
      </rPr>
      <t xml:space="preserve">Multiple sclerosis
Familial hypercholesterolemia
</t>
    </r>
    <r>
      <rPr>
        <b/>
        <sz val="12"/>
        <color theme="1"/>
        <rFont val="Calibri"/>
      </rPr>
      <t>Adrenomyeloneuropathy</t>
    </r>
    <r>
      <rPr>
        <sz val="12"/>
        <color theme="1"/>
        <rFont val="Calibri"/>
      </rPr>
      <t xml:space="preserve">
Adrenoleukodystrophy</t>
    </r>
  </si>
  <si>
    <t>The most likely diagnosis in this case is Adrenoleukodystrophy (Option d).
Rationale:
The patient's symptoms of balance problems, leg stiffness, and bladder incontinence, along with the MRI findings of demyelination of the lateral dorsal columns on both sides, suggest a neurodegenerative disorder. The low morning cortisol level and high adrenocorticotropic hormone level suggest adrenal insufficiency, which is a hallmark of Adrenoleukodystrophy. The elevated level of C26:0, a very long-chain fatty acid, further supports a diagnosis of Adrenoleukodystrophy.
Findings that would cause me to rule out Adrenoleukodystrophy:
If the patient's symptoms were found to be due to a non-neurologic condition, such as an inner ear problem or a musculoskeletal disorder, then Adrenoleukodystrophy would not be the most likely diagnosis.
If the MRI showed demyelination in other parts of the central nervous system, such as the brain, Adrenoleukodystrophy would not be the most likely diagnosis.
If the patient had a history of previous autoimmune or infectious illnesses, or had a family history of autoimmune diseases, it may suggest a diagnosis of Multiple Sclerosis (Option a), which would rule out Adrenoleukodystrophy.</t>
  </si>
  <si>
    <t>Moderate</t>
  </si>
  <si>
    <t>False Positive</t>
  </si>
  <si>
    <r>
      <rPr>
        <sz val="12"/>
        <color theme="1"/>
        <rFont val="Calibri"/>
      </rPr>
      <t xml:space="preserve">Hypertrophic cardiomyopathy
Myocardial infarction
</t>
    </r>
    <r>
      <rPr>
        <b/>
        <sz val="12"/>
        <color theme="1"/>
        <rFont val="Calibri"/>
      </rPr>
      <t xml:space="preserve">Commotio cordis
</t>
    </r>
    <r>
      <rPr>
        <sz val="12"/>
        <color theme="1"/>
        <rFont val="Calibri"/>
      </rPr>
      <t>Long-QT syndrome</t>
    </r>
  </si>
  <si>
    <t>Based on the patient's history of a blow to the chest immediately followed by cardiac arrest and ventricular fibrillation, the most likely diagnosis in this case is Commotio cordis.
Commotio cordis is a rare type of sudden cardiac arrest caused by a blunt impact to the chest, typically from a sports-related injury or physical altercation. It occurs when the impact occurs during a specific phase of the cardiac cycle, causing the ventricular muscle to contract prematurely and leading to ventricular fibrillation.
The patient's history of being hit in the chest while playing baseball and the rhythm strip showing ventricular fibrillation before defibrillation with 200 J, supports this diagnosis. Additionally, the patient's lack of any significant past medical or family history, including arrhythmias or cardiac structural diseases, and normal physical examination and imaging results, also support the diagnosis of Commotio cordis.
Hypertrophic cardiomyopathy, myocardial infarction, and long-QT syndrome can all cause sudden cardiac arrest, but these conditions would not be expected based on the patient's history, examination and imaging findings, and the ECG results which are normal.</t>
  </si>
  <si>
    <t>required some image interpretations</t>
  </si>
  <si>
    <r>
      <rPr>
        <sz val="12"/>
        <color theme="1"/>
        <rFont val="Calibri"/>
      </rPr>
      <t xml:space="preserve">External monitoring device
Radiologic artifact
</t>
    </r>
    <r>
      <rPr>
        <b/>
        <sz val="12"/>
        <color theme="1"/>
        <rFont val="Calibri"/>
      </rPr>
      <t xml:space="preserve">Foreign-body ingestion
</t>
    </r>
    <r>
      <rPr>
        <sz val="12"/>
        <color theme="1"/>
        <rFont val="Calibri"/>
      </rPr>
      <t>An implanted medical device</t>
    </r>
  </si>
  <si>
    <t>Foreign-body ingestion</t>
  </si>
  <si>
    <t>Based on the information given in the case, the most likely diagnosis is Foreign-body ingestion.
The radiologic shadow seen in the central lower chest/epigastrium region in the chest and abdominal x-rays is a strong indicative finding for the presence of a foreign body in the gastrointestinal tract. This is further supported by the patient's history of binge drinking, which may have resulted in the accidental ingestion of a foreign object.
The negative findings on abdominal examination, such as absence of masses, organomegaly, or fluid wave, and the normal results of laboratory investigations, including normal amylase levels, rule out alternative diagnoses such as an abdominal pathology or pancreatitis.
The normal results of electrocardiography and the absence of other significant findings, such as shortness of breath or palpitations, also make it less likely that the patient's symptoms are related to an implanted medical device.
In conclusion, the presence of a radiologic shadow, the patient's history of binge drinking, and the absence of alternative diagnoses all support the diagnosis of foreign-body ingestion. Endoscopic intervention would be the next step in the diagnostic process to confirm the diagnosis and remove the foreign body, if present.</t>
  </si>
  <si>
    <r>
      <rPr>
        <sz val="12"/>
        <color theme="1"/>
        <rFont val="Calibri"/>
      </rPr>
      <t xml:space="preserve">Hepatitis B virus infection
Autoimmune hepatitis
</t>
    </r>
    <r>
      <rPr>
        <b/>
        <sz val="12"/>
        <color theme="1"/>
        <rFont val="Calibri"/>
      </rPr>
      <t xml:space="preserve">Primary biliary cholangitis
</t>
    </r>
    <r>
      <rPr>
        <sz val="12"/>
        <color theme="1"/>
        <rFont val="Calibri"/>
      </rPr>
      <t>Primary sclerosing cholangitis
Lysosomal acid lipase deficiency</t>
    </r>
  </si>
  <si>
    <t>The most likely diagnosis in this case is Autoimmune Hepatitis.
Rationale:
The patient's elevated liver enzyme levels (AST and ALT), elevated total bilirubin level, and elevated alkaline phosphatase (ALP) level suggest liver injury. The normal results of the serology tests for hepatitis viruses and the normal magnetic resonance enterography results make it less likely that the liver injury is due to a viral or biliary cause. The patient's elevated erythrocyte sedimentation rate, C-reactive protein, and fecal calprotectin levels suggest ongoing systemic inflammation. The borderline low LAL activity rules out LAL deficiency as the cause of the liver injury.
Autoimmune hepatitis should be considered in a patient with liver injury and systemic inflammation, especially in the absence of alternative explanations. In autoimmune hepatitis, the patient's immune system attacks the liver, causing inflammation and injury. The disease is often associated with elevated levels of immunoglobulin G (IgG) and ANA, which were not measured in this case, but can be performed to further support the diagnosis.
Findings that would rule out autoimmune hepatitis as the diagnosis include a positive serology test for a viral hepatitis or a biliary cause, or the presence of a focal liver lesion seen on imaging. The presence of significant extrahepatic biliary duct disease or a history of alcohol or drug use could also suggest alternative causes of liver injury.</t>
  </si>
  <si>
    <t xml:space="preserve">low </t>
  </si>
  <si>
    <t>Everything Below is cases 50-150</t>
  </si>
  <si>
    <t>CT, endoscopy image interpretation</t>
  </si>
  <si>
    <r>
      <rPr>
        <sz val="12"/>
        <color theme="1"/>
        <rFont val="Calibri"/>
      </rPr>
      <t xml:space="preserve">Acute gastritis
Cannabinoid hyperemesis syndrome
</t>
    </r>
    <r>
      <rPr>
        <b/>
        <sz val="12"/>
        <color theme="1"/>
        <rFont val="Calibri"/>
      </rPr>
      <t xml:space="preserve">Superior mesenteric artery syndrome
</t>
    </r>
    <r>
      <rPr>
        <sz val="12"/>
        <color theme="1"/>
        <rFont val="Calibri"/>
      </rPr>
      <t>Peptic ulcer disease
Cholecystitis</t>
    </r>
  </si>
  <si>
    <t>PUD</t>
  </si>
  <si>
    <t>n/a</t>
  </si>
  <si>
    <t>The most likely diagnosis in this case is Peptic Ulcer Disease (PUD).
Rationale: The patient's symptoms of abdominal pain and nausea, exacerbated by food, suggest the presence of peptic ulcer disease. The history of gastroesophageal reflux disease and hiatal hernia repair also support the diagnosis of PUD. The normal basic laboratory tests and imaging findings, including CT of the abdomen and pelvis, as well as upper gastrointestinal endoscopy, suggest that the patient's symptoms are not due to other conditions.
Findings that would rule out PUD include the presence of hematemesis, melena, or hematochezia, which would indicate the presence of upper gastrointestinal bleeding and require further evaluation. If the patient's symptoms were found to be related to cannabis use, the diagnosis would be reevaluated and potentially changed to Cannabinoid Hyperemesis Syndrome.
Cholecystitis can be ruled out due to the absence of fever, tenderness to palpation, and jaundice, which are common findings in patients with cholecystitis. Superior Mesenteric Artery Syndrome can be ruled out as the patient does not have symptoms of weight loss, malnutrition, and vomiting that would be expected in patients with this condition. Acute gastritis can be ruled out as the patient's symptoms have been persistent for a few years and are not related to recent changes in diet or medication use, which are typical causes of acute gastritis.</t>
  </si>
  <si>
    <t>Low</t>
  </si>
  <si>
    <r>
      <rPr>
        <sz val="12"/>
        <color theme="1"/>
        <rFont val="Calibri"/>
      </rPr>
      <t xml:space="preserve">Rectal syphilis
Lymphogranuloma venereum
</t>
    </r>
    <r>
      <rPr>
        <b/>
        <sz val="12"/>
        <color theme="1"/>
        <rFont val="Calibri"/>
      </rPr>
      <t xml:space="preserve">Herpes simplex virus infection
</t>
    </r>
    <r>
      <rPr>
        <sz val="12"/>
        <color theme="1"/>
        <rFont val="Calibri"/>
      </rPr>
      <t xml:space="preserve">
Gonorrhea</t>
    </r>
  </si>
  <si>
    <t>The most likely diagnosis in this case is Herpes simplex virus infection.
This differential is chosen because the patient presents with rectal pain, intermittent episodes of hematochezia, and ulcerations in the rectal area, which are all consistent with herpes simplex virus infection. Additionally, the histopathologic findings of the tissue biopsy show ulcerated colorectal mucosa, abnormal granulation tissue, and epithelial cells with viral nuclear inclusion, which also support the diagnosis of herpes simplex virus infection.
Lymphogranuloma venereum (LGV) could have also been a consideration given the patient's sexual history and the empiric treatment started with oral doxycycline. However, the negative results of the workup for common sexually transmitted infections and the low RPR titer, which was previously higher, make LGV less likely.
Rectal syphilis, although a possible consideration given the patient's past history of syphilis and the low RPR titer, is also less likely given the lack of other symptoms and physical exam findings commonly associated with syphilis, such as oral or genital ulcerations.
Gonorrhea was ruled out due to the negative results of the workup for common sexually transmitted infections.
In conclusion, herpes simplex virus infection is the most likely diagnosis in this case, given the patient's symptoms, physical examination, and histopathologic findings.</t>
  </si>
  <si>
    <r>
      <rPr>
        <sz val="12"/>
        <color theme="1"/>
        <rFont val="Calibri"/>
      </rPr>
      <t xml:space="preserve">Viral encephalitis with Guillain-Barré syndrome
Bickerstaff encephalitis
</t>
    </r>
    <r>
      <rPr>
        <b/>
        <sz val="12"/>
        <color theme="1"/>
        <rFont val="Calibri"/>
      </rPr>
      <t xml:space="preserve">Acute disseminated encephalomyelitis
</t>
    </r>
    <r>
      <rPr>
        <sz val="12"/>
        <color theme="1"/>
        <rFont val="Calibri"/>
      </rPr>
      <t>Spinal cord compression</t>
    </r>
  </si>
  <si>
    <t xml:space="preserve">Acute disseminated encephalomyelitis
</t>
  </si>
  <si>
    <t>The most likely diagnosis in this case is Acute Disseminated Encephalomyelitis (ADEM). The patient's symptoms of weakness that progressed rapidly, combined with the MRI findings of bilateral, asymmetric areas of high signal intensity in the subcortical and deep white matter, and the elevated CSF protein with lymphocytic pleocytosis, all suggest ADEM. Additionally, the normal findings on nerve conduction studies, which show abnormalities consistent with demyelination, support the diagnosis of ADEM.
ADEM is a monophasic autoimmune disorder that causes demyelination in the brain and spinal cord. It can occur after a viral or bacterial infection, which is consistent with the patient's history of a recent upper respiratory tract infection.
Bickerstaff encephalitis is unlikely in this case because it typically presents with an abrupt onset of ataxia, ophthalmoplegia, and altered consciousness, without limb weakness, which are not present in this patient.
Viral encephalitis with Guillain-Barré syndrome is a possibility, but the negative result of the polymerase chain reaction for herpes simplex virus and the lack of typical findings, such as peripheral motor nerve demyelination and axonal degeneration, make it less likely.
Spinal cord compression is not supported by the normal findings on MRI of the cervical spine with contrast, and the absence of findings that suggest spinal cord compression such as pain, tenderness, or decreased sensation in the limbs.
To rule out ADEM, further workup would need to be done, including tests for autoimmune diseases and further evaluation for any underlying infectious causes. In addition, the patient's response to treatment, such as the use of corticosteroids and other immunosuppressive therapies, will help to confirm the diagnosis.</t>
  </si>
  <si>
    <r>
      <rPr>
        <sz val="12"/>
        <color theme="1"/>
        <rFont val="Calibri"/>
      </rPr>
      <t xml:space="preserve">Acute stress disorder
Panic disorder
Obsessive-compulsive disorder
Adjustment disorder
</t>
    </r>
    <r>
      <rPr>
        <b/>
        <sz val="12"/>
        <color theme="1"/>
        <rFont val="Calibri"/>
      </rPr>
      <t>Posttraumatic stress disorder</t>
    </r>
  </si>
  <si>
    <t>The most likely diagnosis in this case is Posttraumatic Stress Disorder (PTSD).
Rationale: The patient's symptoms, such as recurrent nightmares and flashbacks, hypervigilance, difficulty sleeping, and avoidance behaviors are consistent with the diagnostic criteria for PTSD, which is characterized by the development of symptoms following exposure to a traumatic event. The patient's traumatic event in this case is his deployment in Afghanistan and witnessing the death of a fellow soldier.
The patient's reported symptoms of intrusive thoughts and vivid imagery also match the criteria for PTSD. Additionally, the patient's marked change in mood, negative outlook on life, and difficulty performing daily activities also align with the symptoms of PTSD.
Exclusion of other diagnoses:
Acute Stress Disorder: While the patient's symptoms are similar to Acute Stress Disorder (ASD), the fact that they have been present for 3 months, which is beyond the typical timeframe for ASD, rules out this diagnosis.
Panic Disorder: While the patient exhibits symptoms of anxiety and agitation, the presence of specific triggers related to his military experiences makes it unlikely that the patient's symptoms are due to Panic Disorder.
Obsessive-Compulsive Disorder: The patient's symptoms do not seem to be due to intrusive thoughts and compulsive behaviors, which are hallmark features of OCD.
Adjustment Disorder: The patient's symptoms appear to be a direct result of his traumatic experience in Afghanistan, rather than an adjustment to a specific stressor. Additionally, the symptoms are more severe and persistent than what is typically seen in Adjustment Disorder.
Findings that would cause one to rule out PTSD: If the patient's symptoms were found to have been pre-existing prior to his deployment, or if the patient had a history of similar symptoms in response to other stressors, it would suggest that the symptoms are not solely a result of the traumatic event and PTSD may not be the correct diagnosis. Additionally, if the patient were to develop symptoms not typically associated with PTSD, such as auditory or visual hallucinations, it would suggest that a different psychiatric condition may be present.</t>
  </si>
  <si>
    <r>
      <rPr>
        <sz val="12"/>
        <color theme="1"/>
        <rFont val="Calibri"/>
      </rPr>
      <t xml:space="preserve">Eczema
Scrotal dermatitis
Fungal infection
</t>
    </r>
    <r>
      <rPr>
        <b/>
        <sz val="12"/>
        <color theme="1"/>
        <rFont val="Calibri"/>
      </rPr>
      <t xml:space="preserve">Cutaneous metastatic prostatic adenocarcinoma
</t>
    </r>
  </si>
  <si>
    <t>The most likely diagnosis in this case is cutaneous metastatic prostatic adenocarcinoma. The presence of a scrotal rash in a patient with a history of prostate cancer that has recurred and become castrate resistant, as well as an elevated PSA level (155 ng/dL), is highly suggestive of cutaneous metastasis. This is further supported by the findings on bone scan, which reveal evidence of rib and spine metastasis.
Eczema can cause erythematous, maculopapular rashes, but it typically presents with pruritus, which is not mentioned in this case. Additionally, the patient's history of cancer, elevated PSA levels, and the presence of metastasis make eczema an unlikely diagnosis.
Scrotal dermatitis can also present with an erythematous, maculopapular rash, but it is typically associated with a history of irritant exposure or moisture, neither of which is mentioned in this case.
A fungal infection can also cause an erythematous, maculopapular rash, but it is typically accompanied by scaling, itching, or other symptoms that are not mentioned in this case.
The presence of the scrotal rash, elevated PSA level, and the evidence of metastasis, in conjunction with the patient's history of prostate cancer, make cutaneous metastatic prostatic adenocarcinoma the most likely diagnosis. A biopsy to confirm the diagnosis and to determine the extent of the disease would be recommended.</t>
  </si>
  <si>
    <t>True Positve, yes</t>
  </si>
  <si>
    <r>
      <rPr>
        <sz val="12"/>
        <color theme="1"/>
        <rFont val="Calibri"/>
      </rPr>
      <t xml:space="preserve">Bipolar I disorder
Bipolar II disorder
</t>
    </r>
    <r>
      <rPr>
        <b/>
        <sz val="12"/>
        <color theme="1"/>
        <rFont val="Calibri"/>
      </rPr>
      <t xml:space="preserve">Cyclothymic disorder
</t>
    </r>
    <r>
      <rPr>
        <sz val="12"/>
        <color theme="1"/>
        <rFont val="Calibri"/>
      </rPr>
      <t>Major depressive disorder
Borderline personality disorder</t>
    </r>
  </si>
  <si>
    <t>The most likely diagnosis in this case is Bipolar I Disorder.
Rationale:
The patient's description of her mood pattern, including alternation between periods of euphoria and depression, along with increased energy and racing thoughts during the "up" phase, and decreased energy and anhedonia during the "low" phase, are consistent with the hallmark symptoms of bipolar disorder.
The duration of the "up" phase (2-3 days) and "low" phase (3-5 days) and the absence of intermediate phases suggest a pattern of rapid cycling, which is more common in Bipolar I Disorder than in Bipolar II Disorder.
The patient's history of mood symptoms starting in junior high and getting worse in college is consistent with the onset of bipolar disorder, which usually occurs in late adolescence or early adulthood.
The patient's lack of problematic behavior (such as overspending, hypersexuality, or engaging in risky behavior) during the "up" phase suggests that the symptoms are not severe enough to cause manic symptoms, which are characteristic of Bipolar I Disorder.
Findings that would rule out the differential:
If the patient had a history of hypomanic episodes lasting at least 4 days and major depressive episodes lasting at least 2 weeks, Bipolar II Disorder would be more likely than Bipolar I Disorder.
If the patient had symptoms consistent with borderline personality disorder, such as intense and unstable interpersonal relationships, impulsive behavior, and identity disturbance, Borderline Personality Disorder would be considered.
If the patient had a history of chronic, subthreshold mood symptoms lasting at least 2 years, Cyclothymic Disorder would be considered.
If the patient had a history of persistent and predominant major depressive episodes without any manic or hypomanic symptoms, Major Depressive Disorder would be considered.</t>
  </si>
  <si>
    <t>False Positive, yes</t>
  </si>
  <si>
    <t>Yes, needed Xrays to identify</t>
  </si>
  <si>
    <r>
      <rPr>
        <b/>
        <sz val="12"/>
        <color theme="1"/>
        <rFont val="Calibri"/>
      </rPr>
      <t xml:space="preserve">Septic arthritis
</t>
    </r>
    <r>
      <rPr>
        <sz val="12"/>
        <color theme="1"/>
        <rFont val="Calibri"/>
      </rPr>
      <t xml:space="preserve">
Transient synovitis
Legg-Calvé-Perthes disease
Slipped capital femoral epiphysis</t>
    </r>
  </si>
  <si>
    <t>The most likely diagnosis in this case is Septic Arthritis, based on the history of evolving symptoms, fever, and pain in the affected joint. The positive tenderness to palpation at the left groin and decreased range of motion in the left hip also support this diagnosis.
Transient Synovitis, which is characterized by a viral infection causing acute joint pain and swelling, is a possibility but it is unlikely given the child's history of worsening symptoms and the presence of fever.
Legg-Calvé-Perthes disease is a childhood hip disorder where the blood supply to the head of the femur is disrupted, leading to avascular necrosis. This is an unlikely diagnosis as the patient is only 7 years old, and this disease is typically seen in children aged 4-10.
Slipped Capital Femoral Epiphysis is a hip disorder where the head of the femur slides off the neck of the femur. This is an unlikely diagnosis as the patient has pain in both the hip and the knee and there are no physical findings to suggest this diagnosis, such as hip effusion or limb length discrepancy.
Ruling out Septic Arthritis as the diagnosis would require further testing such as joint aspiration and bacterial cultures to determine the presence of infection in the joint. If the tests are negative, then the other diagnoses could be considered.</t>
  </si>
  <si>
    <t>https://reference.medscape.com/viewarticle/975148_2</t>
  </si>
  <si>
    <r>
      <rPr>
        <sz val="12"/>
        <color theme="1"/>
        <rFont val="Calibri"/>
      </rPr>
      <t xml:space="preserve">Non–islet cell insulin-producing neuroendocrine tumor
</t>
    </r>
    <r>
      <rPr>
        <b/>
        <sz val="12"/>
        <color theme="1"/>
        <rFont val="Calibri"/>
      </rPr>
      <t xml:space="preserve">Insulinoma
</t>
    </r>
    <r>
      <rPr>
        <sz val="12"/>
        <color theme="1"/>
        <rFont val="Calibri"/>
      </rPr>
      <t xml:space="preserve">
Factitious hypoglycemia due to insulin administration
Factitious hypoglycemia due to sulfonylurea consumption</t>
    </r>
  </si>
  <si>
    <t>The most likely diagnosis in this case is insulinoma, based on the symptoms and results of the patient's laboratory investigations.
Rationale:
The patient presents with symptoms of hypoglycemia, including syncope, excessive sweating, tachycardia, and elevated blood pressure. The patient's random fingerstick glucose level was 44 mg/dL, and his plasma glucose level dropped to the mid-30s during attempts to wean him off intravenous dextrose, suggesting persistent hypoglycemia. The patient reported having low blood glucose levels during fasting and after high-carbohydrate meals, which is typical of insulinoma.
Additionally, the patient's low insulin level (3 µIU/mL), low proinsulin level (5 pmol/L), and high C-peptide level (1.0 ng/mL) are consistent with insulinoma, a rare tumor of the pancreas that produces excessive insulin, leading to hypoglycemia. The elevated IGF-2 level (400 ng/mL) and normal beta-hydroxybutyrate level (4.7 mg/dL) further support the diagnosis of insulinoma.
Findings that would cause us to rule out the differential:
If the patient had a history of using insulin or sulfonylureas, factitious hypoglycemia due to insulin administration or sulfonylurea consumption would have to be considered as a possible differential. However, the patient reported no such use, making these diagnoses less likely.
In the absence of any physical signs or symptoms of a neuroendocrine tumor, non-islet cell insulin-producing neuroendocrine tumor is also unlikely. If further testing revealed elevated levels of hormones associated with neuroendocrine tumors, such as gastrin or vasoactive intestinal peptide, this diagnosis would have to be reconsidered.
In conclusion, the patient's symptoms, clinical presentation, and laboratory investigations suggest insulinoma as the most likely diagnosis, with factitious hypoglycemia due to insulin administration or sulfonylurea consumption and non-islet cell insulin-producing neuroendocrine tumor as less likely differentials.</t>
  </si>
  <si>
    <t>moderate</t>
  </si>
  <si>
    <r>
      <rPr>
        <sz val="12"/>
        <color theme="1"/>
        <rFont val="Calibri"/>
      </rPr>
      <t xml:space="preserve">Paget disease
</t>
    </r>
    <r>
      <rPr>
        <b/>
        <sz val="12"/>
        <color theme="1"/>
        <rFont val="Calibri"/>
      </rPr>
      <t xml:space="preserve">Vitamin D deficiency
</t>
    </r>
    <r>
      <rPr>
        <sz val="12"/>
        <color theme="1"/>
        <rFont val="Calibri"/>
      </rPr>
      <t>Osteogenesis imperfecta
Hypophosphatemic rickets</t>
    </r>
  </si>
  <si>
    <t>The most likely diagnosis in this case is Hypophosphatemic Rickets. The patient is a 14-year-old male with four fractures over the past 2 years and a history of type 1 diabetes, Hashimoto thyroiditis, and a low vitamin D level. The patient's fractures were associated with trauma, but were more common than expected among his peers. He also has osteopenia noted on an outside radiology report.
The laboratory results support the diagnosis of Hypophosphatemic Rickets, with a low phosphorus level (3 mg/dL) and a low 25-hydroxy vitamin D level (20 ng/mL). The elevated alkaline phosphatase level (370 IU/L) and the low femoral neck, hip, and lumbar spine Z-scores on DEXA scanning also support this diagnosis.
While Paget disease can present with fractures, the presence of type 1 diabetes and Hashimoto thyroiditis, as well as the elevated alkaline phosphatase level, make it less likely. Vitamin D deficiency can lead to fractures, but the low phosphorus level makes this less likely. Osteogenesis imperfecta can cause fractures, but the patient does not have a history of previous fractures or other findings, such as joint hypermobility or skin laxity, that would support this diagnosis.
To confirm the diagnosis of Hypophosphatemic Rickets, further testing may be necessary, including gene mutations or X-ray examinations of the bones. The treatment for Hypophosphatemic Rickets would involve correction of the underlying cause, such as supplementation of vitamin D and phosphorus, and management of the patient's type 1 diabetes and Hashimoto thyroiditis.</t>
  </si>
  <si>
    <t>False Positve, no</t>
  </si>
  <si>
    <r>
      <rPr>
        <sz val="12"/>
        <color theme="1"/>
        <rFont val="Calibri"/>
      </rPr>
      <t xml:space="preserve">Celiac disease
</t>
    </r>
    <r>
      <rPr>
        <b/>
        <sz val="12"/>
        <color theme="1"/>
        <rFont val="Calibri"/>
      </rPr>
      <t xml:space="preserve">Colorectal cancer
</t>
    </r>
    <r>
      <rPr>
        <sz val="12"/>
        <color theme="1"/>
        <rFont val="Calibri"/>
      </rPr>
      <t>Anaplasmosis
Peptic ulcer disease
Small intestinal bacterial overgrowth</t>
    </r>
  </si>
  <si>
    <t>Peptic ulcer disease is the most likely diagnosis in this case. The patient presents with a history of abdominal cramping that radiates to the chest with a burning sensation and worsening shortness of breath, which are typical symptoms of peptic ulcer disease. The positive guaiac test also supports this diagnosis. The patient's use of aspirin, which is a known risk factor for peptic ulcer disease, adds to the likelihood of this diagnosis.
The patient's low hemoglobin level, which can be seen in cases of upper gastrointestinal bleeding, along with the antral erosions found on endoscopy, further support the diagnosis of peptic ulcer disease. The proton pump inhibitor therapy started for the patient is also in line with this diagnosis.
Although other options such as small intestine bacterial overgrowth, colorectal cancer, and celiac disease can present with symptoms similar to peptic ulcer disease, the presence of gastric antral erosions and guaiac-positive stool, along with the patient's use of aspirin and low ferritin level, make these other options less likely. Additionally, the normal duodenum seen on endoscopy and the absence of significant past medical history and travel history suggest that anaplasmosis is unlikely.
To rule out peptic ulcer disease, additional testing such as further evaluation of the patient's stool, blood work, and further imaging studies may be necessary. However, based on the current presentation and laboratory findings, peptic ulcer disease is the most likely diagnosis.</t>
  </si>
  <si>
    <r>
      <rPr>
        <sz val="12"/>
        <color theme="1"/>
        <rFont val="Calibri"/>
      </rPr>
      <t xml:space="preserve">Giant cell myocarditis
</t>
    </r>
    <r>
      <rPr>
        <b/>
        <sz val="12"/>
        <color theme="1"/>
        <rFont val="Calibri"/>
      </rPr>
      <t xml:space="preserve">Eosinophilic myocarditis
</t>
    </r>
    <r>
      <rPr>
        <sz val="12"/>
        <color theme="1"/>
        <rFont val="Calibri"/>
      </rPr>
      <t xml:space="preserve">Viral myocarditis
Hypersensitivity myocarditis
</t>
    </r>
  </si>
  <si>
    <t>Based on the given clinical presentation, laboratory findings and elevated troponin level, the most likely diagnosis in this case is Eosinophilic myocarditis. Eosinophilic myocarditis is a rare form of myocarditis and can present with symptoms such as fever, headache, fatigue, and chest pain which is consistent with this patient's presentation. The elevated eosinophil count (30%) is supportive of a diagnosis of eosinophilic myocarditis, as eosinophilia is a hallmark of this condition. The elevated troponin level also suggests myocardial injury, which can occur in eosinophilic myocarditis due to the presence of eosinophils in the heart tissue.
Giant cell myocarditis, although a cause of elevated troponin level and myocardial injury, is less likely in this case due to the lack of specific findings such as heart failure, arrhythmias, and a high rate of sudden cardiac death which are commonly associated with giant cell myocarditis.
Viral myocarditis is a common cause of myocarditis, but in this case, the patient's COVID-19 polymerase chain reaction test was negative, and the elevated eosinophil count is not typically seen in viral myocarditis.
Hypersensitivity myocarditis is less likely in this case as it usually presents with symptoms such as fever, rash, and evidence of systemic involvement. The lack of these symptoms and the elevated eosinophil count make hypersensitivity myocarditis less likely.
Therefore, based on the given information, Eosinophilic myocarditis is the most likely diagnosis, and further evaluation including imaging, endomyocardial biopsy, and immunologic testing may be necessary to confirm the diagnosis.</t>
  </si>
  <si>
    <t>True Positive, yes</t>
  </si>
  <si>
    <r>
      <rPr>
        <sz val="12"/>
        <color theme="1"/>
        <rFont val="Calibri"/>
      </rPr>
      <t xml:space="preserve">Antiphospholipid syndrome
</t>
    </r>
    <r>
      <rPr>
        <b/>
        <sz val="12"/>
        <color theme="1"/>
        <rFont val="Calibri"/>
      </rPr>
      <t xml:space="preserve">Lupus-associated thrombotic thrombocytopenic purpura
</t>
    </r>
    <r>
      <rPr>
        <sz val="12"/>
        <color theme="1"/>
        <rFont val="Calibri"/>
      </rPr>
      <t>Sepsis-induced thrombocytopenia
Idiopathic thrombocytopenic purpura
Disseminated intravascular coagulation</t>
    </r>
  </si>
  <si>
    <t xml:space="preserve">Lupus-associated thrombotic thrombocytopenic purpura
</t>
  </si>
  <si>
    <t>The most likely diagnosis in this case is Lupus-associated Thrombotic Thrombocytopenic Purpura (TTP). This diagnosis is suggested by the patient's history of systemic lupus erythematosus (SLE), recent increase in prednisone dose, and the presence of schistocytes on peripheral blood smear. Additionally, the elevated levels of lactate dehydrogenase (LDH) and haptoglobin, as well as a low platelet count, are indicative of TTP.
Antiphospholipid syndrome can also cause thrombocytopenia and microangiopathy, but in this case, the antiphospholipid syndrome panel and coombs test results are negative, making it less likely.
Sepsis-induced thrombocytopenia typically occurs in conjunction with elevated levels of inflammatory markers and a positive blood culture, but both the blood and urine cultures in this case were negative.
Idiopathic thrombocytopenic purpura (ITP) can cause isolated thrombocytopenia, but it typically does not cause microangiopathy, as evidenced by the presence of schistocytes. Additionally, the patient's elevated levels of LDH and haptoglobin are more consistent with TTP than ITP.
Disseminated intravascular coagulation (DIC) can also cause thrombocytopenia and microangiopathy, but the normal levels of PT, PTT, fibrinogen, and antithrombin III function make it less likely in this case.
To rule out TTP, further diagnostic workup may include performing a von Willebrand factor (vWF) cleaving protease (ADAMTS13) activity and inhibitor assay, as well as renal and cerebral imaging to rule out other potential causes of TTP, such as lupus nephritis or central nervous system involvement.</t>
  </si>
  <si>
    <r>
      <rPr>
        <sz val="12"/>
        <color theme="1"/>
        <rFont val="Calibri"/>
      </rPr>
      <t xml:space="preserve">Tuberculous meningitis
Space-occupying lesion
</t>
    </r>
    <r>
      <rPr>
        <b/>
        <sz val="12"/>
        <color theme="1"/>
        <rFont val="Calibri"/>
      </rPr>
      <t xml:space="preserve">Pseudotumor cerebri
</t>
    </r>
    <r>
      <rPr>
        <sz val="12"/>
        <color theme="1"/>
        <rFont val="Calibri"/>
      </rPr>
      <t>Choroid plexus papilloma</t>
    </r>
  </si>
  <si>
    <t>The most likely diagnosis in this case is Pseudotumor cerebri, also known as idiopathic intracranial hypertension (IIH).
Rationale: The patient presents with a 5-month history of diffuse headaches, transient visual obscurations, and pulsatile tinnitus, which are all consistent with the symptoms of IIH. The presence of bilateral optic disc swelling and sixth nerve palsy on the left side on examination, as well as an elevated opening pressure of 300 mm H20 on lumbar puncture, further supports this diagnosis. The normal findings on MRA and MRV, as well as the lack of meningeal enhancement or parenchymal lesion on MRI, also support the diagnosis of IIH.
Findings that would rule out this diagnosis: The presence of a space-occupying lesion or other intracranial pathology, such as a mass or tumor, on imaging studies would rule out the diagnosis of IIH. Additionally, if the patient were to develop symptoms such as fever, neck pain, vomiting, photophobia, altered sensorium, or seizures, it would also raise concerns for an alternative diagnosis and would necessitate further evaluation.
Exclusion of other options: Tuberculous meningitis can cause increased intracranial pressure, but the absence of fever, neck pain, and other findings such as a positive acid-fast bacilli (AFB) smear or culture, as well as a negative RA and ANA, make this diagnosis less likely. A choroid plexus papilloma is a rare, benign tumor that occurs in the ventricular system and can present with increased intracranial pressure, but the lack of a mass or tumor seen on imaging studies makes this diagnosis unlikely.</t>
  </si>
  <si>
    <r>
      <rPr>
        <sz val="12"/>
        <color theme="1"/>
        <rFont val="Calibri"/>
      </rPr>
      <t xml:space="preserve">Heterotopic pregnancy
Ovarian torsion
</t>
    </r>
    <r>
      <rPr>
        <b/>
        <sz val="12"/>
        <color theme="1"/>
        <rFont val="Calibri"/>
      </rPr>
      <t xml:space="preserve">Ovarian hyperstimulation syndrome
</t>
    </r>
    <r>
      <rPr>
        <sz val="12"/>
        <color theme="1"/>
        <rFont val="Calibri"/>
      </rPr>
      <t>Pulmonary embolism</t>
    </r>
  </si>
  <si>
    <t xml:space="preserve">Ovarian hyperstimulation syndrome
</t>
  </si>
  <si>
    <t>The most likely diagnosis in this case is Ovarian Hyperstimulation Syndrome (OHSS). The rationale for this diagnosis is that the patient presents with symptoms consistent with OHSS, such as abdominal pain and distension, nausea, and vomiting, which are also exacerbated by deep breathing and lying flat. This patient has a known history of PCOS and has undergone controlled ovarian stimulation (COS) with gonadotropins three weeks before presentation. The high peak estradiol level during COS (4638 pg/mL) further supports the diagnosis of OHSS. The ultrasound images also show that the ovaries are enlarged and fluid-filled, which is consistent with OHSS.
To rule out the differential diagnosis, additional testing can be performed. For example, pulmonary embolism (PE) can be ruled out by performing a CT scan of the chest and abdomen, which would reveal the presence of PE. Ovarian torsion can be ruled out by performing a color Doppler ultrasound, which would show decreased or absent blood flow to the ovary in case of torsion. Heterotopic pregnancy can be ruled out by performing a beta-hCG test to check for the presence of a viable pregnancy.
In conclusion, the patient's symptoms, medical history, high peak estradiol level, and ultrasound findings strongly support the diagnosis of OHSS. Further testing can help to rule out other differential diagnoses.</t>
  </si>
  <si>
    <t>True Postive, yes</t>
  </si>
  <si>
    <r>
      <rPr>
        <sz val="12"/>
        <color theme="1"/>
        <rFont val="Calibri"/>
      </rPr>
      <t xml:space="preserve">Chronic obstructive pulmonary disease exacerbation
Diastolic heart failure exacerbation
Severe mitral valve regurgitation
</t>
    </r>
    <r>
      <rPr>
        <b/>
        <sz val="12"/>
        <color theme="1"/>
        <rFont val="Calibri"/>
      </rPr>
      <t xml:space="preserve">Pseudoallergic reaction
</t>
    </r>
    <r>
      <rPr>
        <sz val="12"/>
        <color theme="1"/>
        <rFont val="Calibri"/>
      </rPr>
      <t>Sepsis secondary to upper respiratory tract infection</t>
    </r>
  </si>
  <si>
    <t xml:space="preserve">Diastolic heart failure exacerbation
</t>
  </si>
  <si>
    <t>The most likely diagnosis in this case is diastolic heart failure exacerbation.
Rationale: The patient presents with orthopnea, dyspnea on exertion, and an increase in peripheral edema, all of which are common symptoms of heart failure. The elevated BNP level, a biomarker for heart failure, supports this diagnosis. The ECG findings of poor R-wave progression and evidence of left ventricular hypertrophy also suggest a history of myocardial infarction, which could have led to heart failure.
Findings that would cause us to rule out this differential include elevated troponin levels, which would suggest an acute coronary syndrome rather than heart failure, and the presence of a new murmur or rub, which could indicate an acute valvular problem. Additionally, if the patient had a history of severe obstructive lung disease and presented with wheezing or rales, this would also rule out a diagnosis of heart failure and suggest a exacerbation of chronic obstructive pulmonary disease instead.
In conclusion, based on the patient's symptoms, laboratory results, and ECG findings, diastolic heart failure exacerbation is the most likely diagnosis. However, other diagnoses should be considered and ruled out if necessary.</t>
  </si>
  <si>
    <t>https://reference.medscape.com/viewarticle/973582_3</t>
  </si>
  <si>
    <r>
      <rPr>
        <b/>
        <sz val="12"/>
        <color theme="1"/>
        <rFont val="Calibri"/>
      </rPr>
      <t xml:space="preserve">Renal cell carcinoma
</t>
    </r>
    <r>
      <rPr>
        <sz val="12"/>
        <color theme="1"/>
        <rFont val="Calibri"/>
      </rPr>
      <t>Wilms tumor
Polycystic kidney disease
Pheochromocytoma</t>
    </r>
  </si>
  <si>
    <t>Based on the information provided, the most likely diagnosis is Renal Cell Carcinoma.
Rationale: The patient's CT scan of the abdomen and pelvis reveals a right renal mass with a renal vein thrombosis, which is suggestive of tumor thrombus, a characteristic finding in renal cell carcinoma. The scattered subcentimeter round, well-circumscribed pulmonary nodules at the lung bases are also concerning for metastatic spread of the renal cell carcinoma. Additionally, the patient's low hemoglobin level, elevated calcium level, and positive urinalysis for blood support this diagnosis.
Findings that would cause us to rule out Renal Cell Carcinoma as a differential include:
The presence of characteristic findings of other renal tumors, such as Wilms Tumor or clear cell sarcoma.
The absence of characteristic imaging findings, such as a solid, enhancing renal mass with central necrosis, and the presence of alternative findings, such as multiple cysts, which are more consistent with Polycystic Kidney Disease.
The presence of elevated levels of catecholamines or their metabolites in the urine, which would suggest Pheochromocytoma.
In conclusion, Renal Cell Carcinoma is the most likely diagnosis based on the information provided. Further investigation, such as a biopsy or additional imaging studies, would be necessary to confirm the diagnosis and to evaluate for metastatic spread.</t>
  </si>
  <si>
    <t>https://reference.medscape.com/viewarticle/933451_2</t>
  </si>
  <si>
    <r>
      <rPr>
        <sz val="12"/>
        <color theme="1"/>
        <rFont val="Calibri"/>
      </rPr>
      <t xml:space="preserve">Ibuprofen-related acute kidney injury
Pott disease
</t>
    </r>
    <r>
      <rPr>
        <b/>
        <sz val="12"/>
        <color theme="1"/>
        <rFont val="Calibri"/>
      </rPr>
      <t xml:space="preserve">Multiple myeloma
</t>
    </r>
    <r>
      <rPr>
        <sz val="12"/>
        <color theme="1"/>
        <rFont val="Calibri"/>
      </rPr>
      <t>Primary paraspinal pyomyositis</t>
    </r>
  </si>
  <si>
    <t>The most likely diagnosis in this case is multiple myeloma.
Rationale: The patient presents with fatigue, low back pain, feverish feelings, and weight loss, which are all common symptoms of multiple myeloma. The elevated ESR and calcium levels, along with the normocytic normochromic anemia, are also consistent with this diagnosis. The normal chest and thoracolumbar spine radiography findings and negative results from the HIV screen test suggest that the patient's symptoms are not related to infections.
Findings that would rule out multiple myeloma would be a normal bone marrow biopsy and negative results for M-protein, a hallmark of this disease. Additionally, if the MRI of the spine showed evidence of Pott disease, a type of spinal tuberculosis, this would be a more likely explanation for the patient's symptoms. However, the patient's history of travel to the Bahamas and the fact that he does not have any other bone or joint symptoms make Pott disease a less likely diagnosis.
In conclusion, while further testing is needed to confirm the diagnosis, multiple myeloma is the most likely explanation for this patient's symptoms based on their history and initial blood tests.</t>
  </si>
  <si>
    <t xml:space="preserve">Facial Spasms in a Man Recently Released From the Hospital
</t>
  </si>
  <si>
    <t>https://reference.medscape.com/viewarticle/973267_3</t>
  </si>
  <si>
    <r>
      <rPr>
        <sz val="12"/>
        <color theme="1"/>
        <rFont val="Calibri"/>
      </rPr>
      <t xml:space="preserve">Giant cell arteritis
Myasthenia gravis
Transient ischemic attack
</t>
    </r>
    <r>
      <rPr>
        <b/>
        <sz val="12"/>
        <color theme="1"/>
        <rFont val="Calibri"/>
      </rPr>
      <t>Partial cranial nerve III palsy</t>
    </r>
  </si>
  <si>
    <t>Giant cell arteritis</t>
  </si>
  <si>
    <t>The most likely diagnosis in this case is Giant Cell Arteritis (GCA). This is a systemic vasculitis that primarily affects the temporal artery and is a common cause of sudden-onset headache and diplopia in older individuals. The patient's age (76 years), sudden-onset of headache and diplopia, resolution of symptoms over several days, and history of previous hemicranial headache and visual disturbances are all suggestive of GCA. The positive finding of right hemifacial spasms and right ocular motor nerve paresis also supports a diagnosis of GCA, as cranial nerve involvement is common in GCA.
Myasthenia gravis (MG) can also cause diplopia and ocular motor nerve paresis, but it typically presents with symmetric weakness of ocular and facial muscles, whereas the patient in this case only has symptoms affecting the right side. Additionally, MG typically causes fatigue and worsening of symptoms with prolonged use of the affected muscles, which was not reported by the patient.
A Transient Ischemic Attack (TIA) can cause sudden-onset headache and diplopia, but TIAs typically resolve within a few minutes to hours and do not result in permanent visual or motor deficits. The patient in this case reported that his symptoms lasted for several days before resolving.
Partial Cranial Nerve III Palsy is a differential consideration, however, the patient's symptoms of headache and diplopia, as well as his history of hemicranial headache and visual disturbances, are more consistent with GCA. Additionally, the presence of hemifacial spasms supports a diagnosis of GCA rather than partial cranial nerve III palsy.
In order to rule out GCA, further workup including erythrocyte sedimentation rate (ESR) and C-reactive protein (CRP) level, temporal artery biopsy, and possibly an imaging study such as magnetic resonance imaging (MRI) with contrast may be necessary. Elevated ESR and CRP levels and the presence of inflammation on temporal artery biopsy are highly suggestive of GCA, while a normal biopsy would rule it out. An MRI with contrast can also be useful in evaluating the extent of involvement of the temporal artery, as well as in identifying any other affected vessels.</t>
  </si>
  <si>
    <t>CT image interpretation</t>
  </si>
  <si>
    <t>https://reference.medscape.com/viewarticle/720150_3</t>
  </si>
  <si>
    <r>
      <rPr>
        <sz val="12"/>
        <color theme="1"/>
        <rFont val="Calibri"/>
      </rPr>
      <t xml:space="preserve">Fatty infiltration of the pancreas
</t>
    </r>
    <r>
      <rPr>
        <b/>
        <sz val="12"/>
        <color theme="1"/>
        <rFont val="Calibri"/>
      </rPr>
      <t xml:space="preserve">Dorsal agenesis of the pancreas
</t>
    </r>
    <r>
      <rPr>
        <sz val="12"/>
        <color theme="1"/>
        <rFont val="Calibri"/>
      </rPr>
      <t>Pancreas divisum
Autogenesis of the pancreas</t>
    </r>
  </si>
  <si>
    <t xml:space="preserve">Fatty infiltration of the pancreas
</t>
  </si>
  <si>
    <t>The most likely diagnosis in this case is Fatty infiltration of the pancreas.
The rationale for this diagnosis is based on the CT scan of the abdomen and pelvis with oral and intravenous contrast, which shows a diffusely enlarged pancreas with homogenous enhancement and no evidence of ductal dilation or filling defects, suggesting fatty infiltration rather than inflammation or mass. Additionally, the normal findings of serum amylase, lipase, alkaline phosphatase, and the absence of any clinical symptoms such as nausea, vomiting, fever, or abdominal pain that worsens after eating, support the diagnosis of fatty infiltration.
Fatty infiltration of the pancreas is a common condition in patients with insulin-dependent diabetes mellitus, who often have poor control of their blood sugar levels, and a recent hemoglobin A1c value of 10% in this patient supports this diagnosis. Hypertension, hyperlipidemia, and a previous episode of idiopathic pancreatitis are also risk factors for pancreatic fat infiltration.
To rule out this differential, the presence of a mass on imaging studies or evidence of ductal dilation or filling defects would be concerning for another cause of pancreatic disease such as pancreatic cancer, and would warrant further evaluation. Additionally, if there were an elevated level of serum amylase, lipase or any clinical symptoms of pancreatitis, such as abdominal pain that worsens after eating, nausea, vomiting, or fever, this would also lead to the exclusion of fatty infiltration as the diagnosis.
In contrast, dorsal agenesis of the pancreas is a rare congenital anomaly in which a portion of the pancreas is absent, and typically presents in childhood with symptoms of malabsorption, malnutrition, and diabetes. The normal findings of serum amylase, lipase, and the absence of any clinical symptoms of malabsorption or malnutrition in this patient support exclusion of this diagnosis.
Pancreas divisum is a congenital condition in which the ducts of the pancreas do not fuse, leading to possible pancreatitis. The absence of ductal dilation or filling defects on imaging studies, as well as the normal findings of serum amylase, lipase, and the absence of clinical symptoms of pancreatitis, support the exclusion of this diagnosis.
Autogenesis of the pancreas is a rare congenital condition in which the pancreas develops from multiple buds, leading to the formation of separate pancreatic tissue masses. The diffusely enlarged pancreas with homogenous enhancement on imaging studies, as well as the absence of discrete masses, supports the exclusion of this diagnosis.</t>
  </si>
  <si>
    <r>
      <rPr>
        <sz val="12"/>
        <color theme="1"/>
        <rFont val="Calibri"/>
      </rPr>
      <t xml:space="preserve">Acute lymphoblastic leukemia
Chronic lymphocytic leukemia
Chronic myelomonocytic leukemia
Hairy cell leukemia
</t>
    </r>
    <r>
      <rPr>
        <b/>
        <sz val="12"/>
        <color theme="1"/>
        <rFont val="Calibri"/>
      </rPr>
      <t>Hairy cell leukemia variant</t>
    </r>
  </si>
  <si>
    <t>The most likely diagnosis in this case is Hairy Cell Leukemia (HCL). This is a type of slow-growing leukemia characterized by the presence of abnormal B cells that have hair-like projections, as described in the patient's peripheral blood smear. The atypical lymphocytes seen in the peripheral blood smear, along with the patient's high white blood cell count and absolute lymphocyte count, are consistent with HCL.
The flow cytometry results also support the diagnosis of HCL, with the abnormal cell population expressing bright CD11c, CD19, CD20, CD45, CD103, and monotypic lambda light chain, and being negative for CD5, CD10, CD23, and CD25. The bone marrow biopsy results, with the neoplastic cells being positive for CD20 and PAX5 and negative for CD5, CD10, cyclin D1, BCL-6, and CD123, also suggest HCL.
Exclusion of other options:
Acute Lymphoblastic Leukemia (ALL) is a more aggressive form of leukemia that presents with rapidly dividing immature cells, whereas HCL is a slow-growing leukemia. Furthermore, ALL typically presents with monocytopenia, which was not present in this case.
Chronic Lymphocytic Leukemia (CLL) and Chronic Myelomonocytic Leukemia (CML) can also be ruled out as they typically present with monocytopenia, which was not present in this case. Additionally, the peripheral blood smear results and flow cytometry findings in this case are not consistent with either CLL or CML.
Finally, Hairy Cell Leukemia Variant (HCL-V) can be ruled out as this variant typically presents with marked cytopenias and evidence of pancytopenia, which was not present in this case. The patient's white blood cell count and absolute lymphocyte count are also not consistent with HCL-V.
In conclusion, based on the patient's presentation, laboratory findings, and peripheral blood smear, HCL is the most likely diagnosis in this case.</t>
  </si>
  <si>
    <t>High</t>
  </si>
  <si>
    <t>https://reference.medscape.com/viewarticle/842254_3</t>
  </si>
  <si>
    <r>
      <rPr>
        <sz val="12"/>
        <color theme="1"/>
        <rFont val="Calibri"/>
      </rPr>
      <t xml:space="preserve">Ventricular fibrillation
</t>
    </r>
    <r>
      <rPr>
        <b/>
        <sz val="12"/>
        <color theme="1"/>
        <rFont val="Calibri"/>
      </rPr>
      <t xml:space="preserve">Atrial fibrillation
</t>
    </r>
    <r>
      <rPr>
        <sz val="12"/>
        <color theme="1"/>
        <rFont val="Calibri"/>
      </rPr>
      <t>Torsade de pointes
Sinus tachycardia</t>
    </r>
  </si>
  <si>
    <r>
      <rPr>
        <sz val="12"/>
        <color theme="1"/>
        <rFont val="Calibri"/>
      </rPr>
      <t>Atrial fibrillation</t>
    </r>
  </si>
  <si>
    <t>Based on the patient's symptoms of palpitations and shortness of breath, the most likely diagnosis is atrial fibrillation. The patient's rapid and irregular heart rate on examination and the absence of any chest pain or obvious signs of distress supports this diagnosis. The patient's history of increased stress and coffee consumption, along with a family history of premature cardiovascular disease, also increases the likelihood of this diagnosis.
Atrial fibrillation is a type of arrhythmia characterized by an irregular heart rate and rapid ventricular response, which can cause palpitations and shortness of breath. Adenosine administration and a lack of response to the medication further support this diagnosis, as adenosine is often used to diagnose and treat supraventricular tachycardias, which includes atrial fibrillation.
Ventricular fibrillation, torsade de pointes, and sinus tachycardia are less likely diagnoses in this case. Ventricular fibrillation is a life-threatening arrhythmia characterized by chaotic, disorganized electrical activity in the ventricles, and typically presents with symptoms such as sudden cardiac arrest, unconsciousness, and respiratory arrest. The patient's brief period of asystole following adenosine administration may suggest ventricular fibrillation, but the rapid heart rate returning after the episode makes it less likely.
Torsade de pointes is a type of ventricular tachycardia characterized by a specific type of heart rhythm pattern and a prolonged QT interval on electrocardiogram (ECG). Sinus tachycardia, on the other hand, is a normal response of the heart to increased physical activity, stress, or certain medical conditions, and typically presents with a regular heart rate. The patient's irregular heart rate and absence of physical symptoms such as light-headedness or chest pain suggest that sinus tachycardia is a less likely diagnosis.
To rule out these other differential diagnoses, further testing such as an ECG and continuous cardiac monitoring would be necessary to determine the exact nature of the patient's arrhythmia and confirm the diagnosis of atrial fibrillation.</t>
  </si>
  <si>
    <r>
      <rPr>
        <sz val="12"/>
        <color theme="1"/>
        <rFont val="Calibri"/>
      </rPr>
      <t xml:space="preserve">Allergic contact dermatitis
Herpes simplex
Impetigo
</t>
    </r>
    <r>
      <rPr>
        <b/>
        <sz val="12"/>
        <color theme="1"/>
        <rFont val="Calibri"/>
      </rPr>
      <t>Dyshidrotic eczema</t>
    </r>
  </si>
  <si>
    <t>The most likely diagnosis in this case is dyshidrotic eczema. Dyshidrotic eczema is a type of dermatitis that affects the hands and feet and is characterized by the development of pruritic, fluid-filled vesicles. It is more commonly seen in women and people under stress, and the symptoms typically last for 3 to 4 weeks.
The patient's presentation of vesiculobullous lesions on the feet and hands, pruritus, and lack of response to topical treatment are consistent with dyshidrotic eczema. Additionally, the patient's long-standing condition of nonpitting edema of the legs also supports this diagnosis.
To rule out dyshidrotic eczema, the physician may perform a skin biopsy to confirm the diagnosis. If the biopsy is negative for dyshidrotic eczema, then the differential would shift towards other causes of vesiculobullous lesions, such as allergic contact dermatitis or herpes simplex. Allergic contact dermatitis would present with a history of recent exposure to a new allergen and an eruption of vesicles with surrounding erythema. Herpes simplex would present with vesicles in clusters along a dermatome, which was not described in this case. Impetigo, which is a bacterial skin infection, would typically present with yellow-crusted lesions, which were not noted in this case.</t>
  </si>
  <si>
    <t>https://reference.medscape.com/viewarticle/893850_3</t>
  </si>
  <si>
    <r>
      <rPr>
        <sz val="12"/>
        <color theme="1"/>
        <rFont val="Calibri"/>
      </rPr>
      <t xml:space="preserve">Infectious agent causing gastroenteritis
Irritable bowel syndrome
Celiac disease
</t>
    </r>
    <r>
      <rPr>
        <b/>
        <sz val="12"/>
        <color theme="1"/>
        <rFont val="Calibri"/>
      </rPr>
      <t xml:space="preserve">Nonceliac gluten sensitivity
</t>
    </r>
    <r>
      <rPr>
        <sz val="12"/>
        <color theme="1"/>
        <rFont val="Calibri"/>
      </rPr>
      <t>Hyperthyroidism</t>
    </r>
  </si>
  <si>
    <t>The most likely diagnosis in this case is Nonceliac Gluten Sensitivity (NCGS). This diagnosis makes sense based on the patient's symptoms and the improvement in symptoms after cutting out gluten-containing foods and a subsequent return of symptoms upon reintroducing gluten-containing foods. While celiac disease was ruled out through negative serology results, NCGS is a separate entity from celiac disease and can still present with similar symptoms in the absence of celiac disease.
Other possible diagnoses, such as Irritable Bowel Syndrome (IBS), Hyperthyroidism, and Infectious agent causing gastroenteritis, can be ruled out based on the patient's physical examination and laboratory testing, which showed normal findings for these conditions. IBS can present with similar symptoms, but typically does not have a clear trigger like the patient's response to gluten-containing foods. Hyperthyroidism can cause loose stools, but is not typically associated with the "foggy brain" symptoms described by the patient. An infectious agent causing gastroenteritis would typically present with other symptoms such as fever, but these were not present in the patient.
It is also important to note that NCGS is a diagnosis of exclusion, meaning that other possible causes of the patient's symptoms must be ruled out before making the diagnosis. However, given the patient's response to removing gluten from her diet and the lack of findings to support other diagnoses, NCGS is the most likely diagnosis in this case.</t>
  </si>
  <si>
    <r>
      <rPr>
        <sz val="12"/>
        <color theme="1"/>
        <rFont val="Calibri"/>
      </rPr>
      <t xml:space="preserve">Clostridioides difficile colitis
Hyperthyroidism
Reactivation of lymphoma
Colon adenocarcinoma
</t>
    </r>
    <r>
      <rPr>
        <b/>
        <sz val="12"/>
        <color theme="1"/>
        <rFont val="Calibri"/>
      </rPr>
      <t>SARS-CoV-2 infection</t>
    </r>
  </si>
  <si>
    <t>The most likely diagnosis in this case is Clostridioides difficile colitis.
Rationale: The patient presents with 5-day history of worsening diarrhea and weakness, which are common symptoms of C. difficile colitis. The fact that her symptoms have not improved with the use of psyllium fiber supplement also suggests that the underlying cause is not simply related to constipation. Additionally, her past medical history of well-controlled type 2 diabetes and GERD may put her at increased risk for C. difficile infection.
Findings that would cause me to rule out this differential include positive results from a test for SARS-CoV-2 or other infectious causes such as Salmonella, E. coli, or Campylobacter infection. Additionally, the presence of other symptoms such as abdominal pain, hematemesis, hematochezia, or stool incontinence, and the presence of abnormal findings on physical examination such as abdominal masses, hernias, or lymphadenopathy, would also prompt me to consider other diagnoses.
Hyperthyroidism can also present with symptoms such as diarrhea, weakness, and palpitations, but the absence of other classic symptoms such as weight loss, heat intolerance, tremors, or goiter, makes it less likely in this case. Reactivation of lymphoma may present with similar symptoms, but the absence of symptoms such as night sweats, fever, weight loss, and the long history of remission, make it less likely in this case. Colon adenocarcinoma may also present with symptoms such as diarrhea and weakness, but the absence of other symptoms such as abdominal pain, weight loss, and rectal bleeding, and the normal result of a recent colonoscopy make it less likely in this case. SARS-CoV-2 infection may present with symptoms such as fatigue, weakness, and diarrhea, but the negative results of a rapid antigen test and the absence of other symptoms such as fever, cough, and shortness of breath make it less likely in this case.</t>
  </si>
  <si>
    <t>https://reference.medscape.com/viewarticle/745798_3</t>
  </si>
  <si>
    <r>
      <rPr>
        <sz val="12"/>
        <color theme="1"/>
        <rFont val="Calibri"/>
      </rPr>
      <t xml:space="preserve">Myocardial infarction
Torsade de pointes secondary to long-QT syndrome
Hypertrophic cardiomyopathy
</t>
    </r>
    <r>
      <rPr>
        <b/>
        <sz val="12"/>
        <color theme="1"/>
        <rFont val="Calibri"/>
      </rPr>
      <t>Prinzmetal angina or variant angina</t>
    </r>
  </si>
  <si>
    <t>The likely diagnosis of these repeated episodes of cardiac arrest with no identified ST segment or T-wave changes is Prinzmetal angina or variant angina.
Rationale: Prinzmetal angina, also known as variant angina, is a form of angina that occurs at rest and is often associated with ST-segment elevation on ECG. It is caused by spasms of the coronary arteries, which can lead to sudden, severe chest pain and can also lead to cardiac arrest. The patient's presentation of chest pain at rest and episodes of cardiac arrest are consistent with the symptoms of Prinzmetal angina. Additionally, the patient's history of hypertension, hyperlipidemia, and active tobacco use are risk factors for Prinzmetal angina.
Findings that would rule out this differential: If the patient's symptoms are found to be caused by a more chronic form of angina, such as stable angina, or by another condition such as a myocardial infarction or hypertrophic cardiomyopathy, then Prinzmetal angina would be ruled out as the likely diagnosis.
Exclusion of other options:
Myocardial infarction: Myocardial infarction typically causes ST-segment elevation on ECG and is associated with a more gradual onset of symptoms. The patient's normal ECG findings and sudden onset of symptoms are not consistent with myocardial infarction.
Torsade de pointes secondary to long-QT syndrome: Torsade de pointes is a type of ventricular tachycardia that can cause cardiac arrest. However, this condition is typically associated with a prolonged QTc interval on ECG, which is not seen in the patient's case.
Hypertrophic cardiomyopathy: Hypertrophic cardiomyopathy is characterized by left ventricular hypertrophy, which can cause sudden cardiac arrest. However, the patient's bedside echocardiogram showed normal wall motion and preserved ejection fraction, making this diagnosis less likely.</t>
  </si>
  <si>
    <t>https://reference.medscape.com/viewarticle/971990_3</t>
  </si>
  <si>
    <r>
      <rPr>
        <b/>
        <sz val="12"/>
        <color theme="1"/>
        <rFont val="Calibri"/>
      </rPr>
      <t xml:space="preserve">Central cord syndrome
</t>
    </r>
    <r>
      <rPr>
        <sz val="12"/>
        <color theme="1"/>
        <rFont val="Calibri"/>
      </rPr>
      <t>Thoracic spine fracture
Acromioclavicular joint dislocation
Brachial plexus injury</t>
    </r>
  </si>
  <si>
    <t>The most likely diagnosis in this case is Central Cord Syndrome.
Central Cord Syndrome is a type of spinal cord injury that results in more severe weakness and/or loss of sensation in the arms compared to the legs. This is due to the fact that the center of the spinal cord, which is responsible for voluntary movement and fine motor control of the arms, is more susceptible to injury than the rest of the spinal cord. In addition, the patient's history of a fall and subsequent worsening of arm pain, weakness, and numbness is consistent with this diagnosis.
The physical examination findings of tenderness through T2-T10, decreased upper-extremity strength bilaterally, normal reflexes and strength in both lower extremities, and difficulty in raising himself from a lying to a standing position also support the diagnosis of Central Cord Syndrome.
The negative cervical and lumbar spine radiographs and the absence of tenderness over the acromioclavicular joint and step-off deformity also rule out Thoracic Spine Fracture and Acromioclavicular Joint Dislocation, respectively.
Brachial Plexus Injury could also be a consideration, however, the absence of neck pain and the presence of weakness and numbness bilaterally suggest that the injury is not limited to a single peripheral nerve, but rather is affecting the spinal cord.
An MRI of the cervical and thoracic spine with and without contrast will likely confirm the diagnosis of Central Cord Syndrome and provide further information about the extent of the injury and its impact on the spinal cord.</t>
  </si>
  <si>
    <r>
      <rPr>
        <sz val="12"/>
        <color theme="1"/>
        <rFont val="Calibri"/>
      </rPr>
      <t xml:space="preserve">Essential thrombocytosis
Severe iron deficiency anemia
</t>
    </r>
    <r>
      <rPr>
        <b/>
        <sz val="12"/>
        <color theme="1"/>
        <rFont val="Calibri"/>
      </rPr>
      <t xml:space="preserve">Chronic myeloid leukemia
</t>
    </r>
    <r>
      <rPr>
        <sz val="12"/>
        <color theme="1"/>
        <rFont val="Calibri"/>
      </rPr>
      <t>Chronic lymphocytic leukemia</t>
    </r>
  </si>
  <si>
    <t xml:space="preserve">yes </t>
  </si>
  <si>
    <t>The most likely diagnosis in this case is Chronic myeloid leukemia (CML). The differential diagnosis is essential thrombocytosis, severe iron deficiency anemia, and chronic lymphocytic leukemia.
Rationale for Chronic myeloid leukemia (CML) as the most likely diagnosis:
The peripheral blood smear reveals thrombocytosis (platelet count of 3,056,000 cells/µL) and polychromatophilic red cells with circulating blasts, which are characteristic of CML.
The results of the bone marrow cytogenetic analysis are positive for t(9;22), which is the Philadelphia chromosome and a hallmark of CML.
The review of outside records showed an elevated platelet count several years prior to the current presentation, which is consistent with the chronic and indolent progression of CML.
Findings that would rule out CML:
If the patient had normal blood count and normal cytogenetics, it would rule out CML.
If the patient had a different cytogenetic abnormality, such as trisomy 8 or deletion of chromosome 17, it would also rule out CML.
Rationale for excluding Essential thrombocytosis:
Essential thrombocytosis is another condition that can cause thrombocytosis, but it does not typically present with circulating blasts or the Philadelphia chromosome.
In essential thrombocytosis, the platelet count is typically higher and there is no cytogenetic abnormality.
Rationale for excluding Severe iron deficiency anemia:
The patient's iron saturation and ferritin levels are low (8% and 8 ng/mL), consistent with iron deficiency anemia, but this does not explain the presence of circulating blasts and the Philadelphia chromosome.
Rationale for excluding Chronic lymphocytic leukemia:
Chronic lymphocytic leukemia is a type of leukemia that primarily affects the B cells, but the peripheral blood smear does not reveal immunophenotypically abnormal T or B cells, and the bone marrow examination does not show an increased number of lymphocytes.
In conclusion, based on the patient's peripheral blood smear, bone marrow examination, and cytogenetics, the most likely diagnosis is Chronic myeloid leukemia (CML).</t>
  </si>
  <si>
    <r>
      <rPr>
        <sz val="12"/>
        <color theme="1"/>
        <rFont val="Calibri"/>
      </rPr>
      <t xml:space="preserve">Chronic aortic dissection
Ischemic cardiomyopathy
Chronic obstructive pulmonary disease
</t>
    </r>
    <r>
      <rPr>
        <b/>
        <sz val="12"/>
        <color theme="1"/>
        <rFont val="Calibri"/>
      </rPr>
      <t>Chronic thromboembolic pulmonary hypertension</t>
    </r>
  </si>
  <si>
    <t>The most likely diagnosis in this case is Chronic Thromboembolic Pulmonary Hypertension (CTEPH).
Rationale:
The patient has a long-standing history of dyspnea, which has progressively worsened over the past 2 years, and is worse upon exertion and associated with decreased exercise tolerance. No chest pain, palpitations, dizziness, or syncope are noted. The patient denies any cough, hemoptysis, fever, or weight loss. The cardiac stress test and pulmonary function testing were normal when the patient first presented to his primary care physician; however, the patient's symptoms have persisted and have progressively worsened. The physical examination is notable for a normal cardiac examination, except for a fixed split S2 and a prominent P2. The chest examination reveals bilateral equal air entry, without any wheezes, rhonchi, or rales. The laboratory investigations, including a complete blood count, comprehensive metabolic panel, B-type natriuretic peptide (BNP), and troponin, are all within normal limits. The ECG shows tall R waves in V1, inverted T waves in leads V1 to V4, II, II, and aVF. The CT angiogram of the chest reveals prominent central pulmonary arteries.
These findings, along with the patient's history and symptoms, suggest that the patient may have CTEPH, a form of pulmonary hypertension caused by the presence of chronic, organized thromboemboli in the pulmonary arterial circulation. The physical examination findings, including the fixed split S2 and prominent P2, as well as the ECG findings, support this diagnosis. The CT angiogram of the chest further confirms the presence of prominent central pulmonary arteries, which is a characteristic finding in CTEPH.
To rule out CTEPH, further tests, such as a pulmonary angiogram or a right heart catheterization, may be necessary to visualize the extent of thromboembolic occlusion and to confirm the diagnosis.
Excluding other options:
Chronic Aortic Dissection: This condition is typically associated with sudden, severe chest or back pain, which the patient does not have. Additionally, the CT angiogram of the chest does not show any evidence of aortic dissection.
Ischemic Cardiomyopathy: This condition is typically associated with a history of coronary artery disease or risk factors, such as smoking, hypertension, and diabetes, which the patient does not have. Additionally, the laboratory investigations, including the complete blood count, comprehensive metabolic panel, B-type natriuretic peptide (BNP), and troponin, are all within normal limits, and there is no evidence of ischemia on the ECG.
Chronic Obstructive Pulmonary Disease (COPD): This condition is typically associated with a history of smoking, cough, hemoptysis, and wheezing, which the patient does not have. Additionally, the chest radiography shows clear lung fields and the physical examination reveals bilateral equal air entry, without any wheezes, rhonchi, or rales.</t>
  </si>
  <si>
    <r>
      <rPr>
        <sz val="12"/>
        <color theme="1"/>
        <rFont val="Calibri"/>
      </rPr>
      <t xml:space="preserve">Brainstem stroke
</t>
    </r>
    <r>
      <rPr>
        <b/>
        <sz val="12"/>
        <color theme="1"/>
        <rFont val="Calibri"/>
      </rPr>
      <t xml:space="preserve">Foix-Chavany-Marie syndrome
</t>
    </r>
    <r>
      <rPr>
        <sz val="12"/>
        <color theme="1"/>
        <rFont val="Calibri"/>
      </rPr>
      <t>Myasthenia gravis
Botulism
Amyotrophic lateral sclerosis</t>
    </r>
  </si>
  <si>
    <t xml:space="preserve">Brainstem stroke
</t>
  </si>
  <si>
    <t>The most likely diagnosis in this case is Brainstem Stroke.
Rationale: The patient's sudden onset of inability to speak or swallow and bilateral loss of voluntary movement of cranial nerves V, VII, IX, X, and XII suggest a brainstem lesion. The physical examination findings of a wide-based gait with small steps, mild ataxia of the left limbs, brisk tendon reflexes on the right side, and a right Babinski sign, along with an absent gag reflex and increased jaw jerk, support this diagnosis. The patient's history of a left frontal ischemic stroke and multiple infarcts in the brain on MRI further increases the likelihood of a brainstem stroke.
Findings that would rule out this differential: If the patient's symptoms were to improve over time without any intervention, it would suggest that the cause is not a brainstem stroke. Additionally, if the patient were to develop a symmetrical limb weakness, it would suggest that the cause is not a brainstem lesion, but rather a more widespread process, such as myasthenia gravis or ALS.
Exclusion of other Differentials:
Foix-Chavany-Marie syndrome: This is a type of orofacial dyskinesia that typically occurs after a head injury, brain surgery, or infection, but the patient's history does not suggest any of these causes. Additionally, Foix-Chavany-Marie syndrome typically presents with involuntary movements of the face and mouth, whereas the patient has bilateral loss of voluntary movement of muscles supplied by cranial nerves V, VII, IX, X, and XII.
Myasthenia gravis: This is an autoimmune disorder that causes weakness of skeletal muscles, but it typically presents with symmetrical limb weakness, which is not present in this patient.</t>
  </si>
  <si>
    <r>
      <rPr>
        <sz val="12"/>
        <color theme="1"/>
        <rFont val="Calibri"/>
      </rPr>
      <t xml:space="preserve">Rhabdomyolysis
Perforation of the bladder secondary to the Foley catheter
Urothelial cell carcinoma
</t>
    </r>
    <r>
      <rPr>
        <b/>
        <sz val="12"/>
        <color theme="1"/>
        <rFont val="Calibri"/>
      </rPr>
      <t>Clot retention at the prostatic fossa</t>
    </r>
  </si>
  <si>
    <t>The most likely diagnosis in this case is Clot retention at the prostatic fossa.
This diagnosis makes sense as the patient recently underwent a transurethral resection of the prostate (TURP), which is a common procedure to treat benign prostatic hyperplasia. The presence of bilateral hydronephrosis and distension of the bladder with a large volume of clot seen on CT scan, along with the patient's symptoms of gross hematuria and urinary hesitancy, suggest that the patient is suffering from clot retention at the prostatic fossa, which is a known complication of TURP.
To rule out other differential diagnoses, it is important to consider the patient's past medical history and the results of other diagnostic tests. For example, the lack of dysuria, urinary incontinence, recent trauma, and muscle pain suggest that the patient does not have rhabdomyolysis. Additionally, the creatinine level and creatine kinase level are within normal range, indicating that there is no significant muscle damage.
Urothelial cell carcinoma may present with hematuria and urinary symptoms, but the lack of a significant increase in the creatinine level, the absence of RBC casts in the urinalysis, and the presence of a large volume of clot in the bladder make it less likely in this case.
The perforation of the bladder secondary to the Foley catheter can also cause hematuria, but in this case, the patient's symptoms of urinary hesitancy and the presence of bilateral hydronephrosis on CT scan are more indicative of clot retention at the prostatic fossa.
In conclusion, based on the patient's recent TURP procedure, symptoms, and imaging results, the most likely diagnosis is Clot retention at the prostatic fossa. Further management should include prompt removal of the clot and monitoring for any potential complications.</t>
  </si>
  <si>
    <r>
      <rPr>
        <sz val="12"/>
        <color theme="1"/>
        <rFont val="Calibri"/>
      </rPr>
      <t xml:space="preserve">Dietary indiscretion/stress hyperphagia
Acquired hypothyroidism
Stress hypercortisolemia and hyperphagia
</t>
    </r>
    <r>
      <rPr>
        <b/>
        <sz val="12"/>
        <color theme="1"/>
        <rFont val="Calibri"/>
      </rPr>
      <t>Cushing syndrome/endobronchial carcinoid with ectopic ACTH secretion</t>
    </r>
  </si>
  <si>
    <t>The most likely diagnosis in this case is Cushing syndrome/endobronchial carcinoid with ectopic ACTH secretion.
The patient's symptoms of fatigue, increased thirst, and leg cramps, along with his weight gain, facial flushing, and hypokalemia, all suggest hypercortisolemia. The elevated cortisol and ACTH levels, along with the failure of the high-dose overnight dexamethasone suppression test, are strong indicators of Cushing syndrome. The presence of a lung mass, along with the elevated ACTH level, raises the possibility of an ectopic ACTH-secreting carcinoid tumor.
The other differential diagnoses do not explain the patient's combination of symptoms as well as Cushing syndrome/endobronchial carcinoid. Dietary indiscretion/stress hyperphagia may cause weight gain, but it does not explain the patient's elevated cortisol levels. Acquired hypothyroidism may cause fatigue and weight gain, but it does not explain the patient's hypercortisolemia and hypokalemia. Stress hypercortisolemia and hyperphagia may cause weight gain and elevated cortisol levels, but it does not explain the patient's hypokalemia and facial flushing.
Ruling out the differential diagnoses can be done through further testing, such as radiology studies (e.g., CT scan or MRI) to determine the cause of the lung mass and hormonal tests (e.g., TSH, T4) to evaluate for hypothyroidism. A biopsy of the lung mass would also be necessary to confirm the presence of a carcinoid tumor.</t>
  </si>
  <si>
    <t>Yes, CT scan can help rule out some diagnosis that CGTP considered</t>
  </si>
  <si>
    <t>https://reference.medscape.com/viewarticle/753945_2</t>
  </si>
  <si>
    <r>
      <rPr>
        <sz val="12"/>
        <color theme="1"/>
        <rFont val="Calibri"/>
      </rPr>
      <t xml:space="preserve">Brain tumor
Brain abscess
Acute intraparenchymal bleed
</t>
    </r>
    <r>
      <rPr>
        <b/>
        <sz val="12"/>
        <color theme="1"/>
        <rFont val="Calibri"/>
      </rPr>
      <t xml:space="preserve">Colloid cyst
</t>
    </r>
    <r>
      <rPr>
        <sz val="12"/>
        <color theme="1"/>
        <rFont val="Calibri"/>
      </rPr>
      <t>No acute abnormality</t>
    </r>
  </si>
  <si>
    <t xml:space="preserve">Acute intraparenchymal bleed
</t>
  </si>
  <si>
    <t>The most likely diagnosis in this case is Acute Intraparenchymal Bleed, with findings of papilledema, venous engorgement, and a diminished venous pulse on ophthalmoscopy, and increased blood pressure and decreased visual acuity supporting this diagnosis. The patient's presentation of acute onset severe headache, nausea, vomiting, dizziness, blurred vision, and bilateral sixth cranial nerve palsy also support the diagnosis of an intracranial lesion. The development of a generalized tonic-clonic seizure and bilateral extensor plantar reflexes after the convulsion further support the diagnosis of an acute intracranial lesion.
A brain tumor could also present with headache and papilledema, but the rapid onset of symptoms and the presence of other findings such as increased blood pressure, sixth nerve palsy, and seizure activity make it less likely in this case. Brain abscess can also present with headache, fever, and decreased level of consciousness, but the absence of fever and focal findings on neurologic examination make it less likely. A colloid cyst, while it can cause headache, is typically a slow-growing lesion and is less likely to cause such an acute presentation. The absence of a significant medical history, positive family history of migraines, and rapid response to treatment with intravenous diazepam and phenytoin also make "no acute abnormality" a less likely diagnosis.
To rule out the other differentials, further imaging studies such as MRI or spinal tap could be performed to evaluate for other causes of intracranial lesions. Repeat ophthalmoscopy and visual acuity testing may also be performed to assess for improvement or progression of papilledema and decreased visual acuity.</t>
  </si>
  <si>
    <r>
      <rPr>
        <b/>
        <sz val="12"/>
        <color theme="1"/>
        <rFont val="Calibri"/>
      </rPr>
      <t xml:space="preserve">Acute pericarditis
</t>
    </r>
    <r>
      <rPr>
        <sz val="12"/>
        <color theme="1"/>
        <rFont val="Calibri"/>
      </rPr>
      <t>Acute inferior ST-segment myocardial infarction
Aortic dissection
Pulmonary embolus</t>
    </r>
  </si>
  <si>
    <t>Acute pericarditis</t>
  </si>
  <si>
    <t>The most likely diagnosis in this case is acute pericarditis.
The patient's symptoms, particularly the sharp retrosternal pain that worsens with deep breathing and lying down but improves with forward bending, are characteristic of acute pericarditis. The absence of dyspnea and palpitations also suggests that the patient's symptoms are not due to an acute coronary syndrome or a pulmonary embolus. The slightly elevated creatine kinase level and normal troponin I level are consistent with pericarditis, which can cause inflammation and injury to the myocardium.
Acute inferior ST-segment myocardial infarction is less likely in this case since the ECG shows no ST-segment elevation or Q waves in the inferior leads. Aortic dissection is less likely as the patient's symptoms do not include tearing or ripping chest pain, and the peripheral pulses are strong and symmetrical in all four extremities. Pulmonary embolus is also less likely since the patient does not have dyspnea or other respiratory symptoms, and there is no evidence of venous thrombosis on physical examination.</t>
  </si>
  <si>
    <t xml:space="preserve">A 53-Year-Old Waitress With a Cough and Constant Back Pain
</t>
  </si>
  <si>
    <r>
      <rPr>
        <sz val="12"/>
        <color theme="1"/>
        <rFont val="Calibri"/>
      </rPr>
      <t xml:space="preserve">Work-related injury
Sciatica
Osteoporosis
</t>
    </r>
    <r>
      <rPr>
        <b/>
        <sz val="12"/>
        <color theme="1"/>
        <rFont val="Calibri"/>
      </rPr>
      <t>Metastatic cancer</t>
    </r>
  </si>
  <si>
    <t>The most likely diagnosis in this case is Metastatic Cancer. This is because the patient presents with a new onset of back pain that has worsened over time and is not relieved by over-the-counter pain medication, which is not typical for work-related injury or sciatica. The presence of multiple lucent lesions in the vertebral bodies on the radiograph and MRI, along with the patient's past medical history of hypertension and hyperlipidemia, and her family history of colon and lung cancer, suggest a systemic disease. Additionally, the chest radiograph showing hyperinflated lungs and flattening of the diaphragm is consistent with a pulmonary problem, such as metastatic cancer.
Osteoporosis may cause vertebral body fractures and back pain, but it typically affects older individuals and is more commonly seen in postmenopausal women. Sciatica, which is a result of compression of the sciatic nerve, typically causes pain that radiates down the leg, which is not the case in this patient. Work-related injury can cause back pain, but the fact that the pain has worsened over time and is not relieved by pain medication suggests a more serious underlying condition.
Findings that would rule out metastatic cancer as a diagnosis would include a biopsy of the affected vertebral body or a tissue sample that shows the presence of a benign condition or infection, rather than cancer. Additionally, a negative result on further imaging studies, such as a PET scan, would also rule out metastatic cancer.</t>
  </si>
  <si>
    <t xml:space="preserve">Gastro Case Challenge: An Incarcerated 24-Year-Old With Dyspnea, Fatigue, and Chronic Nausea
</t>
  </si>
  <si>
    <r>
      <rPr>
        <sz val="12"/>
        <color theme="1"/>
        <rFont val="Calibri"/>
      </rPr>
      <t xml:space="preserve">Celiac sprue
</t>
    </r>
    <r>
      <rPr>
        <b/>
        <sz val="12"/>
        <color theme="1"/>
        <rFont val="Calibri"/>
      </rPr>
      <t xml:space="preserve">Idiopathic eosinophilic gastroenteritis
</t>
    </r>
    <r>
      <rPr>
        <sz val="12"/>
        <color theme="1"/>
        <rFont val="Calibri"/>
      </rPr>
      <t>Eosinophilic granuloma (histiocytosis X)
Crohn disease</t>
    </r>
  </si>
  <si>
    <t xml:space="preserve">Idiopathic eosinophilic gastroenteritis
</t>
  </si>
  <si>
    <t>Based on the patient's presentation and results of the diagnostic tests, the most likely underlying etiology of the patient's anemia is Idiopathic Eosinophilic Gastroenteritis.
The patient has a history of iron-deficiency anemia with low hemoglobin levels and low ferritin levels, and normal results from tests for celiac disease and other autoimmune conditions. The patient also has an elevated eosinophil count (1 × 10^9 cells/L) and the biopsy of the gastric mucosa showed nodular appearance, consistent with eosinophilic infiltration.
Eosinophilic Gastroenteritis is a condition characterized by infiltration of eosinophils in the gastrointestinal tract, leading to symptoms such as abdominal pain, nausea, vomiting, and diarrhea. It can cause anemia by causing chronic blood loss, malabsorption of iron, and decreased erythropoietin production.
The other options, Celiac Sprue and Crohn disease, can also cause anemia but typically present with other symptoms such as diarrhea and weight loss, which are not present in this patient. Eosinophilic granuloma (histiocytosis X) is a systemic condition that primarily affects the bones and skin and is unlikely to be the underlying cause of the patient's anemia in the absence of other associated symptoms.
In conclusion, the patient's anemia is most likely due to Idiopathic Eosinophilic Gastroenteritis, given the elevated eosinophil count and the findings on gastric biopsy. Further evaluation, including additional biopsies, may be necessary to confirm the diagnosis and rule out other potential causes of anemia.</t>
  </si>
  <si>
    <r>
      <rPr>
        <sz val="12"/>
        <color theme="1"/>
        <rFont val="Calibri"/>
      </rPr>
      <t xml:space="preserve">Anorexia nervosa
Abdominal tuberculosis
Addison disease (AD)
</t>
    </r>
    <r>
      <rPr>
        <b/>
        <sz val="12"/>
        <color theme="1"/>
        <rFont val="Calibri"/>
      </rPr>
      <t xml:space="preserve">Polyglandular failure (type I)
</t>
    </r>
    <r>
      <rPr>
        <sz val="12"/>
        <color theme="1"/>
        <rFont val="Calibri"/>
      </rPr>
      <t>Polyglandular failure (type II)</t>
    </r>
  </si>
  <si>
    <t>The most likely diagnosis in this case is Addison's disease (AD). The patient presents with characteristic symptoms such as chronic oral fungal infections, darkening of skin and oral mucosa, low-grade fever, and diarrhea. Additionally, her physical examination shows evidence of hyperpigmentation in the palmar creases and other areas, which is a common finding in Addison's disease. The low blood pressure and blood hemoglobin levels support the diagnosis, as Addison's disease can cause low blood pressure, decreased blood volume, and anemia.
Excluding other options:
Anorexia nervosa: Although the patient presents with decreased appetite and weight loss, anorexia nervosa is typically associated with intentional weight loss and distorted body image, and these symptoms are not reported in the case.
Abdominal tuberculosis: Although the patient presents with recurrent abdominal pain, vomiting, and diarrhea, abdominal tuberculosis is typically associated with other symptoms such as fever, weight loss, and night sweats, and these symptoms are not reported in the case.
Polyglandular failure (type I): This type of polygendocrine deficiency is characterized by the simultaneous or sequential involvement of the adrenal glands, parathyroid glands, and the anterior pituitary gland, but the patient has no history of parathyroid or pituitary involvement.
Polyglandular failure (type II): This type of polygendocrine deficiency is characterized by the simultaneous involvement of the adrenal glands, thyroid glands, and the gonads, but the patient has no history of gonadal involvement.
Further testing, such as serum cortisol and ACTH levels, can confirm the diagnosis of Addison's disease.</t>
  </si>
  <si>
    <t>False Positive, no</t>
  </si>
  <si>
    <r>
      <rPr>
        <sz val="12"/>
        <color theme="1"/>
        <rFont val="Calibri"/>
      </rPr>
      <t xml:space="preserve">Acute angle-closure glaucoma
Foreign body
</t>
    </r>
    <r>
      <rPr>
        <b/>
        <sz val="12"/>
        <color theme="1"/>
        <rFont val="Calibri"/>
      </rPr>
      <t xml:space="preserve">Infectious keratitis (bacterial)
</t>
    </r>
    <r>
      <rPr>
        <sz val="12"/>
        <color theme="1"/>
        <rFont val="Calibri"/>
      </rPr>
      <t>Hyphema</t>
    </r>
  </si>
  <si>
    <t>The most likely diagnosis in this case is Infectious Keratitis (bacterial).
Rationale:
The patient presented with swelling of the right eye, thick yellow discharge, decreased visual acuity, and a corneal ulcer at the 10 o'clock position. These are classic signs and symptoms of infectious keratitis, especially bacterial keratitis.
The presence of periorbital edema and erythema, as well as the tenderness of the right orbit, also supports the diagnosis of infectious keratitis.
The laboratory results showed a raised white blood cell count, which is a nonspecific finding that can be seen in infectious and inflammatory conditions.
The fact that the patient had a corneal transplant due to the progression of the corneal ulcer also supports the diagnosis of infectious keratitis, as it suggests that medical management was not sufficient in controlling the infection.
Findings that would cause us to rule out this differential:
If cultures and sensitivity tests showed that the cause of the corneal ulcer was a fungus or a virus, we would rule out bacterial keratitis as the cause.
If the patient had a history of recent trauma to the eye, we may consider foreign body as the cause.
If the patient's intraocular pressure was elevated, we may consider acute angle-closure glaucoma as the cause.
If there was evidence of blood in the anterior chamber, we may consider hyphema as the cause.</t>
  </si>
  <si>
    <r>
      <rPr>
        <sz val="12"/>
        <color theme="1"/>
        <rFont val="Calibri"/>
      </rPr>
      <t xml:space="preserve">Tricyclic antidepressant poisoning
Alcohol poisoning
</t>
    </r>
    <r>
      <rPr>
        <b/>
        <sz val="12"/>
        <color theme="1"/>
        <rFont val="Calibri"/>
      </rPr>
      <t xml:space="preserve">Opioid poisoning
</t>
    </r>
    <r>
      <rPr>
        <sz val="12"/>
        <color theme="1"/>
        <rFont val="Calibri"/>
      </rPr>
      <t>Cocaine intoxication
Digitalis poisoning</t>
    </r>
  </si>
  <si>
    <t xml:space="preserve">Opioid poisoning
</t>
  </si>
  <si>
    <t>The most likely explanation for this patient's cardiac arrest is opioid poisoning.
Rationale:
The administration of naloxone, an opioid antagonist, resulted in the patient waking up and becoming agitated, which suggests the presence of opioids in the patient's system.
The presence of track marks on the patient's forearms is further evidence of opioid use.
Symmetrical miosis (constricted pupils) is a well-known sign of opioid toxicity.
Findings that would cause me to rule out this differential:
If the patient had a history of tricyclic antidepressant use and showed signs of anticholinergic toxicity (such as dry skin, fever, and delirium), I would consider tricyclic antidepressant poisoning as a differential.
If the patient had a history of digitalis use and showed signs of digitalis toxicity (such as heart arrhythmias and electrocardiogram (ECG) changes), I would consider digitalis poisoning as a differential.
While alcohol and cocaine use are both associated with cardiac arrest, the administration of naloxone and the presence of track marks suggest opioid use as the most likely cause in this case.</t>
  </si>
  <si>
    <r>
      <rPr>
        <sz val="12"/>
        <color theme="1"/>
        <rFont val="Calibri"/>
      </rPr>
      <t xml:space="preserve">Thyroid cancer
</t>
    </r>
    <r>
      <rPr>
        <b/>
        <sz val="12"/>
        <color theme="1"/>
        <rFont val="Calibri"/>
      </rPr>
      <t>Scrofula</t>
    </r>
    <r>
      <rPr>
        <sz val="12"/>
        <color theme="1"/>
        <rFont val="Calibri"/>
      </rPr>
      <t xml:space="preserve">
Cervicofacial lymphangioma
Cat scratch disease</t>
    </r>
  </si>
  <si>
    <t>The most likely diagnosis in this case is Cervicofacial Lymphangioma.
Rationale: The presence of bilateral, palpable, nontender neck masses with no evidence of fixation to the adjacent soft tissues, no recent viral infection, fever, chills, or any other associated systemic symptoms and the normal CBC count suggest the possibility of a benign mass in the neck region.
Additionally, the imaging results of the contrast-enhanced CT scan also support the diagnosis of a benign neck mass, as lymphangiomas typically present as well-defined, cystic masses with homogeneous enhancement.
Scrofula, a tuberculous infection of the neck lymph nodes, can also present with neck masses but typically causes a tender, matted group of nodes and is usually associated with systemic symptoms such as weight loss and fatigue, which are not present in this case.
Thyroid cancer typically presents as a solitary, firm, fixed neck mass with evidence of local invasion and/or distant metastases, and may also be associated with hoarseness, dysphagia, or respiratory distress, which are not present in this case.
Cat scratch disease, a bacterial infection caused by the bacterium Bartonella henselae, is typically associated with a history of a recent cat scratch or bite and systemic symptoms such as fever, fatigue, and malaise, which are not present in this case.
Findings that would rule out the differential: If there were any signs of malignancy on the imaging study, such as local invasion or distant metastases, or if the patient developed any systemic symptoms or other concerning findings on physical examination, it would raise concern for a diagnosis other than Cervicofacial Lymphangioma and warrant further evaluation and imaging studies.</t>
  </si>
  <si>
    <r>
      <rPr>
        <sz val="12"/>
        <color theme="1"/>
        <rFont val="Calibri"/>
      </rPr>
      <t xml:space="preserve">Ruptured main bronchus
Spinal fracture
Cardiac tamponade
</t>
    </r>
    <r>
      <rPr>
        <b/>
        <sz val="12"/>
        <color theme="1"/>
        <rFont val="Calibri"/>
      </rPr>
      <t xml:space="preserve">Pneumorrhachis
</t>
    </r>
    <r>
      <rPr>
        <sz val="12"/>
        <color theme="1"/>
        <rFont val="Calibri"/>
      </rPr>
      <t>Mallory-Weiss tear</t>
    </r>
  </si>
  <si>
    <t>The most likely diagnosis in this case is Pneumorrhachis.
Rationale: The presence of air in the spinal canal, as seen in the CT scans (Figures 5 and 6), is the hallmark of Pneumorrhachis. The athletic activity and chest pain reported by the patient, along with the finding of subcutaneous emphysema and pneumomediastinum on the chest radiograph, all suggest a traumatic etiology for the Pneumorrhachis.
Findings that would cause us to rule out the differential: If the patient had any symptoms of spinal cord injury, such as paralysis or numbness, we would have to rule out Pneumorrhachis and consider spinal fracture as the differential. Additionally, if there was any evidence of a significant traumatic injury, such as a crush injury or severe blunt trauma, we would also have to consider spinal fracture as the differential.
Exclusion of other diagnoses:
Ruptured main bronchus: While pneumomediastinum can be seen with a ruptured main bronchus, the patient's symptoms and physical exam findings do not suggest a bronchial injury, and the CT findings of air in the spinal canal are more indicative of Pneumorrhachis.
Cardiac tamponade: The patient's normal vital signs, EKG, and cardiac examination make it unlikely that the patient has cardiac tamponade.
Mallory-Weiss tear: The patient's history and physical exam findings do not suggest a Mallory-Weiss tear. The CT findings of air in the spinal canal are more indicative of Pneumorrhachis.</t>
  </si>
  <si>
    <t>5 figures included</t>
  </si>
  <si>
    <r>
      <rPr>
        <sz val="12"/>
        <color theme="1"/>
        <rFont val="Calibri"/>
      </rPr>
      <t xml:space="preserve">Inflammatory breast cancer
</t>
    </r>
    <r>
      <rPr>
        <b/>
        <sz val="12"/>
        <color theme="1"/>
        <rFont val="Calibri"/>
      </rPr>
      <t xml:space="preserve">Primary breast cancer
</t>
    </r>
    <r>
      <rPr>
        <sz val="12"/>
        <color theme="1"/>
        <rFont val="Calibri"/>
      </rPr>
      <t>Metastasis from another primary site
Malignant phyllodes
Breast lymphoma</t>
    </r>
  </si>
  <si>
    <t xml:space="preserve">Inflammatory breast cancer
</t>
  </si>
  <si>
    <t>Based on the information provided, the most likely diagnosis in this case is Inflammatory breast cancer.
Inflammatory breast cancer (IBC) is a rare and aggressive form of breast cancer that often presents with symptoms like inversion of the nipple, peau d'orange, and skin thickening. The presentation of multiple masses with internal vascularity, marked skin thickening, and nipple retraction on mammography and CEMRI also supports the diagnosis of IBC. The finding of small, mobile lymph nodes in the right axilla further strengthens the diagnosis of IBC.
The other differential diagnoses like primary breast cancer, metastasis from another primary site, malignant phyllodes, and breast lymphoma can be ruled out based on the patient's history and imaging findings. Primary breast cancer typically presents as a solitary mass, while IBC presents with multiple masses and skin changes. Metastasis from another primary site would typically involve multiple organs, not just the breast. Malignant phyllodes typically presents as a large, well-defined, cystic mass with a thin rim of enhancing tissue, which is not seen in this case. Breast lymphoma typically presents as a rapidly growing, painless mass, without the skin changes and internal vascularity seen in this case.
In conclusion, the patient's presentation of inversion of the nipple, peau d'orange, and skin thickening along with the findings of multiple masses with internal vascularity and marked skin thickening on imaging supports the diagnosis of Inflammatory breast cancer.</t>
  </si>
  <si>
    <t xml:space="preserve">Vaginal Discharge, Fever in Pregnant Woman After Hawaii Trip
</t>
  </si>
  <si>
    <r>
      <rPr>
        <sz val="12"/>
        <color theme="1"/>
        <rFont val="Calibri"/>
      </rPr>
      <t xml:space="preserve">Multidrug-resistant bacterial organism chorioamnionitis
</t>
    </r>
    <r>
      <rPr>
        <b/>
        <sz val="12"/>
        <color theme="1"/>
        <rFont val="Calibri"/>
      </rPr>
      <t xml:space="preserve">Fungal chorioamnionitis
</t>
    </r>
    <r>
      <rPr>
        <sz val="12"/>
        <color theme="1"/>
        <rFont val="Calibri"/>
      </rPr>
      <t>Mycobacterial chorioamnionitis
COVID-19/viral chorioamnionitis</t>
    </r>
  </si>
  <si>
    <t>The most likely diagnosis in this case is multidrug-resistant bacterial organism chorioamnionitis.
Rationale:
The patient presents with a history of fever, chills, abdominal pain, and serosanguinous vaginal discharge, which are typical symptoms of chorioamnionitis, a serious and often life-threatening infection of the fetal membranes and amniotic fluid.
Her high white blood cell count (5790 cells/µL) and low hemoglobin (9.7 g/dL) and hematocrit (28.5%) levels are consistent with inflammation and bacterial infection.
The results of the blood and urine cultures will provide further information on the specific type of bacteria responsible for the infection, but empirical antibiotic therapy with ampicillin, gentamicin, and ceftriaxone has been started, which covers common causative organisms.
The patient's tachycardia, tachypnea, and hypoxia worsen and require oxygen supplementation, which are additional findings consistent with severe chorioamnionitis.
The patient's recent travel history to Hawaii with her husband in the navy, who may have been exposed to multidrug-resistant organisms, and her gynecologic history of infertility, spontaneous and therapeutic abortions, cervical HPV infection, and recent IVF procedure with egg retrieval, which may increase the risk of a bacterial infection, also suggest that chorioamnionitis is likely.
The results of the CT chest, which shows bilateral ground-glass opacities, are not consistent with COVID-19 or other viral causes of pneumonia.
The negative results of the PCR assay for COVID-19, the respiratory viral PCR panel, and the acute hepatitis panel, as well as the negative urinalysis and the lack of pyuria, also rule out other potential infectious causes.
Findings that would cause us to rule out the differential:
The results of the blood and urine cultures, which may identify a fungal, mycobacterial, or viral organism as the causative agent instead of a multidrug-resistant bacterial organism.
Evidence of drug toxicity from the antibiotic therapy, which may cause adverse reactions such as changes in liver function tests, electrolyte abnormalities, or kidney failure.
The results of further imaging studies, such as ultrasound or MRI, which may show findings consistent with other potential causes of the patient's symptoms, such as abruption of the placenta, preterm labor, or other conditions.
Evidence of a co-infection or underlying medical condition, such as autoimmune disease, which may cause or contribute to the patient's symptoms and require additional diagnostic or therapeutic interventions.</t>
  </si>
  <si>
    <t xml:space="preserve">Emergency Medicine Case Challenge: An Active-Duty Soldier With a Burning, Spreading Rash and Sore Throat
</t>
  </si>
  <si>
    <r>
      <rPr>
        <b/>
        <sz val="12"/>
        <color theme="1"/>
        <rFont val="Calibri"/>
      </rPr>
      <t xml:space="preserve">Henoch-Schönlein purpura
</t>
    </r>
    <r>
      <rPr>
        <sz val="12"/>
        <color theme="1"/>
        <rFont val="Calibri"/>
      </rPr>
      <t>Mixed cryoglobulinemia
Polyarteritis nodosa
Systemic lupus erythematosus
Hemolytic-uremic syndrome</t>
    </r>
  </si>
  <si>
    <t>Based on the given clinical presentation, the most likely diagnosis is Henoch-Schönlein purpura (HSP). HSP is a type of vasculitis that affects small vessels and is characterized by a triad of symptoms including a palpable purpura rash, abdominal pain, and joint pain or swelling. The patient presents with a rash that started at his sock line and spread proximally to his thighs, hands, and is concentrated in the posterior calves, palms, and soles of the feet, which is consistent with HSP. The patient also reported some right-ankle swelling and pain, which can be considered as joint pain or swelling, one of the triad symptoms of HSP. The skin biopsy results demonstrating small-vessel leukocytoclastic vasculitis also support the diagnosis of HSP.
Polyarteritis nodosa (PAN) and systemic lupus erythematosus (SLE) can also present with vasculitis, but the absence of significant constitutional symptoms such as fevers, chills, and weight loss make these diagnoses less likely in this case. PAN is characterized by involvement of medium and large arteries, whereas HSP primarily affects small vessels. SLE can present with a rash, but it is typically more widespread, involves the face, chest, and back, and is often accompanied by other systemic symptoms such as fever and fatigue.
Mixed cryoglobulinemia is a type of vasculitis that is associated with a monoclonal gammopathy and occurs more commonly in individuals with hepatitis C infection, but the patient's history is negative for hepatitis C, and he has no other symptoms or laboratory findings to suggest this diagnosis.
Hemolytic-uremic syndrome (HUS) is a form of thrombotic microangiopathy characterized by anemia, thrombocytopenia, and renal dysfunction, but the patient's anemia and thrombocytopenia are not severe, and there is no evidence of significant renal dysfunction. HUS also typically presents with abdominal pain and diarrhea, which are not present in this patient.
Therefore, based on the given clinical presentation, the most likely diagnosis is Henoch-Schönlein purpura (HSP).</t>
  </si>
  <si>
    <t xml:space="preserve">A 42-Year-Old With Declining Cognition and Frequent Vomiting
</t>
  </si>
  <si>
    <r>
      <rPr>
        <sz val="12"/>
        <color theme="1"/>
        <rFont val="Calibri"/>
      </rPr>
      <t xml:space="preserve">Glioblastoma
Choroid plexus papilloma
Retinoblastoma
</t>
    </r>
    <r>
      <rPr>
        <b/>
        <sz val="12"/>
        <color theme="1"/>
        <rFont val="Calibri"/>
      </rPr>
      <t>Metastatic melanoma</t>
    </r>
  </si>
  <si>
    <t>Based on the description of the patient's symptoms (gradual onset headache, nonprojectile vomiting, cognitive defects), physical examination (reactive right pupil), laboratory findings (normal hematologic parameters, elevated ESR), and imaging results (MRI showing hyperintense lesion with surrounding edema, excision revealing infiltrating tumor with nuclear pleomorphism, frequent mitotic activity), the most likely diagnosis is glioblastoma.
Glioblastoma is a high-grade brain tumor that typically presents with headache, cognitive deficits, and sometimes vomiting. The elevated ESR may be indicative of the presence of an underlying malignancy. The MRI findings of a hyperintense lesion with surrounding edema and the histopathologic findings of a tumor infiltrating into the Virchow-Robbins spaces and showing nuclear pleomorphism and frequent mitotic activity are consistent with a diagnosis of glioblastoma.
Choroid plexus papilloma is a rare, benign brain tumor that usually occurs in children and young adults, and is not typically associated with the symptoms described in this patient. The MRI findings of a hyperintense lesion with surrounding edema and the histopathologic findings of a tumor infiltrating into the Virchow-Robbins spaces are not consistent with a diagnosis of choroid plexus papilloma.
Retinoblastoma is a rare, malignant tumor of the retina that occurs primarily in children, and is not typically associated with the symptoms described in this patient. The MRI findings and histopathologic findings are not consistent with a diagnosis of retinoblastoma.
Metastatic melanoma is a malignancy that results from the spread of melanoma cells from a primary lesion, and may present with headache, cognitive deficits, and vomiting. However, the MRI findings of a hyperintense lesion with surrounding edema and the histopathologic findings of a tumor infiltrating into the Virchow-Robbins spaces and showing nuclear pleomorphism and frequent mitotic activity are more consistent with a diagnosis of glioblastoma.
Ruling out other differentials would require additional diagnostic tests, such as biopsy of the primary melanoma lesion or additional imaging studies to search for evidence of other metastatic lesions.</t>
  </si>
  <si>
    <r>
      <rPr>
        <sz val="12"/>
        <color theme="1"/>
        <rFont val="Calibri"/>
      </rPr>
      <t xml:space="preserve">Coccidiomycosis
Berger disease
</t>
    </r>
    <r>
      <rPr>
        <b/>
        <sz val="12"/>
        <color theme="1"/>
        <rFont val="Calibri"/>
      </rPr>
      <t xml:space="preserve">Mercury poisoning
</t>
    </r>
    <r>
      <rPr>
        <sz val="12"/>
        <color theme="1"/>
        <rFont val="Calibri"/>
      </rPr>
      <t>Kawasaki disease</t>
    </r>
  </si>
  <si>
    <t>The most likely diagnosis in this case is Kawasaki disease.
Rationale:
The patient presents with a 10-day history of dry cough, facial swelling, decreased appetite, irritability, and subjective fever. The patient has also developed edema in the hands and feet and has globally decreased deep tendon reflexes. The combination of these symptoms, particularly the periorbital swelling, pitting edema, and decreased reflexes, is highly suggestive of Kawasaki disease, a systemic vasculitis of unknown etiology that primarily affects children younger than 5 years of age. The patient's recent trip to southern Mexico and the use of a skin cream purchased there may also be contributing factors.
Findings that would cause us to rule out this differential:
If the patient were found to have a positive history of exposure to a fungal infection, such as bird or bat droppings, or if laboratory results showed a positive fungal culture or serology, the differential would shift towards coccidioidomycosis. If the patient were found to have a positive history of exposure to mercury or if laboratory results showed elevated mercury levels, the differential would shift towards mercury poisoning. If the patient were found to have a positive history of exposure to a streptococcal infection or if laboratory results showed elevated ASO or anti-DNase B titers, the differential would shift towards Berger disease (post-streptococcal glomerulonephritis).</t>
  </si>
  <si>
    <t>https://reference.medscape.com/viewarticle/729365_2</t>
  </si>
  <si>
    <r>
      <rPr>
        <sz val="12"/>
        <color theme="1"/>
        <rFont val="Calibri"/>
      </rPr>
      <t xml:space="preserve">Hypothyroidism
Electrolyte loss due to vomiting
</t>
    </r>
    <r>
      <rPr>
        <b/>
        <sz val="12"/>
        <color theme="1"/>
        <rFont val="Calibri"/>
      </rPr>
      <t xml:space="preserve">Hypopituitarism due to empty sella syndrome
</t>
    </r>
    <r>
      <rPr>
        <sz val="12"/>
        <color theme="1"/>
        <rFont val="Calibri"/>
      </rPr>
      <t>Primary adrenal insufficiency</t>
    </r>
  </si>
  <si>
    <t xml:space="preserve">Hypopituitarism due to empty sella syndrome
</t>
  </si>
  <si>
    <t>The most likely diagnosis for the 55-year-old man presenting with nausea and vomiting, anemia, decreased libido and impotence, hyponatremia, and MRI findings is Hypopituitarism due to empty sella syndrome.
The patient's hyponatremia is indicative of a hypothalamic or pituitary disorder. The lack of peripheral edema, absence of weight loss and normal liver and renal function tests suggest that the hyponatremia is not due to adrenal insufficiency. The patient's decreased libido and impotence are concerning for hypogonadism, which can be a manifestation of hypopituitarism.
The MRI findings show an empty sella, which can be due to the herniation of the pituitary gland into the sella turcica or to destruction of the gland. This can result in hypopituitarism, characterized by deficiency in one or more of the anterior pituitary hormones.
Electrolyte loss due to vomiting can also cause hyponatremia, but the patient's normal potassium levels and lack of peripheral edema would suggest against this diagnosis. Hypothyroidism can cause fatigue, decreased libido, and anemia, but it would not explain the hyponatremia and MRI findings.
In conclusion, the presence of hyponatremia, anemia, decreased libido and impotence, and MRI findings of empty sella syndrome suggest hypopituitarism as the most likely diagnosis, although further testing including hormonal level evaluations is necessary to confirm the diagnosis.</t>
  </si>
  <si>
    <t>yes, 7 figures</t>
  </si>
  <si>
    <r>
      <rPr>
        <sz val="12"/>
        <color theme="1"/>
        <rFont val="Calibri"/>
      </rPr>
      <t xml:space="preserve">Choledochal cyst
Portal hypertension
Abdominal vascular malformation
</t>
    </r>
    <r>
      <rPr>
        <b/>
        <sz val="12"/>
        <color theme="1"/>
        <rFont val="Calibri"/>
      </rPr>
      <t xml:space="preserve">Ruptured hepatic tumor
</t>
    </r>
    <r>
      <rPr>
        <sz val="12"/>
        <color theme="1"/>
        <rFont val="Calibri"/>
      </rPr>
      <t>Malignant hemoperitoneum</t>
    </r>
  </si>
  <si>
    <t>The most likely diagnosis in this case is Malignant Hemoperitoneum.
Rationale:
The patient has several clinical findings that suggest internal bleeding and severe blood loss, such as:
severe tachycardia (210 beats/min)
low blood pressure (50/40 mm Hg)
decreased level of consciousness
pale and flaccid appearance
low temperature (96.4°F)
depressed anterior fontanel
low hemoglobin level (6 g/dL)
elevated lactate level
hyperkalemia
bloodstained free fluid seen in paracentesis
These findings are consistent with a rapidly deteriorating state of severe blood loss and shock, and suggest a need for immediate resuscitation and further diagnostic evaluation. Hemoperitoneum, which is the presence of free blood in the abdominal cavity, can result from a variety of causes, such as a ruptured abdominal aneurysm, abdominal injury, or a ruptured hepatic tumor, which is one of the options. However, the patient's young age and the history of a large cystic mass that was previously diagnosed as a lymphatic malformation, which was treated with percutaneous sclerosis with doxycycline, suggest that the rupture of a hepatic tumor is unlikely. The patient's elevated AFP level (900 ng/mL), which is a tumor marker, also suggests that a malignancy may be present.
Findings that would rule out the differential of malignant hemoperitoneum would include:
absence of free fluid in the abdomen
normal hemoglobin and electrolyte levels
normal lactate level
absence of tachycardia and hypotension
In conclusion, malignant hemoperitoneum is the most likely diagnosis in this case given the patient's severe clinical findings and elevated AFP level, and the need for further diagnostic evaluation and immediate resuscitation is warranted.</t>
  </si>
  <si>
    <t>False Positive, No</t>
  </si>
  <si>
    <r>
      <rPr>
        <sz val="12"/>
        <color theme="1"/>
        <rFont val="Calibri"/>
      </rPr>
      <t xml:space="preserve">Cushing syndrome
Addison disease
Bartter syndrome
</t>
    </r>
    <r>
      <rPr>
        <b/>
        <sz val="12"/>
        <color theme="1"/>
        <rFont val="Calibri"/>
      </rPr>
      <t>Distal renal tubular acidosis</t>
    </r>
  </si>
  <si>
    <t>The most likely diagnosis in this case is Addison disease. Addison disease is a condition in which the adrenal glands do not produce enough of the hormones cortisol and aldosterone.
The patient's presentation of generalized muscle weakness, nonbilious emesis, and intermittent hematuria, combined with a low serum bicarbonate level and low pH on the arterial blood gas measurement, suggest primary adrenal insufficiency. A low bicarbonate level and low pH can occur in Addison disease as a result of a decrease in aldosterone secretion, which results in decreased renal excretion of hydrogen ions, leading to metabolic acidosis.
The presence of a positive pregnancy test result also supports the diagnosis of Addison disease, as it can sometimes present as an acute adrenal crisis during pregnancy, with severe nausea, vomiting, and hypotension.
Bartter syndrome and distal renal tubular acidosis can also present with metabolic acidosis, but they typically also have symptoms of hypokalemia, which are not present in this case. Cushing syndrome, which is characterized by excessive cortisol production, would not result in a low cortisol level, as seen in this case.
Findings that would rule out the diagnosis of Addison disease include normal levels of cortisol and aldosterone, or elevated levels of adrenocorticotropic hormone (ACTH) which would suggest secondary adrenal insufficiency. A normal adrenal gland on imaging would also suggest another cause for the patient's symptoms.</t>
  </si>
  <si>
    <t xml:space="preserve">An Anxious Hiker With Recurring Annular Rash and Sleep Loss
</t>
  </si>
  <si>
    <t>derm figure required</t>
  </si>
  <si>
    <t>https://reference.medscape.com/viewarticle/966775_3</t>
  </si>
  <si>
    <r>
      <rPr>
        <sz val="12"/>
        <color theme="1"/>
        <rFont val="Calibri"/>
      </rPr>
      <t xml:space="preserve">Erythema multiforme
Tinea corporis
</t>
    </r>
    <r>
      <rPr>
        <b/>
        <sz val="12"/>
        <color theme="1"/>
        <rFont val="Calibri"/>
      </rPr>
      <t>Urticaria</t>
    </r>
    <r>
      <rPr>
        <sz val="12"/>
        <color theme="1"/>
        <rFont val="Calibri"/>
      </rPr>
      <t xml:space="preserve">
Annular psoriasis
Erythema migrans
Subacute cutaneous lupus erythematosus</t>
    </r>
  </si>
  <si>
    <t>Subacute cutaneous lupus erythematosus</t>
  </si>
  <si>
    <t>The most likely diagnosis in this case is Subacute Cutaneous Lupus Erythematosus (SCLE).
Rationale: The clinical presentation of pruritic migratory eruption, past positivity for antimicrosomal antibodies, mild peripheral eosinophilia, and a family history of systemic lupus erythematosus all suggest that this patient may have SCLE, a type of autoimmune disease that primarily affects the skin. Furthermore, the patient's history of traveling to areas known for Lyme disease and her outdoor activities, as well as her recent use of a sulfa drug and a nonsteroidal anti-inflammatory drug, raise the possibility of an autoimmune process triggered by an infection or drug exposure.
Findings that would rule out SCLE and support other diagnoses include:
If a fungal culture of the lesions were positive for tinea, this would support a diagnosis of Tinea Corporis.
If the patient had significant oral and genital ulcers, this would suggest Erythema Multiforme.
If the patient had a history of recent insect bites or stings, or if the lesions showed a typical appearance of hive-like wheals, this would support a diagnosis of Urticaria.
If the patient had well-defined annular plaques with scale, this would support a diagnosis of Annular Psoriasis.
If the patient had a history of tick bite or exposure to Lyme-endemic areas, and had symptoms consistent with early Lyme disease (e.g. erythema migrans), this would support a diagnosis of Erythema Migrans.
Therefore, based on the patient's history and clinical presentation, a working diagnosis of SCLE is the most likely, with further tests and examinations needed to confirm or rule out this diagnosis and other possibilities.</t>
  </si>
  <si>
    <t>Psychiatry Case Challenge: A 9-Year-Old With Suicidal Behavior</t>
  </si>
  <si>
    <r>
      <rPr>
        <sz val="12"/>
        <color theme="1"/>
        <rFont val="Calibri"/>
      </rPr>
      <t xml:space="preserve">Munchausen syndrome (factitious disorder imposed on self)
Munchausen syndrome by proxy (factitious disorder imposed on another)
Schizophrenia
Conversion disorder
</t>
    </r>
    <r>
      <rPr>
        <b/>
        <sz val="12"/>
        <color theme="1"/>
        <rFont val="Calibri"/>
      </rPr>
      <t>Brief reactive psychosis</t>
    </r>
  </si>
  <si>
    <t>The most likely diagnosis in this case is Brief Reactive Psychosis. This diagnosis is made based on the sudden onset of hallucinations, delusions and serious destructive behavior, as well as his history of substance abuse and physical abuse from his mother's boyfriend. Additionally, the presence of flat affect, poor judgement, and average intellect for his age and grade are also consistent with this diagnosis.
Munchausen syndrome, Munchausen syndrome by proxy, and Conversion Disorder are not likely diagnoses in this case, as they involve the deliberate production or feigning of symptoms in oneself or another, which is not evident in this case.
Schizophrenia is not a likely diagnosis, as it is typically characterized by a gradual onset of symptoms, as well as a history of functional decline, which is not present in this case. Additionally, the presence of a specific trigger (i.e. substance abuse and physical abuse) suggests that the symptoms may be related to a brief episode of psychosis rather than a chronic condition like schizophrenia.
To rule out Brief Reactive Psychosis, further evaluations such as a neurological exam, imaging studies, and laboratory tests to rule out organic causes of the symptoms may be necessary. A thorough evaluation of the patient's history, including a detailed developmental and family history, will also be important to gain a better understanding of the patient's condition and to determine the best course of treatment.</t>
  </si>
  <si>
    <t xml:space="preserve">Neurology Case Challenge: Visual and Auditory Hallucinations in a Patient With Parkinson Disease
</t>
  </si>
  <si>
    <r>
      <rPr>
        <sz val="12"/>
        <color theme="1"/>
        <rFont val="Calibri"/>
      </rPr>
      <t xml:space="preserve">Vascular dementia
Parkinson disease dementia
</t>
    </r>
    <r>
      <rPr>
        <b/>
        <sz val="12"/>
        <color theme="1"/>
        <rFont val="Calibri"/>
      </rPr>
      <t xml:space="preserve">Dementia with Lewy bodies
</t>
    </r>
    <r>
      <rPr>
        <sz val="12"/>
        <color theme="1"/>
        <rFont val="Calibri"/>
      </rPr>
      <t>Carbidopa/levodopa side effects
Alzheimer disease</t>
    </r>
  </si>
  <si>
    <t xml:space="preserve">
Dementia with Lewy bodies</t>
  </si>
  <si>
    <t>The most likely diagnosis in this case is Dementia with Lewy bodies (DLB).
Rationale: The patient's history of Parkinson disease, altered mental status, agitation, hallucinations, and impaired memory, executive function, and visuospatial tasks are consistent with the clinical presentation of DLB. DLB is a neurodegenerative disorder that often co-occurs with Parkinson's disease and is characterized by symptoms such as cognitive decline, fluctuating cognition, visual hallucinations, and parkinsonian features, such as bradykinesia and rigidity. The patient's examination findings also support this diagnosis, as his blink rate is reduced and he has mild rigidity and bradykinesia.
Findings that would cause us to rule out this differential: If the patient were found to have a rapidly progressive cognitive decline, significant ventricular dilatation on brain imaging, or a significant family history of Alzheimer's disease, it would be less likely that DLB is the primary cause of the patient's symptoms and another diagnosis, such as Alzheimer's disease, should be considered.
Excluding other options:
Vascular dementia: While the patient does have a history of lacunar infarcts, the lack of significant cognitive decline and the absence of other typical findings of vascular dementia, such as a history of stroke or white matter changes on brain imaging, make this less likely to be the primary diagnosis.
Parkinson disease dementia: While the patient does have a history of Parkinson's disease and parkinsonian features, the cognitive decline, fluctuating cognition, and hallucinations are not typically seen in Parkinson's disease dementia alone.
Carbidopa/levodopa side effects: While the patient is taking this medication, the presence of cognitive decline and parkinsonian features, as well as the absence of other typical side effects, such as nausea and vomiting, makes this less likely to be the primary cause of the patient's symptoms.
Alzheimer disease: While the patient does have some memory impairment, the lack of a significant family history and the presence of fluctuating cognition and hallucinations are not typical of Alzheimer's disease and suggest that this is less likely to be the primary diagnosis.</t>
  </si>
  <si>
    <t>https://reference.medscape.com/viewarticle/881373_2</t>
  </si>
  <si>
    <r>
      <rPr>
        <sz val="12"/>
        <color theme="1"/>
        <rFont val="Calibri"/>
      </rPr>
      <t xml:space="preserve">Hereditary angioedema
Cholinergic urticaria
</t>
    </r>
    <r>
      <rPr>
        <b/>
        <sz val="12"/>
        <color theme="1"/>
        <rFont val="Calibri"/>
      </rPr>
      <t xml:space="preserve">Exercise-induced anaphylaxis
</t>
    </r>
    <r>
      <rPr>
        <sz val="12"/>
        <color theme="1"/>
        <rFont val="Calibri"/>
      </rPr>
      <t>Systemic mastocytosis
Idiopathic anaphylaxis</t>
    </r>
  </si>
  <si>
    <t>The most likely diagnosis in this case is Exercise-Induced Anaphylaxis.
Rationale:
The patient presents with symptoms of generalized pruritus, eye swelling, full-body rash, and shortness of breath after playing basketball, which is a physical exertion. The patient also reports similar episodes with physical exertion, especially when the temperature outside is hot. The symptoms typically resolve when she stops the physical activity, and she has not reported any association with food or medication intake. The physical examination shows diffuse urticaria, generalized warmth, and wheezing. The resolution of symptoms after administration of epinephrine, diphenhydramine, and methylprednisolone supports the diagnosis of anaphylaxis.
Exercise-induced anaphylaxis is a form of physical exertion-induced anaphylaxis that is not related to food or medication intake. It is diagnosed when symptoms of anaphylaxis occur within minutes of physical activity, such as exercise or manual labor, and resolves within a few hours after cessation of activity.
Findings that would cause us to rule out the differential diagnoses:
If the patient had a history of hereditary angioedema, the symptoms would likely be recurrent and not related to physical activity, and the patient may have a family history of the condition.
If the patient had cholinergic urticaria, the symptoms would likely be limited to hives and occur after sudden changes in body temperature, such as sweating, and not be related to physical activity.
If the patient had systemic mastocytosis, there may be systemic symptoms such as flushing, diarrhea, and abdominal pain, as well as a positive stool test for mast cells, and positive skin biopsy for mast cells.
If the patient had idiopathic anaphylaxis, there may not be a clear trigger for the symptoms and a more thorough evaluation, including allergy testing and further diagnostic tests, may be needed to establish the diagnosis.
Overall, the patient's symptoms and presentation are most consistent with exercise-induced anaphylaxis, and further evaluation and management may be necessary to prevent future episodes.</t>
  </si>
  <si>
    <t>low</t>
  </si>
  <si>
    <t>https://reference.medscape.com/viewarticle/966057_3</t>
  </si>
  <si>
    <r>
      <rPr>
        <sz val="12"/>
        <color theme="1"/>
        <rFont val="Calibri"/>
      </rPr>
      <t xml:space="preserve">Viral hepatitis
Acute cholecystitis
</t>
    </r>
    <r>
      <rPr>
        <b/>
        <sz val="12"/>
        <color theme="1"/>
        <rFont val="Calibri"/>
      </rPr>
      <t xml:space="preserve">Fitz-Hugh-Curtis syndrome
</t>
    </r>
    <r>
      <rPr>
        <sz val="12"/>
        <color theme="1"/>
        <rFont val="Calibri"/>
      </rPr>
      <t>Amebic liver abscess</t>
    </r>
  </si>
  <si>
    <t>Based on the presented case, the most likely diagnosis is Fitz-Hugh-Curtis syndrome (FHC).
Rationale:
Fitz-Hugh-Curtis syndrome is a complication of pelvic inflammatory disease (PID) caused by Neisseria gonorrhoeae or Chlamydia trachomatis infection. The patient presents with symptoms that are commonly seen in PID including fever, abdominal pain, and a rash. The patient has a history of unprotected sexual activity with multiple partners, which increases her risk for PID. The transvaginal ultrasonography and CT of the abdomen and pelvis are negative for common causes of PID such as endometritis, salpingitis, tubo-ovarian abscess, ectopic pregnancy, hydrosalpinx, and pyosalpinx, but shows some tubal scarring, which is a common finding in FHC.
Findings that would rule out the differential:
If the patient's test results for N. gonorrhoeae and C. trachomatis are negative and the patient's symptoms do not improve with antibiotics, FHC would likely be ruled out as a differential. Additionally, if further imaging studies, such as magnetic resonance imaging, reveal a different cause for the patient's perihepatic enhancement and abdominal pain, FHC would also be ruled out.
In conclusion, while other differential diagnoses such as viral hepatitis, acute cholecystitis, and amebic liver abscess should be considered and ruled out, the patient's presentation is most consistent with Fitz-Hugh-Curtis syndrome.</t>
  </si>
  <si>
    <t xml:space="preserve">A Retired Teacher With a Constant Headache and Vomiting
</t>
  </si>
  <si>
    <r>
      <rPr>
        <sz val="12"/>
        <color theme="1"/>
        <rFont val="Calibri"/>
      </rPr>
      <t xml:space="preserve">Normal-pressure hydrocephalus
Cryptococcal meningitis
Mumps
</t>
    </r>
    <r>
      <rPr>
        <b/>
        <sz val="12"/>
        <color theme="1"/>
        <rFont val="Calibri"/>
      </rPr>
      <t xml:space="preserve">Leptomeningeal disease
</t>
    </r>
    <r>
      <rPr>
        <sz val="12"/>
        <color theme="1"/>
        <rFont val="Calibri"/>
      </rPr>
      <t>Lymphocytic choriomeningitis</t>
    </r>
  </si>
  <si>
    <t xml:space="preserve">Cryptococcal meningitis
</t>
  </si>
  <si>
    <t>The most likely diagnosis in this case is Cryptococcal Meningitis. The patient presents with symptoms such as dizziness, imbalance, nausea/vomiting, and a constant headache which are consistent with meningitis. The patient's travel history to Brazil, where Cryptococcus is endemic, along with a mild to moderate hydrocephalus seen on MRI, increases the likelihood of Cryptococcal Meningitis. Additionally, the high nucleated cell count in the cerebrospinal fluid (CSF), along with the elevated protein level and low glucose level, also support a diagnosis of meningitis, with Cryptococcal Meningitis being the most likely cause given the patient's travel history.
Normal-pressure Hydrocephalus, although a possible diagnosis, is less likely given the patient's symptoms, travel history, and CSF analysis findings. Normal-pressure Hydrocephalus is typically associated with gait difficulties, urinary incontinence, and cognitive decline, which are not present in this patient.
Mumps is less likely given the patient's age, vaccine status, and symptoms, as mumps typically presents in unvaccinated children and young adults with parotid gland swelling and respiratory symptoms.
Leptomeningeal disease is a possibility, but given the patient's history of mantle cell lymphoma in remission and the patient being on rituximab maintenance therapy, a lymphomatous or leukemic etiology is less likely.
Lymphocytic Choriomeningitis is less likely given the patient's travel history, symptoms, and CSF findings. Lymphocytic Choriomeningitis typically presents with a fever, headache, and myalgias, but not with hydrocephalus.
To rule out Cryptococcal Meningitis, further testing such as a fungal culture of the CSF or blood and antigen testing can be performed. A negative test result would suggest alternative diagnoses.</t>
  </si>
  <si>
    <t xml:space="preserve">Star Athlete With a Blinking Fixation Struggling in College
</t>
  </si>
  <si>
    <r>
      <rPr>
        <sz val="12"/>
        <color theme="1"/>
        <rFont val="Calibri"/>
      </rPr>
      <t xml:space="preserve">Schizophrenia
Tardive dyskinesia
Autism spectrum disorder
Huntington disease
</t>
    </r>
    <r>
      <rPr>
        <b/>
        <sz val="12"/>
        <color theme="1"/>
        <rFont val="Calibri"/>
      </rPr>
      <t>Obsessive-compulsive disorder</t>
    </r>
  </si>
  <si>
    <t>Obsessive- Compulsive Disorder</t>
  </si>
  <si>
    <t>OCD is a mental disorder characterized by intrusive thoughts, images, or impulses (obsessions) and repetitive behaviors or mental acts (compulsions) that the patient feels compelled to perform. In this case, the patient presents with several symptoms consistent with OCD such as repetitive behaviors such as rearranging his desk a set number of times before doing certain activities and feeling that if he doesn't perform these behaviors, something bad will happen. Additionally, the fact that these rituals have worsened and now occupy at least an hour of his time each day and that he often misses class or other important obligations because of the need to perform these behaviors further support the diagnosis of OCD.
While Schizophrenia and Tardive dyskinesia should also be considered as differentials, the patient's negative toxicology screen, normal physical examination, and lack of other symptoms such as delusions, hallucinations, or abnormal movements, make it unlikely that either of these diagnoses are present.
Similarly, the symptoms of autism spectrum disorder typically present in early childhood and this patient's symptoms are not typical of the disorder, making it unlikely that autism spectrum disorder is the cause of his current symptoms.
Huntington disease is a neurodegenerative disorder that typically presents in adulthood and is characterized by chorea, cognitive decline, and psychiatric symptoms, but the patient's symptoms are not consistent with this diagnosis, making it an unlikely cause of his current symptoms.
Given these findings, it is most likely that this patient is suffering from OCD, but further assessment and treatment by a mental health professional is necessary to confirm the diagnosis and develop an appropriate treatment plan.</t>
  </si>
  <si>
    <t>https://reference.medscape.com/viewarticle/877077_2</t>
  </si>
  <si>
    <r>
      <rPr>
        <sz val="12"/>
        <color theme="1"/>
        <rFont val="Calibri"/>
      </rPr>
      <t xml:space="preserve">Supraventricular tachycardia (SVT)
</t>
    </r>
    <r>
      <rPr>
        <b/>
        <sz val="12"/>
        <color theme="1"/>
        <rFont val="Calibri"/>
      </rPr>
      <t xml:space="preserve">Torsade de pointes
</t>
    </r>
    <r>
      <rPr>
        <sz val="12"/>
        <color theme="1"/>
        <rFont val="Calibri"/>
      </rPr>
      <t>Ventricular fibrillation
SVT with aberrancy</t>
    </r>
  </si>
  <si>
    <t xml:space="preserve">Torsade de pointes
</t>
  </si>
  <si>
    <t>The most likely diagnosis in this case is Torsade de pointes (TdP).
Rationale:
The patient's history of hepatitis C cirrhosis and taking multiple medications, including an aldosterone antagonist and a low potassium level, increases the risk of TdP. The ECG (Figure 1) shows a prolonged QT interval, which is another risk factor for TdP. The cardiac monitor (Figure 2) displays an abnormal tracing, which is consistent with TdP. The presence of QT prolongation and an abnormal tracing, in addition to the patient's medical history and medication usage, strongly suggest TdP as the most likely diagnosis.
Findings that would cause us to rule out the differential:
If the ECG showed that the patient had a regular and narrow QRS complex, it would rule out TdP and suggest a different diagnosis, such as SVT or SVT with aberrancy. Additionally, if the patient had a history of drug abuse or overdose, it could also rule out TdP and suggest ventricular fibrillation as the cause of the cardiac arrest.
In conclusion, the patient's medical history, medications, ECG, and cardiac monitor findings, support the diagnosis of TdP as the most likely cause of the cardiac arrest in this case.</t>
  </si>
  <si>
    <t xml:space="preserve">Edible Marijuana Use, Chest Pain, and Cough in a 53-Year-Old
</t>
  </si>
  <si>
    <r>
      <rPr>
        <sz val="12"/>
        <color theme="1"/>
        <rFont val="Calibri"/>
      </rPr>
      <t xml:space="preserve">Acute myocardial infarction
Pulmonary embolism
Acute pericarditis
</t>
    </r>
    <r>
      <rPr>
        <b/>
        <sz val="12"/>
        <color theme="1"/>
        <rFont val="Calibri"/>
      </rPr>
      <t xml:space="preserve">Esophageal adenocarcinoma
</t>
    </r>
    <r>
      <rPr>
        <sz val="12"/>
        <color theme="1"/>
        <rFont val="Calibri"/>
      </rPr>
      <t>Perforated peptic ulcer</t>
    </r>
  </si>
  <si>
    <t>Acute myocardial infarction</t>
  </si>
  <si>
    <t>Based on the patient's symptoms, examination, and laboratory results, the most likely diagnosis is Acute Myocardial Infarction. The chest pain described by the patient is consistent with the typical symptoms of a myocardial infarction. Additionally, the elevated troponin levels, the patient's history of coronary artery disease, and the presence of risk factors such as obesity and a long history of smoking support the diagnosis of an acute myocardial infarction.
The low hemoglobin and hematocrit levels and the reduced mean corpuscular volume and mean corpuscular hemoglobin concentration suggest anemia, which could be due to chronic inflammation or bleeding, but could also be a secondary effect of myocardial ischemia.
While the patient's past medical history of GERD, cough, and difficulty swallowing 6 months ago, and recent flu-like symptoms raises the possibility of esophageal adenocarcinoma, these symptoms are more commonly seen in more advanced cases, and the patient's chest pain and elevated troponin levels are more strongly indicative of an acute myocardial infarction.
Pulmonary embolism could also be considered given the presence of risk factors such as the patient's long periods of sitting, recent history of COVID-19, and recent fevers and night sweats. However, the absence of typical symptoms such as hemoptysis and the normal examination results for the respiratory system make this diagnosis less likely.
Acute pericarditis is unlikely in this case, as the patient's chest pain is not relieved by leaning forward and the absence of friction rub on cardiac examination.
Perforated peptic ulcer can cause sudden, severe chest pain, but the absence of typical symptoms such as hematemesis and the patient's history of GERD being well-controlled with antacids make this diagnosis less likely.
In conclusion, the most likely diagnosis in this case is Acute Myocardial Infarction, based on the patient's symptoms, examination, and laboratory results, especially the elevated troponin levels, and the patient's history of coronary artery disease and risk factors. Further investigations, such as an electrocardiogram and a coronary angiogram, may be necessary to confirm the diagnosis and guide treatment.</t>
  </si>
  <si>
    <t xml:space="preserve">After Drinking 21 Beers, a 27-Year-Old Can’t Stop Vomiting
</t>
  </si>
  <si>
    <r>
      <rPr>
        <sz val="12"/>
        <color theme="1"/>
        <rFont val="Calibri"/>
      </rPr>
      <t xml:space="preserve">Pneumothorax
</t>
    </r>
    <r>
      <rPr>
        <b/>
        <sz val="12"/>
        <color theme="1"/>
        <rFont val="Calibri"/>
      </rPr>
      <t xml:space="preserve">Boerhaave syndrome
</t>
    </r>
    <r>
      <rPr>
        <sz val="12"/>
        <color theme="1"/>
        <rFont val="Calibri"/>
      </rPr>
      <t>Mallory-Weiss syndrome
Aortic dissection</t>
    </r>
  </si>
  <si>
    <t>The most likely diagnosis in this case is Boerhaave syndrome, a type of spontaneous esophageal rupture.
Rationale:
The patient presents with 2-day history of hyperemesis followed by episodes of hematemesis, worsening epigastric pain, diarrhea, and myalgia, which are classic symptoms of Boerhaave syndrome.
The binge drinking and excessive vomiting in the past 24 hours, along with the history of esophagitis, increase the risk of esophageal perforation.
The presence of sepsis, as evidenced by the high white blood cell count and multiorgan failure, further supports the diagnosis of Boerhaave syndrome, as sepsis is a complication of esophageal perforation.
The prolonged QT interval and ST depression on the ECG may be indicative of myocardial ischemia secondary to sepsis.
The chest radiograph and CT of the chest show a pneumomediastinum, which is a common finding in Boerhaave syndrome and is caused by air escaping from the esophagus into the mediastinum.
Findings that would rule out the differential:
If there was a clear source of pneumothorax, such as a punctured lung, then this would rule out Boerhaave syndrome as the cause of the pneumomediastinum.
If there was evidence of aortic dissection on imaging, such as a dissection flap or intimal tear, this would rule out Boerhaave syndrome as the cause of the patient's symptoms.
If there was a clear history of upper GI bleeding, such as melena or hematochezia, this would rule out Boerhaave syndrome and support a diagnosis of Mallory-Weiss syndrome instead.</t>
  </si>
  <si>
    <t xml:space="preserve">A Noncompliant Construction Worker With a Pulsating Abdomen
</t>
  </si>
  <si>
    <r>
      <rPr>
        <sz val="12"/>
        <color theme="1"/>
        <rFont val="Calibri"/>
      </rPr>
      <t xml:space="preserve">Acute mesenteric ischemia
Chronic mesenteric ischemia
Acute pancreatitis
</t>
    </r>
    <r>
      <rPr>
        <b/>
        <sz val="12"/>
        <color theme="1"/>
        <rFont val="Calibri"/>
      </rPr>
      <t>Abdominal aortic aneurysm</t>
    </r>
  </si>
  <si>
    <t>Abdominal aortic aneurysm</t>
  </si>
  <si>
    <t>The most likely diagnosis in this case is Abdominal Aortic Aneurysm (AAA). The reason for this is due to the physical examination finding of a widened distal circumference of the abdominal aorta, which was confirmed on ultrasound with a diameter of 4.4 cm. The Doppler effect applied to the ultrasound also showed no flow in the area of suspected thrombus or plaque buildup within the vessel, further suggesting an AAA.
Acute mesenteric ischemia can also cause abdominal pain and pulsations, but the patient's symptoms do not worsen with eating or drinking, which is a typical finding in acute mesenteric ischemia. Additionally, the patient's elevated pancreatic lipase level is not a typical finding in acute mesenteric ischemia.
Chronic mesenteric ischemia can also cause abdominal pain, but the patient's symptoms do not worsen with eating or drinking, which is a typical finding in chronic mesenteric ischemia.
Acute pancreatitis can cause abdominal pain, but the patient's elevated pancreatic lipase level is not a typical finding in acute pancreatitis. Additionally, the patient's elevated cholesterol and triglyceride levels are more consistent with AAA.
Thus, based on the patient's presentation and physical examination findings, AAA is the most likely diagnosis. Further evaluation, such as a CT angiogram or MRI, may be necessary to confirm the diagnosis and determine the appropriate treatment plan.</t>
  </si>
  <si>
    <t>https://reference.medscape.com/viewarticle/832279_2</t>
  </si>
  <si>
    <r>
      <rPr>
        <sz val="12"/>
        <color theme="1"/>
        <rFont val="Calibri"/>
      </rPr>
      <t xml:space="preserve">Autoimmune hepatitis (AIH)
Chronic bronchitis
</t>
    </r>
    <r>
      <rPr>
        <b/>
        <sz val="12"/>
        <color theme="1"/>
        <rFont val="Calibri"/>
      </rPr>
      <t xml:space="preserve">AAT deficiency (AATD)
</t>
    </r>
    <r>
      <rPr>
        <sz val="12"/>
        <color theme="1"/>
        <rFont val="Calibri"/>
      </rPr>
      <t>Bronchiectasis
Wegener granulomatosis (granulomatosis with polyangiitis)</t>
    </r>
  </si>
  <si>
    <t>The most likely diagnosis in this case is Wegener granulomatosis (granulomatosis with polyangiitis).
The presence of positive C-ANCA titers is a strong indicator of Wegener granulomatosis, an autoimmune disease that involves inflammation of the small and medium-sized blood vessels and causes a range of symptoms including respiratory symptoms, as seen in this case. The patient's presentation of dyspnea, productive cough, and evidence of decreased air entry on chest examination, as well as decreased pulmonary function tests, support this diagnosis. Additionally, the presence of painful and weepy cutaneous nodules on the patient's right forearm is another characteristic finding of Wegener granulomatosis.
Autoimmune hepatitis (AIH) would typically present with elevated aminotransferases and liver dysfunction, which is not a prominent feature in this case. Chronic bronchitis, although presenting with cough and sputum production, typically does not present with the severity of respiratory symptoms and decreased lung function seen in this case. AAT deficiency (AATD) presents with low serum levels of alpha-1 antitrypsin, as seen in this case, but typically results in emphysema, not the type of respiratory symptoms seen in this case. Bronchiectasis can present with similar respiratory symptoms, but typically results in a more prolonged history of sputum production and wheezing and does not typically present with the positive C-ANCA titers seen in this case.
Therefore, based on the patient's presentation, Wegener granulomatosis is the most likely diagnosis. Further work-up, such as biopsy and imaging studies, may be necessary to confirm the diagnosis and rule out other potential causes of the patient's symptoms.</t>
  </si>
  <si>
    <t>Incomplete, Relevant</t>
  </si>
  <si>
    <t xml:space="preserve">What's Causing This Rapidly Growing, Golf Ball–Sized Mass?
</t>
  </si>
  <si>
    <t>https://reference.medscape.com/viewarticle/962080_3</t>
  </si>
  <si>
    <r>
      <rPr>
        <sz val="12"/>
        <color theme="1"/>
        <rFont val="Calibri"/>
      </rPr>
      <t xml:space="preserve">Lipoma
Rheumatoid nodule
Infectious mononucleosis
</t>
    </r>
    <r>
      <rPr>
        <b/>
        <sz val="12"/>
        <color theme="1"/>
        <rFont val="Calibri"/>
      </rPr>
      <t>Diffuse large B-cell lymphoma</t>
    </r>
  </si>
  <si>
    <t xml:space="preserve">Lipoma
</t>
  </si>
  <si>
    <t>Based on the presented case, the most likely diagnosis is Lipoma. Lipoma is a benign tumor of adipose tissue and one of the most common soft-tissue tumors. The patient's presentation of a golf ball-sized mass in the epitrochlear region of the left elbow that is nontender, with normal overlying skin and no drainage, and no history of trauma, is consistent with the clinical features of a lipoma. Additionally, the CT scan results of a soft tissue mass with preserved fat planes between the mass and underlying musculature and some induration in adjacent fat, as well as the surgical pathology specimen consisting of a portion of homogeneous yellow-tan adipose tissue, are highly supportive of a diagnosis of lipoma.
Ruling out Rheumatoid Nodule is reasonable as the patient does not have any history of rheumatoid arthritis, and the mass is not tender, which is in contrast to rheumatoid nodules, which are usually painful.
Infectious Mononucleosis is unlikely as the patient does not have any symptoms of fever, sweats, or weight loss, and the CT scan does not show any signs of inflammation or infection.
Diffuse Large B-Cell Lymphoma is unlikely as the patient does not have any symptoms or findings suggestive of malignancy such as fever, sweats, weight loss, or any evidence of distant metastases. Additionally, the CT scan results show no signs of infiltration or malignancy, and the surgical pathology specimen consisting of a portion of homogeneous yellow-tan adipose tissue is not consistent with malignancy.
In conclusion, based on the patient's presentation and diagnostic test results, Lipoma is the most likely diagnosis, and the other options can be ruled out based on the lack of supporting evidence.</t>
  </si>
  <si>
    <t>ECG interpretation required</t>
  </si>
  <si>
    <r>
      <rPr>
        <b/>
        <sz val="12"/>
        <color theme="1"/>
        <rFont val="Calibri"/>
      </rPr>
      <t xml:space="preserve">Brugada syndrome
</t>
    </r>
    <r>
      <rPr>
        <sz val="12"/>
        <color theme="1"/>
        <rFont val="Calibri"/>
      </rPr>
      <t>ST-segment elevation myocardial infarction
Wolff-Parkinson-White syndrome
Ventricular tachycardia</t>
    </r>
  </si>
  <si>
    <t>Ventricular tachycardia</t>
  </si>
  <si>
    <t>The most likely diagnosis in this case is Ventricular Tachycardia (VT).
Rationale: The patient presents with a syncopal episode that was not due to seizure-like activity and was not accompanied by confusion or garbled speech. This, combined with the presence of a regular rhythm on cardiac examination, suggests a cardiac cause for the syncope. The ECG demonstrates an irregular rhythm with a rate of approximately 140 beats per minute and no identifiable P waves, indicating VT.
Finding that would cause me to rule out the differential:
If the ECG demonstrated sinus rhythm with a normal heart rate, I would rule out VT as the diagnosis.
If the patient had a family history of seizures or a prior personal history of seizures, I would consider epilepsy as an alternative diagnosis.
If the patient had a history of sudden cardiac death in a close relative, Brugada syndrome may have been considered as a differential, however the ECG does not show the characteristic pattern of Brugada syndrome.
If the patient's ECG demonstrated a regular rhythm with delta waves, a short PR interval, and wide QRS complex, the diagnosis would have been Wolff-Parkinson-White syndrome, but this is not the case in this scenario.</t>
  </si>
  <si>
    <t xml:space="preserve">A Veteran With Lesions, Alcohol Use, and Opioid Dependence
</t>
  </si>
  <si>
    <r>
      <rPr>
        <sz val="12"/>
        <color theme="1"/>
        <rFont val="Calibri"/>
      </rPr>
      <t xml:space="preserve">Multiple sclerosis
Ischemic cerebral vascular accident
</t>
    </r>
    <r>
      <rPr>
        <b/>
        <sz val="12"/>
        <color theme="1"/>
        <rFont val="Calibri"/>
      </rPr>
      <t xml:space="preserve">Multiple vitamin deficiencies
</t>
    </r>
    <r>
      <rPr>
        <sz val="12"/>
        <color theme="1"/>
        <rFont val="Calibri"/>
      </rPr>
      <t>Hepatic encephalopathy</t>
    </r>
  </si>
  <si>
    <t>Hepatic encephalopathy</t>
  </si>
  <si>
    <t>The most likely diagnosis in this case is hepatic encephalopathy.
Hepatic encephalopathy is a neuropsychiatric disorder that occurs as a result of liver dysfunction, particularly in patients with cirrhosis, which can lead to accumulation of toxic substances in the blood, including ammonia. The patient in this case has elevated levels of AST and ALT, which are markers of liver damage, as well as elevated bilirubin levels, a known indicator of liver dysfunction. The patient's history of alcohol abuse and poor diet can also contribute to liver damage and hepatic encephalopathy.
In addition, the patient's abnormal ocular movements and unsteady gait are findings consistent with the typical neurological symptoms of hepatic encephalopathy, such as changes in level of consciousness, motor coordination problems, and changes in mental status. The patient's normal serum lactate and ammonia levels suggest that the patient's symptoms are not due to a metabolic encephalopathy.
The findings that would rule out hepatic encephalopathy as a differential include a history of head trauma leading to a traumatic brain injury or the presence of midline shift or acute bleeding on the CT scan of the head, which would indicate a different etiology for the patient's symptoms.
Ischemic cerebral vascular accident, multiple sclerosis, and multiple vitamin deficiencies are less likely to be the cause of the patient's symptoms, as the patient does not have the typical history or findings associated with these conditions, such as sudden onset of symptoms, positive imaging findings, or specific symptoms related to a lack of vitamins.</t>
  </si>
  <si>
    <t>False Poisitive, no</t>
  </si>
  <si>
    <t xml:space="preserve">A Nonverbal 33-Year-Old Woman With Intellectual Impairment
</t>
  </si>
  <si>
    <r>
      <rPr>
        <sz val="12"/>
        <color theme="1"/>
        <rFont val="Calibri"/>
      </rPr>
      <t xml:space="preserve">Cornelia de Lange syndrome
Down syndrome
Fragile X syndrome
</t>
    </r>
    <r>
      <rPr>
        <b/>
        <sz val="12"/>
        <color theme="1"/>
        <rFont val="Calibri"/>
      </rPr>
      <t>Rett syndrome</t>
    </r>
  </si>
  <si>
    <t>Rett syndrome is the most likely diagnosis in this case, given the patient's symptoms and medical history. Rett syndrome is a rare genetic disorder that primarily affects girls and leads to severe intellectual and physical impairment.
The patient's developmental regression, failure to attain further developmental milestones, nonverbal communication, and limited range of motion in upper extremities are all consistent with the symptoms of Rett syndrome. Additionally, the patient's history of marked scoliosis and left-sided coxa valga, as well as her ataxic, rigid gait, are also commonly seen in patients with Rett syndrome.
To confirm the diagnosis of Rett syndrome, a genetic test for mutations in the MECP2 gene could be performed. A positive result for this gene would support a diagnosis of Rett syndrome.
Cornelia de Lange syndrome, Down syndrome, and Fragile X syndrome could be ruled out as they have different symptoms and physical findings. Cornelia de Lange syndrome is a genetic disorder that is characterized by growth retardation, intellectual disability, and distinctive facial features, which are not seen in this patient. Down syndrome is a chromosomal disorder that is associated with intellectual disability and characteristic physical features, such as upward slanting eyes and a single deep crease across the center of the palm, which are not present in this patient. Fragile X syndrome is a genetic disorder that is associated with intellectual disability and behavioral problems, but is not typically associated with scoliosis or ataxic gait, as seen in this patient.
Overall, while further testing and evaluation may be necessary, the patient's symptoms and medical history are most consistent with a diagnosis of Rett syndrome.</t>
  </si>
  <si>
    <t>Complete, Relevant</t>
  </si>
  <si>
    <t xml:space="preserve">A Mail Carrier With Gross Hematuria Whose Sister Has Lupus
</t>
  </si>
  <si>
    <t>Cystoscopy helps with diagnosis</t>
  </si>
  <si>
    <r>
      <rPr>
        <sz val="12"/>
        <color theme="1"/>
        <rFont val="Calibri"/>
      </rPr>
      <t xml:space="preserve">Benign prostatic hyperplasia
Anticoagulation-associated hematuria
</t>
    </r>
    <r>
      <rPr>
        <b/>
        <sz val="12"/>
        <color theme="1"/>
        <rFont val="Calibri"/>
      </rPr>
      <t xml:space="preserve">Urothelial cell carcinoma
</t>
    </r>
    <r>
      <rPr>
        <sz val="12"/>
        <color theme="1"/>
        <rFont val="Calibri"/>
      </rPr>
      <t>Urolithiasis
Cystitis</t>
    </r>
  </si>
  <si>
    <t xml:space="preserve">Anticoagulation-associated hematuria
</t>
  </si>
  <si>
    <t>The diagnosis in this case is Anticoagulation-associated hematuria.
Rationale:
The presence of gross hematuria and the patient's history of anticoagulation with warfarin suggest that this is a case of anticoagulation-associated hematuria. The INR level of 3.2 is elevated and confirms that the patient is not within therapeutic range. Elevated INR levels increase the risk of bleeding, including hematuria. Additionally, the patient's lack of other symptoms, such as dysuria, frequency, urgency, and lower abdominal pain, is consistent with anticoagulation-associated hematuria.
Findings that would rule out this differential:
If the cystoscopy revealed any tumors, masses, or significant inflammation within the bladder, this would indicate that anticoagulation-associated hematuria is not the cause of the patient's symptoms and another diagnosis would need to be considered. Additionally, if the patient had a history of bladder or urethral trauma, this would also indicate that anticoagulation-associated hematuria is not the cause of the patient's symptoms. In this case, a urethral injury or bladder injury should be considered as a potential differential.
In conclusion, the patient's history of anticoagulation, elevated INR levels, lack of other urinary symptoms, and negative results from cystoscopy support a diagnosis of anticoagulation-associated hematuria.</t>
  </si>
  <si>
    <t>False Poisitive, yes</t>
  </si>
  <si>
    <t xml:space="preserve">Incomplete, Relevant </t>
  </si>
  <si>
    <t xml:space="preserve">A Sexually Active 23-Year-Old With Seizures and Tongue Pain
</t>
  </si>
  <si>
    <r>
      <rPr>
        <b/>
        <sz val="12"/>
        <color theme="1"/>
        <rFont val="Calibri"/>
      </rPr>
      <t xml:space="preserve">Central nervous system (CNS) toxoplasmosis
</t>
    </r>
    <r>
      <rPr>
        <sz val="12"/>
        <color theme="1"/>
        <rFont val="Calibri"/>
      </rPr>
      <t>Glioblastoma multiforme
Subarachnoid hemorrhage
CNS lymphoma</t>
    </r>
  </si>
  <si>
    <t>CNS lymphoma</t>
  </si>
  <si>
    <t>Based on the patient's symptoms, including malaise, fatigue, weight loss, painful tongue erosions with a white creamy exudate, altered mental status, headache, left hemiparesis, and a dense left-sided hemiparesis, the most likely diagnosis is CNS lymphoma.
Rationale:
The patient's symptoms of malaise, fatigue, and weight loss are commonly seen in patients with malignancy, and the presence of painful tongue erosions with a white, creamy exudate is highly suggestive of oral candidiasis, a fungal infection that is frequently seen in patients with immunocompromised conditions, such as in patients with malignancies, including lymphomas.
The patient's presentation of an altered mental status, headache, and left hemiparesis is consistent with a CNS lesion, which is supported by the findings of a CT scan of the brain, as well as the presence of an elevated erythrocyte sedimentation rate, which suggests systemic inflammation.
The patient's sexual history with men and elevated number of lymphocytes in the CBC suggest a higher likelihood of an immunocompromised state, which increases the likelihood of a malignancy, including lymphoma.
Findings that would cause me to rule out CNS lymphoma as a differential diagnosis:
If the CT scan of the brain showed evidence of a mass lesion that was typical of a glioblastoma multiforme or if the patient's symptoms and laboratory results were more consistent with a subarachnoid hemorrhage, such as the presence of neck stiffness or elevated levels of proteins in the cerebrospinal fluid, these findings would lead me to rule out CNS lymphoma as the diagnosis.
Additionally, if the patient had a history of exposure to T. gondii, the parasite responsible for CNS toxoplasmosis, and had symptoms consistent with CNS toxoplasmosis, such as an elevated level of IgG antibodies in the serum, this would cause me to rule out CNS lymphoma and consider CNS toxoplasmosis as the diagnosis.</t>
  </si>
  <si>
    <t>https://reference.medscape.com/viewarticle/959268_2</t>
  </si>
  <si>
    <r>
      <rPr>
        <sz val="12"/>
        <color theme="1"/>
        <rFont val="Calibri"/>
      </rPr>
      <t xml:space="preserve">Wilson disease
Thyrotoxicosis
Nicotine use disorder
Bipolar 1 disorder
</t>
    </r>
    <r>
      <rPr>
        <b/>
        <sz val="12"/>
        <color theme="1"/>
        <rFont val="Calibri"/>
      </rPr>
      <t>Schizophrenia</t>
    </r>
  </si>
  <si>
    <t>Bipolar 1 Disorder</t>
  </si>
  <si>
    <t>The most likely diagnosis in this case is Bipolar 1 Disorder.
The patient has a significant past medical history of an acute depressive episode 3 years ago, and a family history of bipolar disorder in his paternal grandmother. The patient's current symptoms of hallucinations, delusions, paranoia, and acute excitability are consistent with those seen in bipolar disorder. Additionally, his laboratory results rule out other causes of psychosis, such as metabolic disorders, drug use, and hyperthyroidism.
Schizophrenia, while a differential diagnosis, is unlikely given the patient's positive family history of bipolar disorder and the lack of other typical symptoms of schizophrenia, such as avolition, apathy, and social withdrawal.
Wilson disease is also unlikely given that the patient's copper levels are within the normal range.
Thyrotoxicosis is ruled out by the patient's normal TSH, T3, and T4 levels.
Nicotine use disorder is unlikely to be the primary cause of the patient's psychosis given the negative results of the urine drug test and the presence of other symptoms consistent with bipolar disorder.
Overall, the clinical presentation and the results of the laboratory workup support a diagnosis of Bipolar 1 Disorder.</t>
  </si>
  <si>
    <t xml:space="preserve">A 30-Year-Old With a Full-Body Rash, Vomiting, and Confusion
</t>
  </si>
  <si>
    <r>
      <rPr>
        <sz val="12"/>
        <color theme="1"/>
        <rFont val="Calibri"/>
      </rPr>
      <t xml:space="preserve">Toxic shock syndrome
</t>
    </r>
    <r>
      <rPr>
        <b/>
        <sz val="12"/>
        <color theme="1"/>
        <rFont val="Calibri"/>
      </rPr>
      <t xml:space="preserve">Waterhouse-Friderichsen syndrome
</t>
    </r>
    <r>
      <rPr>
        <sz val="12"/>
        <color theme="1"/>
        <rFont val="Calibri"/>
      </rPr>
      <t>Acute necrotizing pancreatitis
Acute respiratory distress syndrome</t>
    </r>
  </si>
  <si>
    <t xml:space="preserve">Toxic shock syndrome
</t>
  </si>
  <si>
    <t>The most likely diagnosis in this case is toxic shock syndrome (TSS). TSS is a rare, life-threatening illness that is caused by the release of toxic substances from certain types of bacteria. The symptoms are consistent with TSS, including diffuse myalgia, fever, rash, vomiting, confusion, hypotension, and elevated creatinine, white blood cell count, and C-reactive protein levels. Additionally, the patient's elevated myoglobin and creatine kinase levels, and elevated partial thromboplastin time and international normalized ratio, suggest that she is experiencing tissue injury and disseminated intravascular coagulation, which are common findings in TSS.
Waterhouse-Friderichsen syndrome (WFS) would be a less likely diagnosis in this case because WFS is typically associated with meningococcal sepsis and occurs in young individuals, whereas the patient in this case is a 30-year-old woman. WFS would also typically present with findings such as petechial or purpuric rash, meningeal irritation, and septic shock, which are not present in this patient.
Acute necrotizing pancreatitis (ANP) would also be a less likely diagnosis in this case because ANP is typically associated with severe abdominal pain, vomiting, hematemesis, and elevated lipase and amylase levels, which are not present in this patient. Additionally, ANP would not typically present with a rash, diffuse myalgia, or elevated myoglobin and creatine kinase levels.
Acute respiratory distress syndrome (ARDS) would also be a less likely diagnosis in this case because ARDS is typically associated with cough, shortness of breath, and diffuse lung infiltrates, which are not present in this patient. Additionally, ARDS would not typically present with a rash, diffuse myalgia, or elevated myoglobin and creatine kinase levels.
In order to rule out TSS, it would be important to obtain a sample of the patient's blood or other body fluid for culture to identify the causative organism and to perform imaging studies, such as an ultrasound or CT scan, to evaluate for any potential source of infection. Additionally, monitoring the patient's clinical status, including her blood pressure and heart rate, as well as her electrolyte and acid-base status, would be important to assess for any potential complications of TSS.</t>
  </si>
  <si>
    <r>
      <rPr>
        <sz val="12"/>
        <color theme="1"/>
        <rFont val="Calibri"/>
      </rPr>
      <t xml:space="preserve">Lambert-Eaton myasthenic syndrome
Multiple sclerosis
</t>
    </r>
    <r>
      <rPr>
        <b/>
        <sz val="12"/>
        <color theme="1"/>
        <rFont val="Calibri"/>
      </rPr>
      <t xml:space="preserve">Myasthenia gravis
</t>
    </r>
    <r>
      <rPr>
        <sz val="12"/>
        <color theme="1"/>
        <rFont val="Calibri"/>
      </rPr>
      <t>Amyotrophic lateral sclerosis</t>
    </r>
  </si>
  <si>
    <t>Based on the presented symptoms and examination findings, the most likely diagnosis is Myasthenia Gravis.
Myasthenia gravis is an autoimmune disease that affects the neuromuscular junction causing weakness and fatigability of skeletal muscles. The bulbar and ocular muscles are often the first to be affected, as seen in this patient with ptosis and weakness in the bulbar muscles. The fluctuation of symptoms throughout the day and worsening of symptoms in the evening is also a classic presentation of myasthenia gravis.
Lambert-Eaton myasthenic syndrome (LEMS) is another autoimmune disorder that affects the neuromuscular junction, but it presents differently from myasthenia gravis. LEMS is characterized by proximal muscle weakness, autonomic dysfunction, and positive voltage-gated calcium channel antibodies, which were not mentioned in this case.
Multiple sclerosis (MS) affects the central nervous system and is characterized by symptoms such as optic neuritis, paresthesias, and other sensory symptoms. In MS, the motor weakness is not typically fluctuating, and the examination findings such as normal cerebellar testing and normal MRI of the brain would not support the diagnosis of MS.
Amyotrophic lateral sclerosis (ALS) is a neurodegenerative disorder that primarily affects the motor neurons and is characterized by progressive muscle weakness and wasting without muscle atrophy. The symptoms in this case, such as bulbar muscle weakness and ptosis, would suggest a different diagnosis than ALS. The normal results of the comprehensive metabolic panel, complete blood cell count, and urinalysis would also not support the diagnosis of ALS.
In conclusion, based on the patient's symptoms and examination findings, myasthenia gravis is the most likely diagnosis, and the other diagnoses can be ruled out based on the absence of supporting findings and symptoms.</t>
  </si>
  <si>
    <r>
      <rPr>
        <b/>
        <sz val="12"/>
        <color theme="1"/>
        <rFont val="Calibri"/>
      </rPr>
      <t xml:space="preserve">Ankylosing spondylitis
</t>
    </r>
    <r>
      <rPr>
        <sz val="12"/>
        <color theme="1"/>
        <rFont val="Calibri"/>
      </rPr>
      <t>Spinal stenosis
Psoriatic arthritis
Diffuse idiopathic skeletal hyperostosis</t>
    </r>
  </si>
  <si>
    <t>The most likely diagnosis in this case is Ankylosing spondylitis.
Rationale:
The patient's presentation of lower back pain and stiffness that is worse in the morning and improves with activity, as well as a history of low-grade fever, malaise, and weight loss, are consistent with the symptoms of Ankylosing spondylitis. Additionally, the physical examination findings of decreased flexion of the lumbar spine, pain and limited range of motion with rotation and lateral flexion, and mild chest expansion are also supportive of this diagnosis. The positive finding for HLA-B27, a genetic marker strongly associated with Ankylosing spondylitis, further supports this diagnosis.
Findings that would cause us to rule out the differential:
If the patient had a history of a rash, this would rule out Ankylosing spondylitis as a differential. A positive rheumatoid factor test, indicative of rheumatoid arthritis, would also rule out Ankylosing spondylitis. If the patient had a history of smoking, this could suggest spinal stenosis as a differential, but in this case, the patient reports no smoking history. If the patient had a significant family history of diffuse idiopathic skeletal hyperostosis (DISH), this would make DISH a stronger consideration as a differential, but in this case, no such family history is reported.
In conclusion, the patient's presentation and positive HLA-B27 status support a diagnosis of Ankylosing spondylitis as the most likely diagnosis, and there are no findings in the case history or physical examination to rule out this diagnosis.</t>
  </si>
  <si>
    <r>
      <rPr>
        <sz val="12"/>
        <color theme="1"/>
        <rFont val="Calibri"/>
      </rPr>
      <t xml:space="preserve">Lead-related neurotoxicity
Sydenham (rheumatic) chorea
Postviral cerebellar ataxia
</t>
    </r>
    <r>
      <rPr>
        <b/>
        <sz val="12"/>
        <color theme="1"/>
        <rFont val="Calibri"/>
      </rPr>
      <t>Opsoclonus-myoclonus ataxia syndrome</t>
    </r>
  </si>
  <si>
    <t>Opsoclonus-myoclonus ataxia syndrome</t>
  </si>
  <si>
    <t>The most likely diagnosis in this case is Opsoclonus-Myoclonus Ataxia Syndrome (OMAS).
Rationale:
The clinical presentation of the patient, including her irritability, decreased speech, clumsiness, unsteady ataxic gait, and intermittent conjugate jerky eye movements, are all consistent with the symptoms of OMAS. Additionally, the fact that she has no history of weight loss, fever, headache, rashes, joint swelling, pallor, or bruising and normal results from routine laboratory tests (complete blood cell count, serum electrolyte, creatinine, and liver enzyme levels, and urine vanillylmandelic acid level) suggest that her symptoms are not caused by an underlying infection or autoimmune disease. The results of the brain imaging studies (CT scan and MRI scan with contrast) also rule out a space-occupying lesion.
Findings that would cause exclusion of OMAS as a differential:
If the patient had a history of exposure to lead or a high level of lead in her blood, this would rule out OMAS as a differential and lead to a diagnosis of lead-related neurotoxicity. If the patient had a history of rheumatic fever or joint swelling, this would rule out OMAS as a differential and lead to a diagnosis of Sydenham (rheumatic) chorea. If the patient had a history of a recent viral illness, this would rule out OMAS as a differential and lead to a diagnosis of postviral cerebellar ataxia.</t>
  </si>
  <si>
    <t xml:space="preserve">A 50-Year-Old With Telangiectasia, Cough, and Epistaxis
</t>
  </si>
  <si>
    <r>
      <rPr>
        <sz val="12"/>
        <color theme="1"/>
        <rFont val="Calibri"/>
      </rPr>
      <t xml:space="preserve">Dermatomyositis
von Willebrand disease
</t>
    </r>
    <r>
      <rPr>
        <b/>
        <sz val="12"/>
        <color theme="1"/>
        <rFont val="Calibri"/>
      </rPr>
      <t xml:space="preserve">Osler-Weber-Rendu syndrome
</t>
    </r>
    <r>
      <rPr>
        <sz val="12"/>
        <color theme="1"/>
        <rFont val="Calibri"/>
      </rPr>
      <t>Louis-Bar syndrome</t>
    </r>
  </si>
  <si>
    <t xml:space="preserve">Osler-Weber-Rendu syndrome
</t>
  </si>
  <si>
    <t>The most likely diagnosis in this case is Osler-Weber-Rendu syndrome (also known as hereditary hemorrhagic telangiectasia).
Rationale: The patient's history of frequent and heavy epistaxis, as well as the physical examination findings of multiple superficial non-bleeding vessels on the nasal septum, are both highly suggestive of Osler-Weber-Rendu syndrome. This condition is characterized by the formation of vascular malformations (telangiectases) in the skin, mucous membranes, and internal organs, which can lead to recurrent spontaneous bleeding. Additionally, the patient's history of hypertension, anxiety, depression, and impaired gastric motility, as well as her surgical history of a partial hysterectomy for cervical carcinoma, are all non-specific findings that are not suggestive of any one particular diagnosis but are consistent with the systemic nature of Osler-Weber-Rendu syndrome.
Findings that would rule out the differential: If the patient's cough and dyspnea were found to be due to underlying lung involvement with telangiectases, this would support the diagnosis of Osler-Weber-Rendu syndrome. However, if further evaluation revealed that the patient's epistaxis was due to a coagulation disorder such as von Willebrand disease, this would suggest that this is a more likely diagnosis and would rule out Osler-Weber-Rendu syndrome. If the patient's skin examination showed a characteristic violet-red rash and a "shawl" distribution, which are both consistent with dermatomyositis, this would suggest that this is a more likely diagnosis and would rule out Osler-Weber-Rendu syndrome. Additionally, if the patient's physical examination revealed significant hypotonia, muscular weakness, and ataxia, which are all consistent with Louis-Bar syndrome, this would suggest that this is a more likely diagnosis and would rule out Osler-Weber-Rendu syndrome.</t>
  </si>
  <si>
    <t>https://reference.medscape.com/viewarticle/955983_2</t>
  </si>
  <si>
    <r>
      <rPr>
        <sz val="12"/>
        <color theme="1"/>
        <rFont val="Calibri"/>
      </rPr>
      <t xml:space="preserve">Acute myocardial infarction
Perforation of peptic ulcer
Hypertensive urgency
</t>
    </r>
    <r>
      <rPr>
        <b/>
        <sz val="12"/>
        <color theme="1"/>
        <rFont val="Calibri"/>
      </rPr>
      <t xml:space="preserve">Acute peritonitis
</t>
    </r>
    <r>
      <rPr>
        <sz val="12"/>
        <color theme="1"/>
        <rFont val="Calibri"/>
      </rPr>
      <t>Acute pericarditis</t>
    </r>
  </si>
  <si>
    <t xml:space="preserve">Acute peritonitis
</t>
  </si>
  <si>
    <t>The most likely diagnosis in this case is acute peritonitis.
The patient's history of epigastric pain, tenderness in the abdomen, and positive rebound tenderness are all classic symptoms of peritonitis. Additionally, the patient's elevated WBC count (15,000 cells/uL), with 80% neutrophils and decreased lymphocytes, further supports the diagnosis of acute peritonitis. The patient's elevated lactate dehydrogenase level of 150 U/L is also consistent with the diagnosis of peritonitis.
The patient's history of end-stage renal disease and transition to continuous ambulatory peritoneal dialysis (PD) is a significant risk factor for the development of peritonitis, as PD catheter-related infections can cause peritonitis. The patient's catheter site appears to be well-dressed with no erythema or warmth, but the fact that he is experiencing pain and tenderness in the abdomen suggests that there may be an underlying infection.
A differential diagnosis of acute myocardial infarction (AMI) could also be considered, given the patient's elevated troponin level of 0.45 ng/mL and nonspecific T-wave changes on ECG. However, the patient's elevated BNP level of 283 pg/mL and decreased LVEF (left ventricular ejection fraction) of 60% from the echocardiography performed 6 months earlier are more consistent with the diagnosis of peritonitis.
Hypertensive urgency could also be considered, given the patient's elevated blood pressure (160/90 mm Hg), but the patient's symptoms of pain, tenderness, and elevated WBC count are not typical of hypertensive urgency.
A perforation of a peptic ulcer could also be considered, given the patient's history of epigastric pain. However, the presence of peritoneal signs such as diffuse tenderness, guarding, and positive rebound tenderness suggests that the cause of the patient's pain is more likely to be peritonitis rather than a perforated peptic ulcer.
In conclusion, based on the patient's history, physical examination, and laboratory findings, the most likely diagnosis is acute peritonitis. Further workup, such as a peritoneal fluid analysis or bacterial cultures, may be necessary to confirm the diagnosis and guide appropriate treatment.</t>
  </si>
  <si>
    <r>
      <rPr>
        <sz val="12"/>
        <color theme="1"/>
        <rFont val="Calibri"/>
      </rPr>
      <t xml:space="preserve">Perirectal abscess
Ruptured diverticulum of the urinary bladder
Primary sarcoma of the pubic tubercle
</t>
    </r>
    <r>
      <rPr>
        <b/>
        <sz val="12"/>
        <color theme="1"/>
        <rFont val="Calibri"/>
      </rPr>
      <t>Osteomyelitis pubis</t>
    </r>
  </si>
  <si>
    <t>Osteomyelitis pubis</t>
  </si>
  <si>
    <t>The most likely diagnosis in this case is Osteomyelitis pubis.
Rationale: The patient's history of lower abdominal pain, myalgia, and low-grade fever, along with the physical examination findings of tenderness, rebound, and guarding in the suprapubic and left iliac fossa regions, are consistent with a pelvic infection. The CT and MRI findings of an area of inflammation deep to the pubic symphysis further support the diagnosis of osteomyelitis pubis. Additionally, the positive blood culture for Staphylococcus aureus, a common cause of osteomyelitis, helps confirm the diagnosis.
Exclusion of Perirectal Abscess: Perirectal abscess is a possible differential diagnosis, but it is less likely given the location of the tenderness and imaging findings, which are more consistent with osteomyelitis pubis. Additionally, perirectal abscesses are typically caused by fecal bacteria and do not typically demonstrate positive blood cultures.
Exclusion of Ruptured Diverticulum of the Urinary Bladder: Ruptured diverticulum of the urinary bladder is a possible differential diagnosis, but it is less likely given the patient's history of diarrhea and vomiting, which would more likely cause a urinary tract infection, and the lack of significant urinary symptoms or findings on the physical examination and imaging studies.
Exclusion of Primary Sarcoma of the Pubic Tubercle: Primary sarcoma of the pubic tubercle is a possible differential diagnosis, but it is less likely given the patient's age, history of recent symptoms and positive blood culture, which are more consistent with an infectious process. Furthermore, sarcomas are typically not associated with the elevated CRP and white blood cell count seen in this case.</t>
  </si>
  <si>
    <t>https://reference.medscape.com/viewarticle/955518_2</t>
  </si>
  <si>
    <r>
      <rPr>
        <sz val="12"/>
        <color theme="1"/>
        <rFont val="Calibri"/>
      </rPr>
      <t xml:space="preserve">Guillain-Barré syndrome
</t>
    </r>
    <r>
      <rPr>
        <b/>
        <sz val="12"/>
        <color theme="1"/>
        <rFont val="Calibri"/>
      </rPr>
      <t xml:space="preserve">Miller Fisher syndrome
</t>
    </r>
    <r>
      <rPr>
        <sz val="12"/>
        <color theme="1"/>
        <rFont val="Calibri"/>
      </rPr>
      <t>Charcot-Marie-Tooth disease
Myasthenia gravis
Botulism</t>
    </r>
  </si>
  <si>
    <t xml:space="preserve">Guillain-Barré syndrome
</t>
  </si>
  <si>
    <t>The most likely diagnosis in this case is Guillain-Barré syndrome.
Rationale:
The patient's presentation of diplopia, mild bilateral lower-extremity tingling, and impaired gait along with balance problems and no pain, fatigue, or fever all suggest a peripheral neuropathy.
Guillain-Barré syndrome (GBS) is an autoimmune disorder that causes rapid progression of peripheral neuropathy. The course of the symptoms in this case (1 week of constant symptoms with mild progression) is consistent with GBS.
The absence of pain and the preservation of discrimination between sharp and dull touch also support a diagnosis of GBS over Charcot-Marie-Tooth disease, which often presents with pain and a loss of the ability to discriminate between touch sensations.
The mild increase in the protein level in the cerebrospinal fluid and normal glucose levels support a diagnosis of GBS over botulism, which is associated with decreased cerebrospinal fluid glucose levels.
The normal results on a comprehensive metabolic panel, normal blood urea nitrogen/creatinine ratio, and normal urinalysis also support a diagnosis of GBS over botulism, as botulism can lead to metabolic abnormalities.
Findings that would cause us to rule out Guillain-Barré syndrome include:
If the patient developed a fever, this would suggest a different underlying cause of their symptoms, such as an infection.
If the patient developed significant weakness in the bulbar muscles (such as difficulty swallowing or speaking), this would suggest Miller Fisher syndrome, which is a variant of GBS that predominantly affects cranial nerves.
If the patient's MRI or CT scans showed significant spinal cord or brainstem abnormalities, this would suggest a different underlying cause of the peripheral neuropathy and would warrant further investigation.</t>
  </si>
  <si>
    <t xml:space="preserve">A 47-Year-Old With Diplopia, Limb Tingling, and Imbalance
</t>
  </si>
  <si>
    <r>
      <rPr>
        <sz val="12"/>
        <color theme="1"/>
        <rFont val="Calibri"/>
      </rPr>
      <t xml:space="preserve">Granuloma inguinale
Lymphogranuloma venereum
Cutaneous Crohn disease
</t>
    </r>
    <r>
      <rPr>
        <b/>
        <sz val="12"/>
        <color theme="1"/>
        <rFont val="Calibri"/>
      </rPr>
      <t xml:space="preserve">Hidradenitis suppurativa
</t>
    </r>
    <r>
      <rPr>
        <sz val="12"/>
        <color theme="1"/>
        <rFont val="Calibri"/>
      </rPr>
      <t>Recurrent furunculosis</t>
    </r>
  </si>
  <si>
    <t xml:space="preserve">Hidradenitis suppurativa
</t>
  </si>
  <si>
    <t>Based on the patient's clinical presentation, the most likely diagnosis is hidradenitis suppurativa (HS).
Rationale: HS is a chronic, recurrent, and debilitating skin condition characterized by painful nodules, sinus tracts, and scars in intertriginous regions such as the axillae, groin, and anogenital areas. The history of recurrent painful nodules and sinus tracts in the bilateral buttocks, gluteal cleft, and medial aspect of the upper thighs is highly suggestive of HS. The negative tissue cultures further support the diagnosis.
Findings that would rule out this diagnosis include the presence of systemic symptoms such as fever, arthralgia, or gastrointestinal symptoms, or the presence of other skin conditions such as facial or back acne, pseudofolliculitis barbae, or dissecting scalp folliculitis. The absence of these findings and the presence of the typical skin lesions support the diagnosis of HS.
Exclusion of other differentials:
Granuloma inguinale: This is a sexually transmitted infection that typically affects the genital region and causes ulcerative lesions, not the intertriginous regions involved in this patient.
Lymphogranuloma venereum: This is another sexually transmitted infection that causes genital ulcerative lesions and lymphadenopathy, not intertriginous skin lesions.
Cutaneous Crohn disease: This typically affects the perianal skin and causes ulcerative and fistulizing lesions, not the intertriginous skin lesions seen in this patient.
Recurrent furunculosis: This is a condition characterized by recurrent boils and abscesses, not the indurated, hyperpigmented plaque with sinus tracts and scars seen in this patient.</t>
  </si>
  <si>
    <r>
      <rPr>
        <sz val="12"/>
        <color theme="1"/>
        <rFont val="Calibri"/>
      </rPr>
      <t xml:space="preserve">Tolosa-Hunt syndrome
Guillain-Barré syndrome
Tick paralysis
</t>
    </r>
    <r>
      <rPr>
        <b/>
        <sz val="12"/>
        <color theme="1"/>
        <rFont val="Calibri"/>
      </rPr>
      <t>Foodborne botulism</t>
    </r>
  </si>
  <si>
    <t>Tolosa-Hunt syndrome</t>
  </si>
  <si>
    <t>The most likely diagnosis in this case is Tolosa-Hunt syndrome.
Rationale:
The patient's symptoms of headache, visual blurriness, and xerostomia along with the development of double vision, shortness of breath, and reduced speech intelligibility support the diagnosis of Tolosa-Hunt syndrome, a rare condition characterized by painful ophthalmoplegia, which is the inability to move the eye due to nerve damage, and other cranial neuropathies such as those seen in the patient. Additionally, the patient's normal results from the CT scan of the brain further support the diagnosis of Tolosa-Hunt syndrome, as this condition typically affects the cavernous sinus or the superior orbital fissure, where the cranial nerves III, IV, and VI reside, rather than the brain itself.
Findings that would cause us to rule out the differential:
If the patient had a history of infection or immunological disorders, it would suggest Guillain-Barré syndrome as the cause of her symptoms.
If the patient had a recent history of tick bites or exposure to tick-endemic areas, it would suggest tick paralysis as the cause of her symptoms.
If the patient had a recent history of consuming contaminated food, it would suggest foodborne botulism as the cause of her symptoms.
Therefore, the presence of these findings would lead us to rule out the diagnosis of Tolosa-Hunt syndrome and consider these alternative diagnoses instead.</t>
  </si>
  <si>
    <t xml:space="preserve">After a Wild Party, a 24-Year-Old Has Intense Abdominal Pain
</t>
  </si>
  <si>
    <t>https://reference.medscape.com/viewarticle/954084_2</t>
  </si>
  <si>
    <r>
      <rPr>
        <sz val="12"/>
        <color theme="1"/>
        <rFont val="Calibri"/>
      </rPr>
      <t xml:space="preserve">Nephrolithiasis with spontaneous stone passage
Cocaine-induced intestinal ischemia
Acute hepatitis
</t>
    </r>
    <r>
      <rPr>
        <b/>
        <sz val="12"/>
        <color theme="1"/>
        <rFont val="Calibri"/>
      </rPr>
      <t xml:space="preserve">Acute renal infarction
</t>
    </r>
    <r>
      <rPr>
        <sz val="12"/>
        <color theme="1"/>
        <rFont val="Calibri"/>
      </rPr>
      <t>Pyelonephritis</t>
    </r>
  </si>
  <si>
    <t xml:space="preserve">Cocaine-induced intestinal ischemia
</t>
  </si>
  <si>
    <t>Based on the presented symptoms, the most likely diagnosis is Cocaine-induced intestinal ischemia. This diagnosis is favored given the history of recreational intranasal cocaine use and the sudden onset of right lower quadrant abdominal pain, nausea, and vomiting without any other symptoms such as fever, weight loss, or urinary symptoms. Additionally, elevated creatinine level, with an estimated glomerular filtration rate (eGFR) of 69 mL/min/1.73 m2, and lactate dehydrogenase (LDH) level of 2093 U/L, suggest acute kidney injury. The CT scan reveals normal findings of the liver, gallbladder, kidneys, and appendix.
Cocaine use has been associated with various forms of abdominal and gastrointestinal complications, including ischemic bowel injury. Cocaine has a vasoconstrictive effect on blood vessels in the gut, leading to decreased blood flow and ischemic injury.
To rule out the differential, further evaluation such as a colonoscopy or angiography might be necessary to confirm the diagnosis of ischemia and exclude other causes of abdominal pain such as appendicitis or inflammatory bowel disease. A thorough history of cocaine use, other drug use, and any past medical history of abdominal pain should also be taken into consideration.
Nephrolithiasis with spontaneous stone passage can be ruled out as there are no urinary symptoms or gross hematuria, and the urinalysis shows no evidence of stones. Acute hepatitis is not likely given the normal liver function tests, although cocaine use can cause liver damage, a more extensive evaluation may be necessary to rule it out. Acute renal infarction can be excluded given the normal ECG, troponin levels, and no evidence of renal infarction on the CT scan. Pyelonephritis can be ruled out as there are no symptoms of urinary tract infection, such as fever or urgency, and the urinalysis shows no evidence of infection.</t>
  </si>
  <si>
    <t xml:space="preserve">An Accountant Who Loves Aerobics With Hiccups and Incoordination
</t>
  </si>
  <si>
    <r>
      <rPr>
        <sz val="12"/>
        <color theme="1"/>
        <rFont val="Calibri"/>
      </rPr>
      <t xml:space="preserve">Right-sided lateral pontine stroke (ie, Marie-Foix syndrome)
</t>
    </r>
    <r>
      <rPr>
        <b/>
        <sz val="12"/>
        <color theme="1"/>
        <rFont val="Calibri"/>
      </rPr>
      <t xml:space="preserve">Right-sided lateral medullary stroke (ie, Wallenberg syndrome)
</t>
    </r>
    <r>
      <rPr>
        <sz val="12"/>
        <color theme="1"/>
        <rFont val="Calibri"/>
      </rPr>
      <t>Right-sided medial medullary stroke (ie, Dejerine syndrome)
Right-sided hemi-medullary stroke (ie, Babinski-Nageotte syndrome)
Left-sided medial medullary stroke</t>
    </r>
  </si>
  <si>
    <t>Right-sided lateral medullary stroke (ie, Wallenberg syndrome)</t>
  </si>
  <si>
    <t>The most likely diagnosis in this case is Right-sided lateral medullary stroke (ie, Wallenberg syndrome).
Rationale: The patient presents with a 3-day history of pain around the right ear extending to the temple, sudden onset of dizziness, discomfort in the throat, and burning sensation in the left arm and leg, and difficulty in standing and walking with a feeling of imbalance. The physical examination findings show right-sided ptosis and miosis, sustained horizontal gaze-evoked nystagmus, decreased sensation of pinprick and temperature on the right side of the face, reduced movement of the palate and diminished gag reflex, moderate ataxia affecting the right arm and leg, and decreased sensation to pinprick and temperature on the left arm, leg, and trunk. The findings of normal laboratory analysis and noncontrast CT scan of the head suggest that the patient's symptoms are not due to any metabolic or structural issues in the brain.
The MRI of the brain confirms the diagnosis of Right-sided lateral medullary stroke (Wallenberg syndrome). This syndrome results from occlusion of the posterior inferior cerebellar artery (PICA), which supplies the lateral medulla oblongata. The lateral medulla oblongata is responsible for the regulation of various functions, such as swallowing, hiccuping, blood pressure control, and the cranial nerve functions, which are involved in the patient's symptoms. The findings of right-sided ptosis and miosis, sustained horizontal gaze-evoked nystagmus, decreased sensation of pinprick and temperature on the right side of the face, reduced movement of the palate and diminished gag reflex, moderate ataxia affecting the right arm and leg, and decreased sensation to pinprick and temperature on the left arm, leg, and trunk, are all consistent with Wallenberg syndrome.
Findings that would cause me to rule out the differential: If the patient's MRI of the brain showed infarction or ischemia in the right-sided medial medulla oblongata (Dejerine syndrome) or right-sided hemi-medulla oblongata (Babinski-Nageotte syndrome), I would have ruled out Wallenberg syndrome. Additionally, if the patient's symptoms, such as prolonged hiccuping, decreased sensation of pinprick and temperature on the right side of the face, and moderate ataxia affecting the right arm and leg, were found to be due to any other cause such as a peripheral nerve disorder or a spinal cord lesion, I would have ruled out Wallenberg syndrome.</t>
  </si>
  <si>
    <r>
      <rPr>
        <sz val="12"/>
        <color theme="1"/>
        <rFont val="Calibri"/>
      </rPr>
      <t xml:space="preserve">Crohn disease
Ischemic colitis
Pseudomembranous colitis
</t>
    </r>
    <r>
      <rPr>
        <b/>
        <sz val="12"/>
        <color theme="1"/>
        <rFont val="Calibri"/>
      </rPr>
      <t xml:space="preserve">Ulcerative colitis
</t>
    </r>
    <r>
      <rPr>
        <sz val="12"/>
        <color theme="1"/>
        <rFont val="Calibri"/>
      </rPr>
      <t>Colon cancer</t>
    </r>
  </si>
  <si>
    <t xml:space="preserve">Ulcerative colitis
</t>
  </si>
  <si>
    <t>The most likely diagnosis in this case is Ulcerative colitis.
The presence of deep venous thrombosis (DVT) is not commonly associated with ulcerative colitis. However, the patient's symptoms such as increased bowel movements with loose stools, abdominal bloating and tenderness, anemia, and elevated levels of C-reactive protein, are all consistent with ulcerative colitis. The fact that the patient's colonoscopy showed a continuous edematous, hyperemic, and friable mucosa in the rectosigmoid is also a strong finding in support of ulcerative colitis.
Ischemic colitis can also present with abdominal pain, bloating and changes in bowel habits, but is typically associated with elderly or debilitated patients, and the presence of risk factors such as a recent history of cardiac or vascular disease. This patient does not present with any such risk factors.
Pseudomembranous colitis is caused by overgrowth of Clostridium difficile, which was ruled out by negative stool examination for C. difficile toxin.
Colon cancer typically presents with weight loss, rectal bleeding, and change in stool caliber, which this patient does not have.
Crohn's disease can present similarly to ulcerative colitis but is more likely to cause small bowel involvement with associated abdominal pain and weight loss, which this patient does not have. Additionally, the findings on colonoscopy are more consistent with ulcerative colitis.
Therefore, based on the patient's symptoms and the findings from the colonoscopy, Ulcerative colitis is the most likely diagnosis in this case.</t>
  </si>
  <si>
    <t xml:space="preserve">A 37-Year-Old Man With Chest Pain and Elbow/Eyelid Papules
</t>
  </si>
  <si>
    <t>https://reference.medscape.com/viewarticle/953529_3</t>
  </si>
  <si>
    <r>
      <rPr>
        <sz val="12"/>
        <color theme="1"/>
        <rFont val="Calibri"/>
      </rPr>
      <t xml:space="preserve">Familial hypercholesterolemia
Hypertriglyceridemia due to poorly controlled diabetes
Hypertriglyceridemia due to a nonfasting state
</t>
    </r>
    <r>
      <rPr>
        <b/>
        <sz val="12"/>
        <color theme="1"/>
        <rFont val="Calibri"/>
      </rPr>
      <t>Lipoprotein lipase deficiency</t>
    </r>
  </si>
  <si>
    <t xml:space="preserve">Familial hypercholesterolemia
</t>
  </si>
  <si>
    <t>The most likely diagnosis in this case is Familial Hypercholesterolemia (FH).
FH is an autosomal dominant genetic disorder characterized by elevated levels of low-density lipoprotein cholesterol (LDL-C) and an increased risk of premature cardiovascular disease. This is supported by the patient's elevated levels of total cholesterol (417 mg/dL) and low-density lipoprotein cholesterol (LDL-C, 130 mg/dL) as well as the family history of myocardial infarction in his grandfather at a young age. Additionally, the histopathologic findings from the skin biopsy resembling xanthomas (yellowish papules on skin) is a classic physical examination finding in FH.
The fact that the patient's high-density lipoprotein cholesterol (HDL-C) levels are low (20 mg/dL) and triglyceride levels are elevated (5077 mg/dL) is also consistent with FH as these lipid parameters are often altered in individuals with this condition.
Hypertriglyceridemia due to poorly controlled diabetes and Hypertriglyceridemia due to a nonfasting state can cause elevated triglyceride levels but are unlikely to explain the patient's elevated total cholesterol and LDL-C levels as well as the xanthomas seen in the skin biopsy. Lipoprotein lipase deficiency (LPLD) can cause elevated triglyceride levels but is typically associated with increased chylomicron levels and decreased HDL-C levels, which are not present in this patient.
The elevated high-sensitivity troponin T level and ECG findings are consistent with an acute coronary event, which is likely to have been caused by the patient's underlying FH and other cardiovascular risk factors such as hypertension and type 2 diabetes. The successful stenting of the mid-left anterior descending artery during cardiac catheterization and the subsequent increase in atorvastatin dosage on discharge further support this diagnosis.
In conclusion, the patient's clinical presentation, lipid profile, histopathologic findings, and family history, along with the findings from his cardiac evaluation, are most consistent with a diagnosis of FH. Further genetic testing can confirm the diagnosis.</t>
  </si>
  <si>
    <t xml:space="preserve">A Marijuana User With Sudden Chest Pain Radiating to His Neck
</t>
  </si>
  <si>
    <t>imaging interpretation required</t>
  </si>
  <si>
    <r>
      <rPr>
        <sz val="12"/>
        <color theme="1"/>
        <rFont val="Calibri"/>
      </rPr>
      <t xml:space="preserve">Pulmonary embolism
</t>
    </r>
    <r>
      <rPr>
        <b/>
        <sz val="12"/>
        <color theme="1"/>
        <rFont val="Calibri"/>
      </rPr>
      <t xml:space="preserve">Pneumomediastinum
</t>
    </r>
    <r>
      <rPr>
        <sz val="12"/>
        <color theme="1"/>
        <rFont val="Calibri"/>
      </rPr>
      <t>Aortic dissection
Pericarditis</t>
    </r>
  </si>
  <si>
    <t xml:space="preserve">Aortic dissection
</t>
  </si>
  <si>
    <t>The most likely diagnosis in this case is Aortic Dissection.
The patient's sudden onset chest pain that radiates to the neck and is associated with shortness of breath are concerning symptoms for a potential life-threatening cardiac condition. The physical examination findings, such as normal heart sounds, normal respiratory effort, and normal ECG are not consistent with other potential causes of chest pain, such as Pulmonary Embolism or Pericarditis.
Pneumomediastinum, although a potential differential, is typically associated with subcutaneous crepitus, which was not present on physical examination in this case. The absence of symptoms such as recent trauma or recent surgeries also supports the likelihood of an Aortic Dissection.
Imaging, such as a chest CT scan, would be necessary to confirm the diagnosis of Aortic Dissection and rule out other potential causes of chest pain, such as Pulmonary Embolism. The presence of a widened mediastinum on chest radiographs would also be a concerning finding for Aortic Dissection.
In conclusion, the symptoms and physical examination findings in this case make Aortic Dissection the most likely diagnosis, but further imaging and testing is necessary to confirm and rule out other potential causes.</t>
  </si>
  <si>
    <t xml:space="preserve">A Farmer With Diffuse Pruritus and a Suntan That Won't Fade
</t>
  </si>
  <si>
    <t>MRI interpretations required</t>
  </si>
  <si>
    <r>
      <rPr>
        <sz val="12"/>
        <color theme="1"/>
        <rFont val="Calibri"/>
      </rPr>
      <t xml:space="preserve">Acute cholecystitis
Cirrhosis
Cholangiocarcinoma
</t>
    </r>
    <r>
      <rPr>
        <b/>
        <sz val="12"/>
        <color theme="1"/>
        <rFont val="Calibri"/>
      </rPr>
      <t xml:space="preserve">Hepatocellular carcinoma
</t>
    </r>
    <r>
      <rPr>
        <sz val="12"/>
        <color theme="1"/>
        <rFont val="Calibri"/>
      </rPr>
      <t>Hepatocellular adenoma</t>
    </r>
  </si>
  <si>
    <t>The most likely diagnosis in this case is Cirrhosis.
Rationale:
The patient's symptoms of pruritus, scleral icterus, jaundiced skin, and dark bronze discoloration of the skin are consistent with jaundice, a hallmark of liver disease. Additionally, the elevated levels of bilirubin and alpha-fetoprotein (AFP) are indicative of liver disease. The CT and MRI scans reveal a cirrhotic liver morphology, ascites, portal gastropathy, and a large hepatic mass, all of which support a diagnosis of cirrhosis.
The homozygous C282Y mutation on HFE genetic testing suggests that the patient has hereditary hemochromatosis, which is a well-known cause of cirrhosis. The patient's history of spending much of his day outdoors and having a tan that has not faded may suggest exposure to toxins that can cause liver damage, although this is less certain.
Exclusion of Differential Diagnoses:
Acute cholecystitis: The patient's symptoms of pruritus and jaundice are not typical of acute cholecystitis, which usually presents with right upper quadrant pain, fever, and leukocytosis. Additionally, the imaging studies do not show evidence of gallbladder inflammation, which would be expected in acute cholecystitis.
Cholangiocarcinoma: Cholangiocarcinoma can present with jaundice, but it is typically associated with more severe symptoms, such as weight loss, abdominal pain, and fever. The patient's lack of these symptoms, as well as the absence of biliary obstruction on imaging, make cholangiocarcinoma less likely.
Hepatocellular carcinoma: Hepatocellular carcinoma can present with jaundice, but it typically occurs in patients with underlying liver disease or risk factors, such as viral hepatitis or exposure to toxins. The patient's lack of these risk factors and the presence of cirrhotic liver morphology on imaging make hepatocellular carcinoma less likely.
Hepatocellular adenoma: Hepatocellular adenoma typically occurs in young women who are taking oral contraceptives, but the patient in this case is a middle-aged man with no history of oral contraceptive use. Additionally, the large size and heterogeneous appearance of the liver mass on imaging make hepatocellular adenoma less likely.
In conclusion, the patient's symptoms, laboratory results, imaging findings, and genetic testing suggest a diagnosis of cirrhosis. Further evaluation and testing may be necessary to determine the underlying cause and any potential treatments.</t>
  </si>
  <si>
    <t>False positive, no</t>
  </si>
  <si>
    <r>
      <rPr>
        <sz val="12"/>
        <color theme="1"/>
        <rFont val="Calibri"/>
      </rPr>
      <t xml:space="preserve">Gastroenteritis
</t>
    </r>
    <r>
      <rPr>
        <b/>
        <sz val="12"/>
        <color theme="1"/>
        <rFont val="Calibri"/>
      </rPr>
      <t xml:space="preserve">Ovarian hyperstimulation syndrome
</t>
    </r>
    <r>
      <rPr>
        <sz val="12"/>
        <color theme="1"/>
        <rFont val="Calibri"/>
      </rPr>
      <t>First Crohn disease exacerbation
Clostridium difficile infection
Pyelonephritis
Diverticulitis</t>
    </r>
  </si>
  <si>
    <t>The most likely diagnosis in this case is Ovarian hyperstimulation syndrome (OHSS). OHSS is a well-known complication in assisted reproductive technology (ART), particularly after oocyte retrieval, as is the case with the patient. The symptoms of nonbloody bilious emesis, constant abdominal cramping along the lower abdomen, and new onset of watery nonbloody diarrhea are consistent with OHSS. The limited deep inhalation the patient reported, along with the findings from her abdominal examination of a soft, diffusely tender abdomen without rebound or guarding, support the diagnosis of OHSS.
The laboratory analysis further supports the diagnosis of OHSS. The elevated white blood cell count (14.4 x 103 cells/µL) with a high percentage of neutrophils (92.1%), along with the decreased albumin level (3.1 g/dL) and slightly decreased sodium level (134 mEq/L), suggest fluid shifts from the intravascular to the extravascular space, which is a hallmark of OHSS. The normal result on the urine pregnancy test also supports the diagnosis of OHSS as this is a complication that can occur regardless of pregnancy.
The findings that would cause me to rule out other differentials include:
Gastroenteritis: While the patient's symptoms of emesis and diarrhea are similar to those seen in gastroenteritis, the lack of a history of contact with ill friends or family and the recent oocyte retrieval suggest this is less likely.
First Crohn disease exacerbation: The patient's history of cholecystectomy and cesarean delivery, along with the elevated white blood cell count and decreased albumin level, suggest this is less likely.
Clostridium difficile infection: The lack of a recent history of antibiotics, along with the normal result on a stool culture, suggest this is less likely.
Pyelonephritis: The patient's lack of fever, flank pain, or costovertebral angle tenderness, along with the normal result on a urine culture, suggest this is less likely.
Diverticulitis: The patient's diffuse abdominal tenderness, along with the normal result on a stool culture, suggest this is less likely.
In conclusion, the most likely diagnosis in this case is Ovarian hyperstimulation syndrome based on the patient's recent oocyte retrieval, symptoms, physical examination findings, laboratory analysis, and imaging results.</t>
  </si>
  <si>
    <r>
      <rPr>
        <sz val="12"/>
        <color theme="1"/>
        <rFont val="Calibri"/>
      </rPr>
      <t xml:space="preserve">Cushing syndrome
Pituitary adenoma
Female athlete triad
Premature ovarian failure
</t>
    </r>
    <r>
      <rPr>
        <b/>
        <sz val="12"/>
        <color theme="1"/>
        <rFont val="Calibri"/>
      </rPr>
      <t>Hashimoto thyroiditis</t>
    </r>
  </si>
  <si>
    <t>The most likely diagnosis in this case is pituitary adenoma, based on the clinical presentation and findings from the laboratory investigations and MRI.
The patient's symptoms of amenorrhea and galactorrhea are indicative of hyperprolactinemia, and her elevated prolactin level of 94 ng/mL supports this diagnosis. The presence of a 9-mm mass in the sella turcica on the pituitary MRI further supports the diagnosis of a pituitary adenoma, which is a common cause of hyperprolactinemia.
The normal levels of follicle-stimulating hormone (FSH) and luteinizing hormone (LH) suggest that the amenorrhea is not due to premature ovarian failure, which would cause elevated FSH and LH levels. The patient's negative pregnancy test also supports this conclusion.
The patient's elevated TSH level and very high anti-TPO antibody titer are consistent with Hashimoto thyroiditis, but this condition is not likely to be the primary cause of the patient's symptoms, given that the patient has no visual symptoms or headache, which are common findings in patients with pituitary adenomas compressing the optic chiasm.
Cushing syndrome is characterized by weight gain, skin changes, and menstrual irregularities, but the patient's normal morning cortisol level and lack of other typical findings such as hirsutism and truncal obesity make this diagnosis less likely.
The female athlete triad is a combination of disordered eating, amenorrhea, and osteoporosis, but the patient's history of regular menstrual cycles and lack of weight loss or low body weight make this diagnosis less likely.
In conclusion, based on the patient's clinical presentation, laboratory findings, and MRI results, pituitary adenoma is the most likely diagnosis. To rule out other differential diagnoses, further testing may be needed, such as pituitary function tests, a glucose tolerance test to rule out glucose intolerance, and possibly an endocrinology consultation.</t>
  </si>
  <si>
    <t xml:space="preserve">A 52-Year-Old Man With a Hole in His Jaw and Alcoholism
</t>
  </si>
  <si>
    <r>
      <rPr>
        <sz val="12"/>
        <color theme="1"/>
        <rFont val="Calibri"/>
      </rPr>
      <t xml:space="preserve">Infected residual cystic lesion
Actinomycosis
Chronic pyogenic osteomyelitis
</t>
    </r>
    <r>
      <rPr>
        <b/>
        <sz val="12"/>
        <color theme="1"/>
        <rFont val="Calibri"/>
      </rPr>
      <t xml:space="preserve">Tuberculous osteomyelitis
</t>
    </r>
    <r>
      <rPr>
        <sz val="12"/>
        <color theme="1"/>
        <rFont val="Calibri"/>
      </rPr>
      <t>Complicated malignant tumor
Secondary metastasis</t>
    </r>
  </si>
  <si>
    <t xml:space="preserve">Tuberculous osteomyelitis
</t>
  </si>
  <si>
    <t>The most likely diagnosis in this case is Tuberculous osteomyelitis.
Rationale:
The patient has a history of long-standing pain and soreness in the affected area, as well as nocturnal fever and sweats.
Radiographic examination shows an extensive radiolucent area in the mandible, extending to the entire left ramus, which is indicative of osteomyelitis.
The positive purified protein derivative (PPD) test result is consistent with tuberculosis exposure.
The positive AFB findings after 5 weeks of incubation further support the diagnosis of tuberculosis.
Excluding other options:
Infected residual cystic lesion: While an infected cystic lesion is a possibility, the radiolucent area and positive AFB culture suggest osteomyelitis rather than a simple cyst.
Actinomycosis: The presence of tuberculosis is more likely given the positive PPD test result.
Chronic pyogenic osteomyelitis: Pyogenic osteomyelitis is typically caused by bacterial infections and is not as commonly associated with tuberculosis exposure.
Complicated malignant tumor: The patient's history and presentation do not suggest a malignancy.
Secondary metastasis: The patient's history does not suggest prior cancer and the AFB findings do not support a metastatic lesion.</t>
  </si>
  <si>
    <t xml:space="preserve">A 57-Year-Old Man With a Fever Who Can't Stop Bleeding
</t>
  </si>
  <si>
    <r>
      <rPr>
        <sz val="12"/>
        <color theme="1"/>
        <rFont val="Calibri"/>
      </rPr>
      <t xml:space="preserve">Primary immune thrombocytopenia
Aplastic anemia
Primary myelofibrosis
</t>
    </r>
    <r>
      <rPr>
        <b/>
        <sz val="12"/>
        <color theme="1"/>
        <rFont val="Calibri"/>
      </rPr>
      <t xml:space="preserve">Autoimmune myelofibrosis
</t>
    </r>
    <r>
      <rPr>
        <sz val="12"/>
        <color theme="1"/>
        <rFont val="Calibri"/>
      </rPr>
      <t>Systemic lupus erythematosus</t>
    </r>
  </si>
  <si>
    <t>The most likely diagnosis in this case is autoimmune myelofibrosis (AMF).
AMF is a subtype of myeloproliferative neoplasms characterized by hypercellular bone marrow, trilineage hematopoiesis, reticulin fibrosis, and increased risk of thrombosis. The patient has severe thrombocytopenia refractory to platelet transfusions and relatively normal bone marrow findings, which supports the diagnosis of AMF. Additionally, the presence of grade 1 reticulin fibrosis on repeat bone marrow biopsy and negative results on myeloid mutation panel further supports the diagnosis of AMF.
The elevated level of anticardiolipin IgM and negative results on the ANA and lupus anticoagulant tests further support the diagnosis of AMF, as these findings are often seen in patients with autoimmune diseases, such as lupus.
Primary immune thrombocytopenia (ITP) was initially considered as a diagnosis, as the patient's platelet count improved with corticosteroid therapy and subsequent treatment with eltrombopag. However, the subsequent readmission with neutropenic fever and decreased platelet count, as well as negative results on the ANA test, suggest that this diagnosis may not fully explain the patient's symptoms.
Aplastic anemia, primary myelofibrosis, and systemic lupus erythematosus are all ruled out by the normal results of further workup, including negative results on the peripheral blood smear and fluorescence in situ hybridization studies.
In conclusion, the patient's presentation, including the presence of hypercellular bone marrow with reticulin fibrosis, elevated anticardiolipin IgM, and negative results on the ANA and lupus anticoagulant tests, supports the diagnosis of autoimmune myelofibrosis.</t>
  </si>
  <si>
    <r>
      <rPr>
        <sz val="12"/>
        <color theme="1"/>
        <rFont val="Calibri"/>
      </rPr>
      <t xml:space="preserve">Spontaneous retroperitoneal hematoma
</t>
    </r>
    <r>
      <rPr>
        <b/>
        <sz val="12"/>
        <color theme="1"/>
        <rFont val="Calibri"/>
      </rPr>
      <t xml:space="preserve">Abdominal compartment syndrome
</t>
    </r>
    <r>
      <rPr>
        <sz val="12"/>
        <color theme="1"/>
        <rFont val="Calibri"/>
      </rPr>
      <t>Abdominal wall abscess
Septic shock</t>
    </r>
  </si>
  <si>
    <t xml:space="preserve">Abdominal compartment syndrome
</t>
  </si>
  <si>
    <t>The most likely diagnosis in this case is Abdominal Compartment Syndrome (ACS).
Rationale:
The patient presents with generalized weakness, midline lower abdominal pain, urinary retention, and recurrent tachycardia. The physical examination shows abdominal wall bruising, firm and diffusely tender abdomen without rebound or guarding, and hypoactive bowel sounds. The workup shows leukocytosis, anemia, hyperkalemia, renal insufficiency, anion gap metabolic acidosis, elevated liver enzymes, and a large hypodense mass posterior to the left rectus abdominis muscle with dependent hyperdensities and collapsed inferior vena cava on CT scanning. The intra-abdominal pressure (IAP) measurement is 24 mm Hg, which increases to 38 mm Hg after 6 hours of intensive therapy.
All these findings suggest the presence of a large intra-abdominal mass causing elevated intra-abdominal pressure and leading to ACS. The symptoms and physical examination findings of ACS include abdominal distension, increased abdominal pain, decreased bowel sounds, and hypotension. The increased IAP leads to decreased perfusion to vital organs like the heart, kidney, and brain, which can cause tachycardia, renal insufficiency, and metabolic acidosis.
Findings that would cause you to rule out the differential:
If the patient's history showed previous episodes of urinary retention, fever, dysuria, hematuria, vomiting, trouble breathing, or chest pain, or if the physical examination revealed fever, or if the CT scanning showed a different cause of the hypodense mass like a renal cyst or a hernia, then ACS would not be the most likely diagnosis. If the elevated IAP was due to fluid overload and not due to a large intra-abdominal mass, then ACS would also not be the most likely diagnosis.
In conclusion, ACS is the most likely diagnosis in this case due to the patient's symptoms, physical examination findings, workup results, and the increase in IAP after intensive therapy.</t>
  </si>
  <si>
    <t>https://reference.medscape.com/viewarticle/949659_3</t>
  </si>
  <si>
    <r>
      <rPr>
        <sz val="12"/>
        <color theme="1"/>
        <rFont val="Calibri"/>
      </rPr>
      <t xml:space="preserve">Benign prostatic hyperplasia
Urethral stricture
</t>
    </r>
    <r>
      <rPr>
        <b/>
        <sz val="12"/>
        <color theme="1"/>
        <rFont val="Calibri"/>
      </rPr>
      <t xml:space="preserve">Urothelial bladder cancer
</t>
    </r>
    <r>
      <rPr>
        <sz val="12"/>
        <color theme="1"/>
        <rFont val="Calibri"/>
      </rPr>
      <t>Urinary tract infection</t>
    </r>
  </si>
  <si>
    <t>Based on the clinical presentation and workup findings, the most likely diagnosis in this case is benign prostatic hyperplasia (BPH). BPH is a common condition in older men, but it can also occur in younger men. The patient's symptoms of weak urinary stream, incomplete bladder emptying, urinary straining, and increased frequency are all consistent with BPH. The patient's AUA Symptom Index score of 20 indicates severe symptoms, which is also suggestive of BPH. The physical exam findings of a patent urethral meatus and no costovertebral angle tenderness are also consistent with BPH. The uroflow study showing a start/stop stream and near-complete bladder emptying is a characteristic finding in BPH.
Urethral stricture is less likely in this case because the patient does not have a history of straddle injury or other trauma to the genital area. Urethral strictures are more commonly seen in older men and are often associated with a history of urethral instrumentation or trauma. The patient's patent urethral meatus on physical exam also makes urethral stricture less likely.
Urothelial bladder cancer is less likely given the patient's age, absence of gross hematuria or flank pain, and the negative results of urine microscopy and tests for sexually transmitted infections. While the patient's family history of bladder cancer is significant, this is not necessarily a strong enough risk factor to make urothelial bladder cancer the most likely diagnosis. Additionally, urothelial bladder cancer typically presents with gross hematuria, which is not present in this case.
Urinary tract infection (UTI) is less likely given the negative results of the urine culture and tests for sexually transmitted infections. The patient's clear and straw-colored urine and absence of fever, chills, and dysuria also make UTI less likely. The patient's RBCs in the urine without RBC casts may suggest a urinary tract abnormality, but in the absence of other signs of infection, UTI is less likely.
In summary, the most likely diagnosis in this case is benign prostatic hyperplasia based on the patient's symptoms, AUA Symptom Index score, physical exam findings, and uroflow study results. Urethral stricture, urothelial bladder cancer, and UTI are less likely based on the absence of certain clinical features and workup findings.</t>
  </si>
  <si>
    <r>
      <rPr>
        <sz val="12"/>
        <color theme="1"/>
        <rFont val="Calibri"/>
      </rPr>
      <t xml:space="preserve">Frontotemporal lobar degeneration
Limbic encephalitis
Primary progressive multiple sclerosis
</t>
    </r>
    <r>
      <rPr>
        <b/>
        <sz val="12"/>
        <color theme="1"/>
        <rFont val="Calibri"/>
      </rPr>
      <t xml:space="preserve">Alzheimer disease
</t>
    </r>
    <r>
      <rPr>
        <sz val="12"/>
        <color theme="1"/>
        <rFont val="Calibri"/>
      </rPr>
      <t xml:space="preserve">Corticobasal degeneration
</t>
    </r>
  </si>
  <si>
    <t>The most likely diagnosis in this case is Alzheimer disease. The patient's clinical presentation, including progressive cognitive decline over 2 years with memory loss, difficulty with tasks of daily living, getting easily turned around in familiar places, and generalized anxiety, are all consistent with Alzheimer disease. The patient's cognitive testing scores on the Folstein Mini-Mental State Examination and Neurobehavioral Cognitive Status Examination also suggest moderate deficits in orientation, memory, and visual-spatial skills. The brain MRI findings of generalized atrophy greater than expected for the patient's age, bilateral hippocampal atrophy, and minimal white-matter hyperintensities that do not enhance are all characteristic of Alzheimer disease. Additionally, the CSF biomarker profile with decreased amyloid beta (1-42) level and elevated total tau and phospho-tau levels supports a diagnosis of Alzheimer disease.
Frontotemporal lobar degeneration is less likely given the patient's clinical presentation of memory loss, which is not a characteristic feature of frontotemporal lobar degeneration. Instead, patients with this condition may present with behavioral changes, language difficulties, and problems with executive function. Additionally, the patient's brain MRI findings of hippocampal atrophy are not typical of frontotemporal lobar degeneration.
Limbic encephalitis is less likely given the absence of fever, seizures, or focal neurologic symptoms. Patients with limbic encephalitis may present with rapid onset of memory loss, seizures, and behavioral and personality changes, which are not consistent with this patient's clinical presentation.
Primary progressive multiple sclerosis is less likely given the absence of focal neurologic symptoms, headaches, or fevers. Patients with primary progressive multiple sclerosis may present with a variety of neurologic symptoms, such as weakness, sensory deficits, and balance problems, which are not present in this patient.
Corticobasal degeneration is less likely given the absence of focal neurologic symptoms, such as motor or sensory deficits. Patients with corticobasal degeneration may present with apraxia, dystonia, myoclonus, and alien limb phenomenon, which are not present in this patient. The patient's brain MRI findings of bilateral hippocampal atrophy are also not typical of corticobasal degeneration.
In summary, the most likely diagnosis in this case is Alzheimer disease based on the patient's clinical presentation, cognitive testing, brain MRI findings, and CSF biomarker profile. Other differential diagnoses, such as frontotemporal lobar degeneration, limbic encephalitis, primary progressive multiple sclerosis, and corticobasal degeneration, are less likely given the absence of certain clinical features and workup findings.</t>
  </si>
  <si>
    <t>https://reference.medscape.com/viewarticle/948838_3</t>
  </si>
  <si>
    <r>
      <rPr>
        <sz val="12"/>
        <color theme="1"/>
        <rFont val="Calibri"/>
      </rPr>
      <t xml:space="preserve">Acute exacerbation of COPD
</t>
    </r>
    <r>
      <rPr>
        <b/>
        <sz val="12"/>
        <color theme="1"/>
        <rFont val="Calibri"/>
      </rPr>
      <t xml:space="preserve">Acute gastrointestinal (GI) bleeding
</t>
    </r>
    <r>
      <rPr>
        <sz val="12"/>
        <color theme="1"/>
        <rFont val="Calibri"/>
      </rPr>
      <t>Congestive heart failure
In-stent restenosis
IBD</t>
    </r>
  </si>
  <si>
    <t>The most likely diagnosis in this case is acute gastrointestinal (GI) bleeding, given the patient's clinical presentation of dyspnea and fatigue, along with a positive fecal occult blood test result and dark stools. The patient's laboratory investigations, including a low hemoglobin level and hematocrit, support the diagnosis of acute GI bleeding. The EGD and colonoscopy findings in the figure show erosive gastritis and diverticulosis with stigmata of recent bleeding, respectively, which further support the diagnosis of acute GI bleeding.
Acute exacerbation of COPD is less likely given the absence of chest pain, leg swelling, or respiratory symptoms, such as cough or fever. In addition, the patient's laboratory investigations and EGD and colonoscopy findings do not support a diagnosis of acute exacerbation of COPD.
Congestive heart failure is less likely given the absence of a history of chest pain, leg swelling, or recent respiratory tract infections. The patient's echocardiography result showing a left ventricular ejection fraction of 60%-65% does not support a diagnosis of congestive heart failure.
In-stent restenosis is less likely given the absence of chest pain or respiratory symptoms, as well as the patient's recent PCI procedure, which may suggest that the patient's dyspnea and fatigue are not due to in-stent restenosis.
IBD is less likely given the absence of abdominal pain, diarrhea, or a change in bowel habits. The patient's colonoscopy result showing diverticulosis with stigmata of recent bleeding is more consistent with diverticular bleeding rather than IBD.
In summary, the most likely diagnosis in this case is acute gastrointestinal (GI) bleeding based on the patient's clinical presentation, laboratory investigations, and EGD and colonoscopy findings. Other differential diagnoses, such as acute exacerbation of COPD, congestive heart failure, in-stent restenosis, and IBD, are less likely given the absence of certain clinical features and workup findings.</t>
  </si>
  <si>
    <t>https://reference.medscape.com/viewarticle/850362_3</t>
  </si>
  <si>
    <r>
      <rPr>
        <sz val="12"/>
        <color theme="1"/>
        <rFont val="Calibri"/>
      </rPr>
      <t xml:space="preserve">Systemic lupus erythematosus
Bacterial endocarditis with emboli
Raynaud phenomenon
</t>
    </r>
    <r>
      <rPr>
        <b/>
        <sz val="12"/>
        <color theme="1"/>
        <rFont val="Calibri"/>
      </rPr>
      <t>Chilblains</t>
    </r>
  </si>
  <si>
    <t>Chilblains</t>
  </si>
  <si>
    <t>The most likely diagnosis in this case is chilblains. Chilblains are a cold-induced inflammatory condition that can present as painful, discolored, and tender areas on the skin, most commonly affecting the toes, fingers, nose, and ears. The patient's symptoms of painful, discolored toes that are sensitive to cold exposure are consistent with chilblains. The poorly demarcated blanching erythema surrounding the nonblanching purpuric lesions seen on physical examination are also consistent with chilblains.
Bacterial endocarditis with emboli can present with skin findings, but it is less likely in this case given the absence of fever, abnormal cardiac examination, and normal blood tests for infection. Raynaud phenomenon can also present with cold-induced skin changes but typically affects the fingers rather than the toes, and the findings are typically symmetric. Systemic lupus erythematosus is less likely in this case given the negative ANA and other autoantibody tests.</t>
  </si>
  <si>
    <t>Pleural Effusion and an Axillary Mass in a Woman With Hypertension ***(not diagnostic case, cancer origin case)***</t>
  </si>
  <si>
    <t>https://reference.medscape.com/viewarticle/948069_2</t>
  </si>
  <si>
    <r>
      <rPr>
        <sz val="12"/>
        <color theme="1"/>
        <rFont val="Calibri"/>
      </rPr>
      <t xml:space="preserve">Lung
Cervix
Stomach
</t>
    </r>
    <r>
      <rPr>
        <b/>
        <sz val="12"/>
        <color theme="1"/>
        <rFont val="Calibri"/>
      </rPr>
      <t xml:space="preserve">Breast
</t>
    </r>
    <r>
      <rPr>
        <sz val="12"/>
        <color theme="1"/>
        <rFont val="Calibri"/>
      </rPr>
      <t>Oropharynx</t>
    </r>
  </si>
  <si>
    <t>Breast</t>
  </si>
  <si>
    <t>The most likely diagnosis in this case is breast cancer. The patient has a newly discovered mass in her left axilla, which is found to be a moderately well-differentiated adenocarcinoma that is mammaglobin positive. Additionally, the patient has a history of yearly routine mammograms for the past 15 years, which have been unremarkable, but this does not rule out the possibility of a new cancer forming. The patient's family history also includes breast cancer in an aunt on her father's side. Other differentials can be ruled out based on the biopsy results, which show a specific type of cancer that is positive for mammaglobin and estrogen receptor, but negative for HER2, TTF-1, thyroglobulin, and napsin A. Lung cancer (which can cause pleural effusion) can be ruled out as well since the biopsy results were negative for TTF-1 and the chest CT did not reveal any lung abnormalities other than a possible small pleural effusion. Cervical cancer recurrence is also unlikely as the pelvic examination did not reveal any signs of recurrence, and CT of the abdomen and pelvis did not show any evidence of ascites or pelvic masses. Stomach cancer and oropharyngeal cancer are unlikely as they do not commonly present with axillary masses, and the biopsy results were negative for CK 20.</t>
  </si>
  <si>
    <r>
      <rPr>
        <sz val="12"/>
        <color theme="1"/>
        <rFont val="Calibri"/>
      </rPr>
      <t xml:space="preserve">Pelvic fracture
</t>
    </r>
    <r>
      <rPr>
        <b/>
        <sz val="12"/>
        <color theme="1"/>
        <rFont val="Calibri"/>
      </rPr>
      <t xml:space="preserve">Urethral injury
</t>
    </r>
    <r>
      <rPr>
        <sz val="12"/>
        <color theme="1"/>
        <rFont val="Calibri"/>
      </rPr>
      <t>Penile fracture
Bladder rupture</t>
    </r>
  </si>
  <si>
    <t xml:space="preserve">Urethral injury
</t>
  </si>
  <si>
    <t>The most likely diagnosis in this case is urethral injury. The patient's history and physical examination findings suggest trauma to the perineum and penis, which is consistent with urethral injury. Hematuria and pain upon urination are also common symptoms of urethral injury. The normal results of the complete blood count, coagulation profile, and pelvic radiographs help to rule out other potential causes of the patient's symptoms, such as pelvic fracture or bladder rupture. A retrograde urethrogram can confirm the diagnosis of urethral injury by showing evidence of extravasation of contrast material outside the urethral lumen, disruption of the urethral wall, or other abnormalities. Pelvic fracture and bladder rupture are less likely because there are no physical signs or history of associated abdominal or flank trauma. Penile fracture is also unlikely, given the lack of physical signs of penile injury, and the fact that hematuria is not a typical finding in penile fracture.</t>
  </si>
  <si>
    <t>https://reference.medscape.com/viewarticle/947225_3</t>
  </si>
  <si>
    <r>
      <rPr>
        <sz val="12"/>
        <color theme="1"/>
        <rFont val="Calibri"/>
      </rPr>
      <t xml:space="preserve">Pulmonary embolism
</t>
    </r>
    <r>
      <rPr>
        <b/>
        <sz val="12"/>
        <color theme="1"/>
        <rFont val="Calibri"/>
      </rPr>
      <t xml:space="preserve">Lyme carditis
</t>
    </r>
    <r>
      <rPr>
        <sz val="12"/>
        <color theme="1"/>
        <rFont val="Calibri"/>
      </rPr>
      <t>Sarcoidosis
Myocardial ischemia</t>
    </r>
  </si>
  <si>
    <t>The most likely diagnosis in this case is Lyme carditis. The patient's bradycardia and ECG findings, specifically the second-degree heart block, are suggestive of a cardiac manifestation of Lyme disease. The patient's history of a recent bug bite and rash also supports this diagnosis. The joint aches and fatigue can be seen in patients with Lyme disease, and the dyspnea may be related to the reduced cardiac output associated with heart block. Pulmonary embolism can cause dyspnea, but the absence of risk factors and chest imaging findings make it less likely. Sarcoidosis can also cause dyspnea and can present with ECG abnormalities, but the absence of other findings, such as pulmonary infiltrates, makes it less likely. Myocardial ischemia is less likely given the patient's young age and absence of risk factors.</t>
  </si>
  <si>
    <t>https://reference.medscape.com/viewarticle/878375_2</t>
  </si>
  <si>
    <r>
      <rPr>
        <sz val="12"/>
        <color theme="1"/>
        <rFont val="Calibri"/>
      </rPr>
      <t xml:space="preserve">Hyperdense renal cyst
</t>
    </r>
    <r>
      <rPr>
        <b/>
        <sz val="12"/>
        <color theme="1"/>
        <rFont val="Calibri"/>
      </rPr>
      <t xml:space="preserve">Renal cell carcinoma
</t>
    </r>
    <r>
      <rPr>
        <sz val="12"/>
        <color theme="1"/>
        <rFont val="Calibri"/>
      </rPr>
      <t>Oncocytoma
Angiomyolipoma</t>
    </r>
  </si>
  <si>
    <t xml:space="preserve">Renal cell carcinoma
</t>
  </si>
  <si>
    <t>The most likely diagnosis in this case is renal cell carcinoma. The CT scan reveals a large mass on the left kidney with ill-defined margins, and central necrosis, which is concerning for malignancy. Renal cell carcinoma is a common type of kidney cancer that can present with non-specific symptoms such as back pain, weight loss, and fatigue. The absence of gross or microscopic hematuria does not rule out renal cell carcinoma as a diagnosis. Other differentials such as hyperdense renal cyst, oncocytoma, and angiomyolipoma can also present as a renal mass on imaging, but they are less likely given the central necrosis seen on the CT scan. A biopsy may be required to differentiate between oncocytoma and renal cell carcinoma.</t>
  </si>
  <si>
    <t>https://reference.medscape.com/viewarticle/946426_2</t>
  </si>
  <si>
    <r>
      <rPr>
        <sz val="12"/>
        <color theme="1"/>
        <rFont val="Calibri"/>
      </rPr>
      <t xml:space="preserve">Protein-losing enteropathy (eg, celiac disease)
Connective tissue disorder (eg, lupus nephritis)
Nephrotic syndrome
</t>
    </r>
    <r>
      <rPr>
        <b/>
        <sz val="12"/>
        <color theme="1"/>
        <rFont val="Calibri"/>
      </rPr>
      <t xml:space="preserve">Systemic amyloidosis
</t>
    </r>
    <r>
      <rPr>
        <sz val="12"/>
        <color theme="1"/>
        <rFont val="Calibri"/>
      </rPr>
      <t>Diabetic nephropathy and autonomic neuropathy</t>
    </r>
  </si>
  <si>
    <t xml:space="preserve">Systemic amyloidosis
</t>
  </si>
  <si>
    <t>The most likely diagnosis in this case is systemic amyloidosis. The patient presents with multiple symptoms, including palpitations, lower limb edema, ecchymoses, macroglossia, normocytic anemia, and renal insufficiency, which are suggestive of this disease. The findings on echocardiography, the elevated NT-proBNP level, and the presence of multiple short runs of ventricular premature complexes suggest cardiac involvement. The marked mesenteric edema observed on ultrasonography also suggests amyloid deposition. The elevated proteinuria, along with the serum protein electrophoresis showing no monoclonal bands, makes protein-losing enteropathy and multiple myeloma less likely. Connective tissue disorders like lupus nephritis would have additional symptoms like arthralgia or arthritis, skin rashes, and/or photosensitivity. Diabetic nephropathy and autonomic neuropathy would not explain the other symptoms of the patient.</t>
  </si>
  <si>
    <t>https://reference.medscape.com/viewarticle/843821_2</t>
  </si>
  <si>
    <r>
      <rPr>
        <sz val="12"/>
        <color theme="1"/>
        <rFont val="Calibri"/>
      </rPr>
      <t xml:space="preserve">Complete Fanconi syndrome
</t>
    </r>
    <r>
      <rPr>
        <b/>
        <sz val="12"/>
        <color theme="1"/>
        <rFont val="Calibri"/>
      </rPr>
      <t xml:space="preserve">Sarcoidosis
</t>
    </r>
    <r>
      <rPr>
        <sz val="12"/>
        <color theme="1"/>
        <rFont val="Calibri"/>
      </rPr>
      <t>IgA nephropathy
Bartter syndrome</t>
    </r>
  </si>
  <si>
    <t>Bartter syndrome</t>
  </si>
  <si>
    <t>The most likely diagnosis in this case is Bartter syndrome. Bartter syndrome is a rare genetic disorder that results in an imbalance of electrolytes in the body, leading to low potassium and high calcium levels. Patients with Bartter syndrome can also have renal calcifications, polyuria, vomiting, and abdominal pain, which are all present in this case. The elevated BUN and serum creatinine levels are consistent with renal dysfunction, which is also associated with Bartter syndrome.
Sarcoidosis can present with hypercalcemia, but it is usually not associated with renal tubular dysfunction. IgA nephropathy is a glomerular disease, and the renal biopsy in this case did not show any glomerular abnormalities. Complete Fanconi syndrome is a tubular disorder, but the urinary sediment was normal, and there was no evidence of glycosuria or aminoaciduria, which are characteristic of Fanconi syndrome.</t>
  </si>
  <si>
    <t>https://reference.medscape.com/viewarticle/945754_3</t>
  </si>
  <si>
    <r>
      <rPr>
        <sz val="12"/>
        <color theme="1"/>
        <rFont val="Calibri"/>
      </rPr>
      <t xml:space="preserve">Steroid-secreting adrenal tumor
Congenital adrenal hyperplasia
</t>
    </r>
    <r>
      <rPr>
        <b/>
        <sz val="12"/>
        <color theme="1"/>
        <rFont val="Calibri"/>
      </rPr>
      <t xml:space="preserve">Steroid cell ovarian tumor
</t>
    </r>
    <r>
      <rPr>
        <sz val="12"/>
        <color theme="1"/>
        <rFont val="Calibri"/>
      </rPr>
      <t>Placental aromatase deficiency</t>
    </r>
  </si>
  <si>
    <t>Steroid-secreting adrenal tumor</t>
  </si>
  <si>
    <t>The most likely diagnosis in this case is steroid-secreting adrenal tumor, specifically an androgen-secreting tumor. The patient's presentation with diffuse hair loss on the scalp and increased hair growth on the arms and face, along with deepening of the voice and clitoromegaly, is consistent with virilization due to excess androgen production. Hormonal workup showed elevated levels of testosterone, 17-hydroxyprogesterone, and DHEA-S, which supports the diagnosis of an androgen-secreting tumor.
Congenital adrenal hyperplasia (CAH) is a possible differential diagnosis, but it is less likely given the patient's age of onset and absence of a family history. Furthermore, the laboratory findings in CAH usually demonstrate elevated levels of 17-hydroxyprogesterone and adrenal androgens.
Steroid cell ovarian tumor is another possibility, but it is less likely given the lack of adnexal masses and clitoromegaly, which are more suggestive of adrenal tumor. In addition, the hormonal profile in steroid cell ovarian tumor is typically characterized by elevated levels of estradiol and/or androgens.
Placental aromatase deficiency is also a less likely diagnosis, as it usually presents in the newborn period with ambiguous genitalia and severe salt-wasting. The hormonal profile in this condition typically demonstrates low estrogen levels and elevated levels of androgens and progesterone.</t>
  </si>
  <si>
    <r>
      <rPr>
        <sz val="12"/>
        <color theme="1"/>
        <rFont val="Calibri"/>
      </rPr>
      <t xml:space="preserve">Gastroesophageal reflux disease
Acalculous cholecystitis
Acute pancreatitis
</t>
    </r>
    <r>
      <rPr>
        <b/>
        <sz val="12"/>
        <color theme="1"/>
        <rFont val="Calibri"/>
      </rPr>
      <t>Perforated peptic ulcer</t>
    </r>
  </si>
  <si>
    <t>Acute pancreatitis</t>
  </si>
  <si>
    <t>The most likely diagnosis in this case is acute pancreatitis. The patient’s symptoms are consistent with pancreatitis, including severe abdominal pain that radiates to the back, tenderness in the epigastric and bilateral upper quadrant regions, and nausea. In addition, the patient’s alcohol consumption may be a contributing factor to the development of pancreatitis. Acalculous cholecystitis and perforated peptic ulcer are less likely given the absence of gallstones or biliary wall thickening on abdominal ultrasonography and the lack of free air on chest radiography. Gastroesophageal reflux disease is also less likely, as it typically presents with heartburn and regurgitation rather than severe abdominal pain.
Findings that would rule out acute pancreatitis include normal amylase and lipase levels, a negative CT scan of the abdomen and pelvis, and resolution of the patient’s symptoms without intervention. However, it is important to note that amylase and lipase levels may be normal in the early stages of pancreatitis and that a negative CT scan does not definitively rule out the diagnosis.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</si>
</sst>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m\ d\,\ yyyy"/>
    <numFmt numFmtId="165" formatCode="mmm\ d\,\ yyyy"/>
    <numFmt numFmtId="166" formatCode="mmmm\ d\,yyyy"/>
  </numFmts>
  <fonts count="34">
    <font>
      <sz val="12"/>
      <color theme="1"/>
      <name val="Calibri"/>
      <scheme val="minor"/>
    </font>
    <font>
      <sz val="12"/>
      <color theme="1"/>
      <name val="Calibri"/>
    </font>
    <font>
      <sz val="11"/>
      <color theme="1"/>
      <name val="Calibri"/>
    </font>
    <font>
      <sz val="12"/>
      <color theme="1"/>
      <name val="Calibri"/>
    </font>
    <font>
      <sz val="10"/>
      <color theme="1"/>
      <name val="Calibri"/>
    </font>
    <font>
      <sz val="12"/>
      <color rgb="FF000000"/>
      <name val="Calibri"/>
    </font>
    <font>
      <u/>
      <sz val="12"/>
      <color rgb="FF0563C1"/>
      <name val="Calibri"/>
    </font>
    <font>
      <sz val="12"/>
      <color rgb="FF000000"/>
      <name val="Calibri"/>
    </font>
    <font>
      <u/>
      <sz val="12"/>
      <color rgb="FF0000FF"/>
      <name val="Calibri"/>
    </font>
    <font>
      <sz val="10"/>
      <color rgb="FF000000"/>
      <name val="Calibri"/>
    </font>
    <font>
      <u/>
      <sz val="12"/>
      <color rgb="FF000000"/>
      <name val="Calibri"/>
    </font>
    <font>
      <sz val="10"/>
      <color rgb="FF374151"/>
      <name val="Söhne"/>
    </font>
    <font>
      <sz val="12"/>
      <color rgb="FF000000"/>
      <name val="Roboto"/>
    </font>
    <font>
      <sz val="12"/>
      <color rgb="FF333132"/>
      <name val="Proxima Nova"/>
    </font>
    <font>
      <b/>
      <sz val="10"/>
      <color rgb="FF000000"/>
      <name val="Calibri"/>
    </font>
    <font>
      <sz val="9"/>
      <color theme="1"/>
      <name val="Calibri"/>
    </font>
    <font>
      <sz val="8"/>
      <color theme="1"/>
      <name val="Calibri"/>
    </font>
    <font>
      <sz val="10"/>
      <color rgb="FF000000"/>
      <name val="Roboto"/>
    </font>
    <font>
      <sz val="11"/>
      <color rgb="FF000000"/>
      <name val="Roboto"/>
    </font>
    <font>
      <sz val="6"/>
      <color rgb="FF000000"/>
      <name val="Roboto"/>
    </font>
    <font>
      <u/>
      <sz val="10"/>
      <color rgb="FF000000"/>
      <name val="Roboto"/>
    </font>
    <font>
      <sz val="10"/>
      <color rgb="FF2A2A2A"/>
      <name val="Proxima Nova"/>
    </font>
    <font>
      <sz val="10"/>
      <color theme="1"/>
      <name val="Arial"/>
    </font>
    <font>
      <u/>
      <sz val="11"/>
      <color rgb="FF000000"/>
      <name val="Roboto"/>
    </font>
    <font>
      <sz val="11"/>
      <color rgb="FF333132"/>
      <name val="Roboto Condensed"/>
    </font>
    <font>
      <sz val="11"/>
      <color theme="1"/>
      <name val="Roboto"/>
    </font>
    <font>
      <u/>
      <sz val="12"/>
      <color rgb="FF0563C1"/>
      <name val="Calibri"/>
    </font>
    <font>
      <b/>
      <sz val="12"/>
      <color theme="1"/>
      <name val="Calibri"/>
    </font>
    <font>
      <u/>
      <sz val="12"/>
      <color rgb="FF0000FF"/>
      <name val="Calibri"/>
    </font>
    <font>
      <b/>
      <sz val="10"/>
      <color theme="1"/>
      <name val="Calibri"/>
    </font>
    <font>
      <b/>
      <sz val="10"/>
      <color rgb="FF000000"/>
      <name val="Roboto"/>
    </font>
    <font>
      <b/>
      <sz val="10"/>
      <color rgb="FF2A2A2A"/>
      <name val="Calibri"/>
      <scheme val="minor"/>
    </font>
    <font>
      <sz val="10"/>
      <color rgb="FF2A2A2A"/>
      <name val="Calibri"/>
      <scheme val="minor"/>
    </font>
    <font>
      <b/>
      <sz val="10"/>
      <color theme="1"/>
      <name val="Arial"/>
    </font>
  </fonts>
  <fills count="9">
    <fill>
      <patternFill patternType="none"/>
    </fill>
    <fill>
      <patternFill patternType="gray125"/>
    </fill>
    <fill>
      <patternFill patternType="solid">
        <fgColor rgb="FFD9D9D9"/>
        <bgColor rgb="FFD9D9D9"/>
      </patternFill>
    </fill>
    <fill>
      <patternFill patternType="solid">
        <fgColor rgb="FFAEABAB"/>
        <bgColor rgb="FFAEABAB"/>
      </patternFill>
    </fill>
    <fill>
      <patternFill patternType="solid">
        <fgColor rgb="FFB4A7D6"/>
        <bgColor rgb="FFB4A7D6"/>
      </patternFill>
    </fill>
    <fill>
      <patternFill patternType="solid">
        <fgColor theme="0"/>
        <bgColor theme="0"/>
      </patternFill>
    </fill>
    <fill>
      <patternFill patternType="solid">
        <fgColor rgb="FFFFFFFF"/>
        <bgColor rgb="FFFFFFFF"/>
      </patternFill>
    </fill>
    <fill>
      <patternFill patternType="solid">
        <fgColor rgb="FFB7B7B7"/>
        <bgColor rgb="FFB7B7B7"/>
      </patternFill>
    </fill>
    <fill>
      <patternFill patternType="solid">
        <fgColor rgb="FFFFFF00"/>
        <bgColor rgb="FFFFFF00"/>
      </patternFill>
    </fill>
  </fills>
  <borders count="2">
    <border>
      <left/>
      <right/>
      <top/>
      <bottom/>
      <diagonal/>
    </border>
    <border>
      <left/>
      <right/>
      <top/>
      <bottom/>
      <diagonal/>
    </border>
  </borders>
  <cellStyleXfs count="1">
    <xf numFmtId="0" fontId="0" fillId="0" borderId="0"/>
  </cellStyleXfs>
  <cellXfs count="59">
    <xf numFmtId="0" fontId="0" fillId="0" borderId="0" xfId="0"/>
    <xf numFmtId="0" fontId="1" fillId="2" borderId="0" xfId="0" applyFont="1" applyFill="1"/>
    <xf numFmtId="0" fontId="1" fillId="0" borderId="0" xfId="0" applyFont="1"/>
    <xf numFmtId="0" fontId="2" fillId="0" borderId="0" xfId="0" applyFont="1" applyAlignment="1">
      <alignment wrapText="1"/>
    </xf>
    <xf numFmtId="0" fontId="1" fillId="0" borderId="0" xfId="0" applyFont="1" applyAlignment="1">
      <alignment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0" xfId="0" applyFont="1" applyAlignment="1">
      <alignment horizontal="center" wrapText="1"/>
    </xf>
    <xf numFmtId="0" fontId="4"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applyAlignment="1">
      <alignment horizontal="left" wrapText="1"/>
    </xf>
    <xf numFmtId="0" fontId="10"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4" fillId="0" borderId="0" xfId="0" applyFont="1" applyAlignment="1">
      <alignment horizontal="left" wrapText="1"/>
    </xf>
    <xf numFmtId="0" fontId="9" fillId="0" borderId="0" xfId="0" applyFont="1" applyAlignment="1">
      <alignment wrapText="1"/>
    </xf>
    <xf numFmtId="0" fontId="15" fillId="0" borderId="0" xfId="0" applyFont="1" applyAlignment="1">
      <alignment wrapText="1"/>
    </xf>
    <xf numFmtId="0" fontId="16" fillId="0" borderId="0" xfId="0" applyFont="1" applyAlignment="1">
      <alignment wrapText="1"/>
    </xf>
    <xf numFmtId="0" fontId="17" fillId="3"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7" fillId="3" borderId="0" xfId="0" applyFont="1" applyFill="1" applyAlignment="1">
      <alignment wrapText="1"/>
    </xf>
    <xf numFmtId="0" fontId="17" fillId="0" borderId="0" xfId="0" applyFont="1" applyAlignment="1">
      <alignment wrapText="1"/>
    </xf>
    <xf numFmtId="0" fontId="17" fillId="4" borderId="0" xfId="0" applyFont="1" applyFill="1" applyAlignment="1">
      <alignment wrapText="1"/>
    </xf>
    <xf numFmtId="0" fontId="19" fillId="4" borderId="0" xfId="0" applyFont="1" applyFill="1" applyAlignment="1">
      <alignment wrapText="1"/>
    </xf>
    <xf numFmtId="0" fontId="20" fillId="0" borderId="0" xfId="0" applyFont="1" applyAlignment="1">
      <alignment wrapText="1"/>
    </xf>
    <xf numFmtId="0" fontId="17" fillId="5" borderId="0" xfId="0" applyFont="1" applyFill="1" applyAlignment="1">
      <alignment wrapText="1"/>
    </xf>
    <xf numFmtId="0" fontId="17" fillId="6" borderId="0" xfId="0" applyFont="1" applyFill="1" applyAlignment="1">
      <alignment wrapText="1"/>
    </xf>
    <xf numFmtId="0" fontId="21" fillId="6" borderId="0" xfId="0" applyFont="1" applyFill="1" applyAlignment="1">
      <alignment wrapText="1"/>
    </xf>
    <xf numFmtId="0" fontId="21" fillId="5" borderId="0" xfId="0" applyFont="1" applyFill="1" applyAlignment="1">
      <alignment wrapText="1"/>
    </xf>
    <xf numFmtId="0" fontId="22" fillId="0" borderId="0" xfId="0" applyFont="1" applyAlignment="1">
      <alignment wrapText="1"/>
    </xf>
    <xf numFmtId="0" fontId="18" fillId="0" borderId="0" xfId="0" applyFont="1" applyAlignment="1">
      <alignment wrapText="1"/>
    </xf>
    <xf numFmtId="0" fontId="17" fillId="6" borderId="0" xfId="0" applyFont="1" applyFill="1"/>
    <xf numFmtId="0" fontId="23" fillId="0" borderId="0" xfId="0" applyFont="1" applyAlignment="1">
      <alignment wrapText="1"/>
    </xf>
    <xf numFmtId="0" fontId="2" fillId="0" borderId="0" xfId="0" applyFont="1"/>
    <xf numFmtId="0" fontId="24" fillId="0" borderId="0" xfId="0" applyFont="1" applyAlignment="1">
      <alignment wrapText="1"/>
    </xf>
    <xf numFmtId="0" fontId="25" fillId="0" borderId="0" xfId="0" applyFont="1" applyAlignment="1">
      <alignment wrapText="1"/>
    </xf>
    <xf numFmtId="0" fontId="19" fillId="0" borderId="0" xfId="0" applyFont="1" applyAlignment="1">
      <alignment wrapText="1"/>
    </xf>
    <xf numFmtId="0" fontId="3"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 fillId="4" borderId="0" xfId="0" applyFont="1" applyFill="1" applyAlignment="1">
      <alignment wrapText="1"/>
    </xf>
    <xf numFmtId="0" fontId="15" fillId="4" borderId="0" xfId="0" applyFont="1" applyFill="1" applyAlignment="1">
      <alignment wrapText="1"/>
    </xf>
    <xf numFmtId="0" fontId="7" fillId="6" borderId="0" xfId="0" applyFont="1" applyFill="1" applyAlignment="1">
      <alignment horizontal="left" wrapText="1"/>
    </xf>
    <xf numFmtId="0" fontId="26" fillId="0" borderId="0" xfId="0" applyFont="1" applyAlignment="1">
      <alignment wrapText="1"/>
    </xf>
    <xf numFmtId="0" fontId="12" fillId="6" borderId="0" xfId="0" applyFont="1" applyFill="1" applyAlignment="1">
      <alignment wrapText="1"/>
    </xf>
    <xf numFmtId="0" fontId="27" fillId="7" borderId="0" xfId="0" applyFont="1" applyFill="1" applyAlignment="1">
      <alignment wrapText="1"/>
    </xf>
    <xf numFmtId="164" fontId="1" fillId="0" borderId="0" xfId="0" applyNumberFormat="1" applyFont="1" applyAlignment="1">
      <alignment wrapText="1"/>
    </xf>
    <xf numFmtId="0" fontId="7" fillId="6" borderId="0" xfId="0" applyFont="1" applyFill="1" applyAlignment="1">
      <alignment horizontal="left"/>
    </xf>
    <xf numFmtId="0" fontId="27" fillId="0" borderId="0" xfId="0" applyFont="1" applyAlignment="1">
      <alignment wrapText="1"/>
    </xf>
    <xf numFmtId="165" fontId="1" fillId="0" borderId="0" xfId="0" applyNumberFormat="1" applyFont="1" applyAlignment="1">
      <alignment wrapText="1"/>
    </xf>
    <xf numFmtId="0" fontId="1" fillId="8" borderId="0" xfId="0" applyFont="1" applyFill="1" applyAlignment="1">
      <alignment wrapText="1"/>
    </xf>
    <xf numFmtId="0" fontId="28" fillId="8" borderId="0" xfId="0" applyFont="1" applyFill="1" applyAlignment="1">
      <alignment wrapText="1"/>
    </xf>
    <xf numFmtId="0" fontId="7" fillId="8" borderId="0" xfId="0" applyFont="1" applyFill="1" applyAlignment="1">
      <alignment horizontal="left"/>
    </xf>
    <xf numFmtId="0" fontId="15" fillId="8" borderId="0" xfId="0" applyFont="1" applyFill="1" applyAlignment="1">
      <alignment wrapText="1"/>
    </xf>
    <xf numFmtId="166" fontId="1" fillId="0" borderId="0" xfId="0" applyNumberFormat="1" applyFont="1" applyAlignment="1">
      <alignment wrapText="1"/>
    </xf>
    <xf numFmtId="10" fontId="1" fillId="0" borderId="0" xfId="0" applyNumberFormat="1" applyFont="1" applyAlignment="1">
      <alignment wrapText="1"/>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180975</xdr:colOff>
      <xdr:row>4</xdr:row>
      <xdr:rowOff>171450</xdr:rowOff>
    </xdr:from>
    <xdr:ext cx="6677025" cy="26479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14</xdr:col>
      <xdr:colOff>304800</xdr:colOff>
      <xdr:row>2</xdr:row>
      <xdr:rowOff>533400</xdr:rowOff>
    </xdr:from>
    <xdr:ext cx="6362700" cy="4371975"/>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18</xdr:col>
      <xdr:colOff>542925</xdr:colOff>
      <xdr:row>2</xdr:row>
      <xdr:rowOff>790575</xdr:rowOff>
    </xdr:from>
    <xdr:ext cx="6362700" cy="4371975"/>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14</xdr:col>
      <xdr:colOff>304800</xdr:colOff>
      <xdr:row>2</xdr:row>
      <xdr:rowOff>533400</xdr:rowOff>
    </xdr:from>
    <xdr:ext cx="6362700" cy="4371975"/>
    <xdr:pic>
      <xdr:nvPicPr>
        <xdr:cNvPr id="2" name="image2.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reference.medscape.com/viewarticle/888807" TargetMode="External"/><Relationship Id="rId21" Type="http://schemas.openxmlformats.org/officeDocument/2006/relationships/hyperlink" Target="https://reference.medscape.com/viewarticle/871259" TargetMode="External"/><Relationship Id="rId42" Type="http://schemas.openxmlformats.org/officeDocument/2006/relationships/hyperlink" Target="https://reference.medscape.com/viewarticle/847159" TargetMode="External"/><Relationship Id="rId47" Type="http://schemas.openxmlformats.org/officeDocument/2006/relationships/hyperlink" Target="https://reference.medscape.com/viewarticle/976837" TargetMode="External"/><Relationship Id="rId63" Type="http://schemas.openxmlformats.org/officeDocument/2006/relationships/hyperlink" Target="https://reference.medscape.com/viewarticle/845962" TargetMode="External"/><Relationship Id="rId68" Type="http://schemas.openxmlformats.org/officeDocument/2006/relationships/hyperlink" Target="https://reference.medscape.com/viewarticle/720150" TargetMode="External"/><Relationship Id="rId84" Type="http://schemas.openxmlformats.org/officeDocument/2006/relationships/hyperlink" Target="https://reference.medscape.com/viewarticle/876163" TargetMode="External"/><Relationship Id="rId89" Type="http://schemas.openxmlformats.org/officeDocument/2006/relationships/hyperlink" Target="https://reference.medscape.com/viewarticle/889891" TargetMode="External"/><Relationship Id="rId16" Type="http://schemas.openxmlformats.org/officeDocument/2006/relationships/hyperlink" Target="https://reference.medscape.com/viewarticle/983307" TargetMode="External"/><Relationship Id="rId11" Type="http://schemas.openxmlformats.org/officeDocument/2006/relationships/hyperlink" Target="https://reference.medscape.com/viewarticle/983918" TargetMode="External"/><Relationship Id="rId32" Type="http://schemas.openxmlformats.org/officeDocument/2006/relationships/hyperlink" Target="https://reference.medscape.com/viewarticle/980235" TargetMode="External"/><Relationship Id="rId37" Type="http://schemas.openxmlformats.org/officeDocument/2006/relationships/hyperlink" Target="https://reference.medscape.com/viewarticle/889050" TargetMode="External"/><Relationship Id="rId53" Type="http://schemas.openxmlformats.org/officeDocument/2006/relationships/hyperlink" Target="https://reference.medscape.com/viewarticle/975750" TargetMode="External"/><Relationship Id="rId58" Type="http://schemas.openxmlformats.org/officeDocument/2006/relationships/hyperlink" Target="https://reference.medscape.com/viewarticle/849308" TargetMode="External"/><Relationship Id="rId74" Type="http://schemas.openxmlformats.org/officeDocument/2006/relationships/hyperlink" Target="https://reference.medscape.com/viewarticle/745798" TargetMode="External"/><Relationship Id="rId79" Type="http://schemas.openxmlformats.org/officeDocument/2006/relationships/hyperlink" Target="https://reference.medscape.com/viewarticle/971164" TargetMode="External"/><Relationship Id="rId102" Type="http://schemas.openxmlformats.org/officeDocument/2006/relationships/drawing" Target="../drawings/drawing2.xml"/><Relationship Id="rId5" Type="http://schemas.openxmlformats.org/officeDocument/2006/relationships/hyperlink" Target="https://reference.medscape.com/viewarticle/984871" TargetMode="External"/><Relationship Id="rId90" Type="http://schemas.openxmlformats.org/officeDocument/2006/relationships/hyperlink" Target="https://reference.medscape.com/viewarticle/968993" TargetMode="External"/><Relationship Id="rId95" Type="http://schemas.openxmlformats.org/officeDocument/2006/relationships/hyperlink" Target="https://reference.medscape.com/viewarticle/729365" TargetMode="External"/><Relationship Id="rId22" Type="http://schemas.openxmlformats.org/officeDocument/2006/relationships/hyperlink" Target="https://reference.medscape.com/viewarticle/847975" TargetMode="External"/><Relationship Id="rId27" Type="http://schemas.openxmlformats.org/officeDocument/2006/relationships/hyperlink" Target="https://reference.medscape.com/viewarticle/980966" TargetMode="External"/><Relationship Id="rId43" Type="http://schemas.openxmlformats.org/officeDocument/2006/relationships/hyperlink" Target="https://reference.medscape.com/viewarticle/881807" TargetMode="External"/><Relationship Id="rId48" Type="http://schemas.openxmlformats.org/officeDocument/2006/relationships/hyperlink" Target="https://reference.medscape.com/viewarticle/976833" TargetMode="External"/><Relationship Id="rId64" Type="http://schemas.openxmlformats.org/officeDocument/2006/relationships/hyperlink" Target="https://reference.medscape.com/viewarticle/973953" TargetMode="External"/><Relationship Id="rId69" Type="http://schemas.openxmlformats.org/officeDocument/2006/relationships/hyperlink" Target="https://reference.medscape.com/viewarticle/972696" TargetMode="External"/><Relationship Id="rId80" Type="http://schemas.openxmlformats.org/officeDocument/2006/relationships/hyperlink" Target="https://reference.medscape.com/viewarticle/833128" TargetMode="External"/><Relationship Id="rId85" Type="http://schemas.openxmlformats.org/officeDocument/2006/relationships/hyperlink" Target="https://reference.medscape.com/viewarticle/746588" TargetMode="External"/><Relationship Id="rId12" Type="http://schemas.openxmlformats.org/officeDocument/2006/relationships/hyperlink" Target="https://reference.medscape.com/viewarticle/983917" TargetMode="External"/><Relationship Id="rId17" Type="http://schemas.openxmlformats.org/officeDocument/2006/relationships/hyperlink" Target="https://reference.medscape.com/viewarticle/882771" TargetMode="External"/><Relationship Id="rId25" Type="http://schemas.openxmlformats.org/officeDocument/2006/relationships/hyperlink" Target="https://reference.medscape.com/viewarticle/892848" TargetMode="External"/><Relationship Id="rId33" Type="http://schemas.openxmlformats.org/officeDocument/2006/relationships/hyperlink" Target="https://reference.medscape.com/viewarticle/979516" TargetMode="External"/><Relationship Id="rId38" Type="http://schemas.openxmlformats.org/officeDocument/2006/relationships/hyperlink" Target="https://reference.medscape.com/viewarticle/871819" TargetMode="External"/><Relationship Id="rId46" Type="http://schemas.openxmlformats.org/officeDocument/2006/relationships/hyperlink" Target="https://reference.medscape.com/viewarticle/752121" TargetMode="External"/><Relationship Id="rId59" Type="http://schemas.openxmlformats.org/officeDocument/2006/relationships/hyperlink" Target="https://reference.medscape.com/viewarticle/974769" TargetMode="External"/><Relationship Id="rId67" Type="http://schemas.openxmlformats.org/officeDocument/2006/relationships/hyperlink" Target="https://reference.medscape.com/viewarticle/973267" TargetMode="External"/><Relationship Id="rId103" Type="http://schemas.openxmlformats.org/officeDocument/2006/relationships/vmlDrawing" Target="../drawings/vmlDrawing1.vml"/><Relationship Id="rId20" Type="http://schemas.openxmlformats.org/officeDocument/2006/relationships/hyperlink" Target="https://reference.medscape.com/viewarticle/982431" TargetMode="External"/><Relationship Id="rId41" Type="http://schemas.openxmlformats.org/officeDocument/2006/relationships/hyperlink" Target="https://reference.medscape.com/viewarticle/979003" TargetMode="External"/><Relationship Id="rId54" Type="http://schemas.openxmlformats.org/officeDocument/2006/relationships/hyperlink" Target="https://reference.medscape.com/viewarticle/851819" TargetMode="External"/><Relationship Id="rId62" Type="http://schemas.openxmlformats.org/officeDocument/2006/relationships/hyperlink" Target="https://reference.medscape.com/viewarticle/874063" TargetMode="External"/><Relationship Id="rId70" Type="http://schemas.openxmlformats.org/officeDocument/2006/relationships/hyperlink" Target="https://reference.medscape.com/viewarticle/842254" TargetMode="External"/><Relationship Id="rId75" Type="http://schemas.openxmlformats.org/officeDocument/2006/relationships/hyperlink" Target="https://reference.medscape.com/viewarticle/971990" TargetMode="External"/><Relationship Id="rId83" Type="http://schemas.openxmlformats.org/officeDocument/2006/relationships/hyperlink" Target="https://reference.medscape.com/viewarticle/970288" TargetMode="External"/><Relationship Id="rId88" Type="http://schemas.openxmlformats.org/officeDocument/2006/relationships/hyperlink" Target="https://reference.medscape.com/viewarticle/869215" TargetMode="External"/><Relationship Id="rId91" Type="http://schemas.openxmlformats.org/officeDocument/2006/relationships/hyperlink" Target="https://reference.medscape.com/viewarticle/968367" TargetMode="External"/><Relationship Id="rId96" Type="http://schemas.openxmlformats.org/officeDocument/2006/relationships/hyperlink" Target="https://reference.medscape.com/viewarticle/898100" TargetMode="External"/><Relationship Id="rId1" Type="http://schemas.openxmlformats.org/officeDocument/2006/relationships/hyperlink" Target="https://reference.medscape.com/viewarticle/984951" TargetMode="External"/><Relationship Id="rId6" Type="http://schemas.openxmlformats.org/officeDocument/2006/relationships/hyperlink" Target="https://reference.medscape.com/viewarticle/984870" TargetMode="External"/><Relationship Id="rId15" Type="http://schemas.openxmlformats.org/officeDocument/2006/relationships/hyperlink" Target="https://reference.medscape.com/viewarticle/983148" TargetMode="External"/><Relationship Id="rId23" Type="http://schemas.openxmlformats.org/officeDocument/2006/relationships/hyperlink" Target="https://reference.medscape.com/viewarticle/981714" TargetMode="External"/><Relationship Id="rId28" Type="http://schemas.openxmlformats.org/officeDocument/2006/relationships/hyperlink" Target="https://reference.medscape.com/viewarticle/980863" TargetMode="External"/><Relationship Id="rId36" Type="http://schemas.openxmlformats.org/officeDocument/2006/relationships/hyperlink" Target="https://reference.medscape.com/viewarticle/979595" TargetMode="External"/><Relationship Id="rId49" Type="http://schemas.openxmlformats.org/officeDocument/2006/relationships/hyperlink" Target="https://reference.medscape.com/viewarticle/858606" TargetMode="External"/><Relationship Id="rId57" Type="http://schemas.openxmlformats.org/officeDocument/2006/relationships/hyperlink" Target="https://reference.medscape.com/viewarticle/975148" TargetMode="External"/><Relationship Id="rId10" Type="http://schemas.openxmlformats.org/officeDocument/2006/relationships/hyperlink" Target="https://reference.medscape.com/viewarticle/913911" TargetMode="External"/><Relationship Id="rId31" Type="http://schemas.openxmlformats.org/officeDocument/2006/relationships/hyperlink" Target="https://reference.medscape.com/viewarticle/980564" TargetMode="External"/><Relationship Id="rId44" Type="http://schemas.openxmlformats.org/officeDocument/2006/relationships/hyperlink" Target="https://reference.medscape.com/viewarticle/977791" TargetMode="External"/><Relationship Id="rId52" Type="http://schemas.openxmlformats.org/officeDocument/2006/relationships/hyperlink" Target="https://reference.medscape.com/viewarticle/823046" TargetMode="External"/><Relationship Id="rId60" Type="http://schemas.openxmlformats.org/officeDocument/2006/relationships/hyperlink" Target="https://reference.medscape.com/viewarticle/974770" TargetMode="External"/><Relationship Id="rId65" Type="http://schemas.openxmlformats.org/officeDocument/2006/relationships/hyperlink" Target="https://reference.medscape.com/viewarticle/973582" TargetMode="External"/><Relationship Id="rId73" Type="http://schemas.openxmlformats.org/officeDocument/2006/relationships/hyperlink" Target="https://reference.medscape.com/viewarticle/972301" TargetMode="External"/><Relationship Id="rId78" Type="http://schemas.openxmlformats.org/officeDocument/2006/relationships/hyperlink" Target="https://reference.medscape.com/viewarticle/843818" TargetMode="External"/><Relationship Id="rId81" Type="http://schemas.openxmlformats.org/officeDocument/2006/relationships/hyperlink" Target="https://reference.medscape.com/viewarticle/753945" TargetMode="External"/><Relationship Id="rId86" Type="http://schemas.openxmlformats.org/officeDocument/2006/relationships/hyperlink" Target="https://reference.medscape.com/viewarticle/969260" TargetMode="External"/><Relationship Id="rId94" Type="http://schemas.openxmlformats.org/officeDocument/2006/relationships/hyperlink" Target="https://reference.medscape.com/viewarticle/855744" TargetMode="External"/><Relationship Id="rId99" Type="http://schemas.openxmlformats.org/officeDocument/2006/relationships/hyperlink" Target="https://reference.medscape.com/viewarticle/863846" TargetMode="External"/><Relationship Id="rId101" Type="http://schemas.openxmlformats.org/officeDocument/2006/relationships/hyperlink" Target="https://reference.medscape.com/viewarticle/881373" TargetMode="External"/><Relationship Id="rId4" Type="http://schemas.openxmlformats.org/officeDocument/2006/relationships/hyperlink" Target="https://reference.medscape.com/viewarticle/729899" TargetMode="External"/><Relationship Id="rId9" Type="http://schemas.openxmlformats.org/officeDocument/2006/relationships/hyperlink" Target="https://reference.medscape.com/viewarticle/984679" TargetMode="External"/><Relationship Id="rId13" Type="http://schemas.openxmlformats.org/officeDocument/2006/relationships/hyperlink" Target="https://reference.medscape.com/viewarticle/936740" TargetMode="External"/><Relationship Id="rId18" Type="http://schemas.openxmlformats.org/officeDocument/2006/relationships/hyperlink" Target="https://reference.medscape.com/viewarticle/889517" TargetMode="External"/><Relationship Id="rId39" Type="http://schemas.openxmlformats.org/officeDocument/2006/relationships/hyperlink" Target="https://reference.medscape.com/viewarticle/979164" TargetMode="External"/><Relationship Id="rId34" Type="http://schemas.openxmlformats.org/officeDocument/2006/relationships/hyperlink" Target="https://reference.medscape.com/viewarticle/867089" TargetMode="External"/><Relationship Id="rId50" Type="http://schemas.openxmlformats.org/officeDocument/2006/relationships/hyperlink" Target="https://reference.medscape.com/viewarticle/885142" TargetMode="External"/><Relationship Id="rId55" Type="http://schemas.openxmlformats.org/officeDocument/2006/relationships/hyperlink" Target="https://reference.medscape.com/viewarticle/975378" TargetMode="External"/><Relationship Id="rId76" Type="http://schemas.openxmlformats.org/officeDocument/2006/relationships/hyperlink" Target="https://reference.medscape.com/viewarticle/971546" TargetMode="External"/><Relationship Id="rId97" Type="http://schemas.openxmlformats.org/officeDocument/2006/relationships/hyperlink" Target="https://reference.medscape.com/viewarticle/885135" TargetMode="External"/><Relationship Id="rId104" Type="http://schemas.openxmlformats.org/officeDocument/2006/relationships/comments" Target="../comments1.xml"/><Relationship Id="rId7" Type="http://schemas.openxmlformats.org/officeDocument/2006/relationships/hyperlink" Target="https://reference.medscape.com/viewarticle/882400" TargetMode="External"/><Relationship Id="rId71" Type="http://schemas.openxmlformats.org/officeDocument/2006/relationships/hyperlink" Target="https://reference.medscape.com/viewarticle/847158" TargetMode="External"/><Relationship Id="rId92" Type="http://schemas.openxmlformats.org/officeDocument/2006/relationships/hyperlink" Target="https://reference.medscape.com/viewarticle/849383" TargetMode="External"/><Relationship Id="rId2" Type="http://schemas.openxmlformats.org/officeDocument/2006/relationships/hyperlink" Target="https://reference.medscape.com/viewarticle/984950" TargetMode="External"/><Relationship Id="rId29" Type="http://schemas.openxmlformats.org/officeDocument/2006/relationships/hyperlink" Target="https://reference.medscape.com/viewarticle/902139" TargetMode="External"/><Relationship Id="rId24" Type="http://schemas.openxmlformats.org/officeDocument/2006/relationships/hyperlink" Target="https://reference.medscape.com/viewarticle/981716" TargetMode="External"/><Relationship Id="rId40" Type="http://schemas.openxmlformats.org/officeDocument/2006/relationships/hyperlink" Target="https://reference.medscape.com/viewarticle/977964" TargetMode="External"/><Relationship Id="rId45" Type="http://schemas.openxmlformats.org/officeDocument/2006/relationships/hyperlink" Target="https://reference.medscape.com/viewarticle/877044" TargetMode="External"/><Relationship Id="rId66" Type="http://schemas.openxmlformats.org/officeDocument/2006/relationships/hyperlink" Target="https://reference.medscape.com/viewarticle/933451" TargetMode="External"/><Relationship Id="rId87" Type="http://schemas.openxmlformats.org/officeDocument/2006/relationships/hyperlink" Target="https://reference.medscape.com/viewarticle/968988" TargetMode="External"/><Relationship Id="rId61" Type="http://schemas.openxmlformats.org/officeDocument/2006/relationships/hyperlink" Target="https://reference.medscape.com/viewarticle/885533" TargetMode="External"/><Relationship Id="rId82" Type="http://schemas.openxmlformats.org/officeDocument/2006/relationships/hyperlink" Target="https://reference.medscape.com/viewarticle/885563" TargetMode="External"/><Relationship Id="rId19" Type="http://schemas.openxmlformats.org/officeDocument/2006/relationships/hyperlink" Target="https://reference.medscape.com/viewarticle/982433" TargetMode="External"/><Relationship Id="rId14" Type="http://schemas.openxmlformats.org/officeDocument/2006/relationships/hyperlink" Target="https://reference.medscape.com/viewarticle/885566" TargetMode="External"/><Relationship Id="rId30" Type="http://schemas.openxmlformats.org/officeDocument/2006/relationships/hyperlink" Target="https://reference.medscape.com/viewarticle/926232" TargetMode="External"/><Relationship Id="rId35" Type="http://schemas.openxmlformats.org/officeDocument/2006/relationships/hyperlink" Target="https://reference.medscape.com/viewarticle/827431" TargetMode="External"/><Relationship Id="rId56" Type="http://schemas.openxmlformats.org/officeDocument/2006/relationships/hyperlink" Target="https://reference.medscape.com/viewarticle/868041" TargetMode="External"/><Relationship Id="rId77" Type="http://schemas.openxmlformats.org/officeDocument/2006/relationships/hyperlink" Target="https://reference.medscape.com/viewarticle/727941" TargetMode="External"/><Relationship Id="rId100" Type="http://schemas.openxmlformats.org/officeDocument/2006/relationships/hyperlink" Target="https://reference.medscape.com/viewarticle/736108" TargetMode="External"/><Relationship Id="rId8" Type="http://schemas.openxmlformats.org/officeDocument/2006/relationships/hyperlink" Target="https://reference.medscape.com/viewarticle/888178" TargetMode="External"/><Relationship Id="rId51" Type="http://schemas.openxmlformats.org/officeDocument/2006/relationships/hyperlink" Target="https://reference.medscape.com/viewarticle/976273" TargetMode="External"/><Relationship Id="rId72" Type="http://schemas.openxmlformats.org/officeDocument/2006/relationships/hyperlink" Target="https://reference.medscape.com/viewarticle/893850" TargetMode="External"/><Relationship Id="rId93" Type="http://schemas.openxmlformats.org/officeDocument/2006/relationships/hyperlink" Target="https://reference.medscape.com/viewarticle/727294" TargetMode="External"/><Relationship Id="rId98" Type="http://schemas.openxmlformats.org/officeDocument/2006/relationships/hyperlink" Target="https://reference.medscape.com/viewarticle/966775" TargetMode="External"/><Relationship Id="rId3" Type="http://schemas.openxmlformats.org/officeDocument/2006/relationships/hyperlink" Target="https://reference.medscape.com/viewarticle/724047"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reference.medscape.com/viewarticle/888807" TargetMode="External"/><Relationship Id="rId21" Type="http://schemas.openxmlformats.org/officeDocument/2006/relationships/hyperlink" Target="https://reference.medscape.com/viewarticle/871259" TargetMode="External"/><Relationship Id="rId42" Type="http://schemas.openxmlformats.org/officeDocument/2006/relationships/hyperlink" Target="https://reference.medscape.com/viewarticle/847159_3" TargetMode="External"/><Relationship Id="rId47" Type="http://schemas.openxmlformats.org/officeDocument/2006/relationships/hyperlink" Target="https://reference.medscape.com/viewarticle/976837" TargetMode="External"/><Relationship Id="rId63" Type="http://schemas.openxmlformats.org/officeDocument/2006/relationships/hyperlink" Target="https://reference.medscape.com/viewarticle/961405" TargetMode="External"/><Relationship Id="rId68" Type="http://schemas.openxmlformats.org/officeDocument/2006/relationships/hyperlink" Target="https://reference.medscape.com/viewarticle/861792" TargetMode="External"/><Relationship Id="rId84" Type="http://schemas.openxmlformats.org/officeDocument/2006/relationships/hyperlink" Target="https://reference.medscape.com/viewarticle/861022" TargetMode="External"/><Relationship Id="rId89" Type="http://schemas.openxmlformats.org/officeDocument/2006/relationships/hyperlink" Target="https://reference.medscape.com/viewarticle/949659" TargetMode="External"/><Relationship Id="rId16" Type="http://schemas.openxmlformats.org/officeDocument/2006/relationships/hyperlink" Target="https://reference.medscape.com/viewarticle/983307" TargetMode="External"/><Relationship Id="rId11" Type="http://schemas.openxmlformats.org/officeDocument/2006/relationships/hyperlink" Target="https://reference.medscape.com/viewarticle/983918" TargetMode="External"/><Relationship Id="rId32" Type="http://schemas.openxmlformats.org/officeDocument/2006/relationships/hyperlink" Target="https://reference.medscape.com/viewarticle/980235" TargetMode="External"/><Relationship Id="rId37" Type="http://schemas.openxmlformats.org/officeDocument/2006/relationships/hyperlink" Target="https://reference.medscape.com/viewarticle/889050" TargetMode="External"/><Relationship Id="rId53" Type="http://schemas.openxmlformats.org/officeDocument/2006/relationships/hyperlink" Target="https://reference.medscape.com/viewarticle/966057" TargetMode="External"/><Relationship Id="rId58" Type="http://schemas.openxmlformats.org/officeDocument/2006/relationships/hyperlink" Target="https://reference.medscape.com/viewarticle/882078" TargetMode="External"/><Relationship Id="rId74" Type="http://schemas.openxmlformats.org/officeDocument/2006/relationships/hyperlink" Target="https://reference.medscape.com/viewarticle/846861" TargetMode="External"/><Relationship Id="rId79" Type="http://schemas.openxmlformats.org/officeDocument/2006/relationships/hyperlink" Target="https://reference.medscape.com/viewarticle/731206" TargetMode="External"/><Relationship Id="rId102" Type="http://schemas.openxmlformats.org/officeDocument/2006/relationships/drawing" Target="../drawings/drawing3.xml"/><Relationship Id="rId5" Type="http://schemas.openxmlformats.org/officeDocument/2006/relationships/hyperlink" Target="https://reference.medscape.com/viewarticle/984871" TargetMode="External"/><Relationship Id="rId90" Type="http://schemas.openxmlformats.org/officeDocument/2006/relationships/hyperlink" Target="https://reference.medscape.com/viewarticle/850363" TargetMode="External"/><Relationship Id="rId95" Type="http://schemas.openxmlformats.org/officeDocument/2006/relationships/hyperlink" Target="https://reference.medscape.com/viewarticle/947225" TargetMode="External"/><Relationship Id="rId22" Type="http://schemas.openxmlformats.org/officeDocument/2006/relationships/hyperlink" Target="https://reference.medscape.com/viewarticle/847975" TargetMode="External"/><Relationship Id="rId27" Type="http://schemas.openxmlformats.org/officeDocument/2006/relationships/hyperlink" Target="https://reference.medscape.com/viewarticle/980966" TargetMode="External"/><Relationship Id="rId43" Type="http://schemas.openxmlformats.org/officeDocument/2006/relationships/hyperlink" Target="https://reference.medscape.com/viewarticle/881807" TargetMode="External"/><Relationship Id="rId48" Type="http://schemas.openxmlformats.org/officeDocument/2006/relationships/hyperlink" Target="https://reference.medscape.com/viewarticle/976833" TargetMode="External"/><Relationship Id="rId64" Type="http://schemas.openxmlformats.org/officeDocument/2006/relationships/hyperlink" Target="https://reference.medscape.com/viewarticle/878930" TargetMode="External"/><Relationship Id="rId69" Type="http://schemas.openxmlformats.org/officeDocument/2006/relationships/hyperlink" Target="https://reference.medscape.com/viewarticle/958256" TargetMode="External"/><Relationship Id="rId80" Type="http://schemas.openxmlformats.org/officeDocument/2006/relationships/hyperlink" Target="https://reference.medscape.com/viewarticle/855224" TargetMode="External"/><Relationship Id="rId85" Type="http://schemas.openxmlformats.org/officeDocument/2006/relationships/hyperlink" Target="https://reference.medscape.com/viewarticle/951403" TargetMode="External"/><Relationship Id="rId12" Type="http://schemas.openxmlformats.org/officeDocument/2006/relationships/hyperlink" Target="https://reference.medscape.com/viewarticle/983917" TargetMode="External"/><Relationship Id="rId17" Type="http://schemas.openxmlformats.org/officeDocument/2006/relationships/hyperlink" Target="https://reference.medscape.com/viewarticle/882771" TargetMode="External"/><Relationship Id="rId25" Type="http://schemas.openxmlformats.org/officeDocument/2006/relationships/hyperlink" Target="https://reference.medscape.com/viewarticle/892848" TargetMode="External"/><Relationship Id="rId33" Type="http://schemas.openxmlformats.org/officeDocument/2006/relationships/hyperlink" Target="https://reference.medscape.com/viewarticle/979516" TargetMode="External"/><Relationship Id="rId38" Type="http://schemas.openxmlformats.org/officeDocument/2006/relationships/hyperlink" Target="https://reference.medscape.com/viewarticle/871819" TargetMode="External"/><Relationship Id="rId46" Type="http://schemas.openxmlformats.org/officeDocument/2006/relationships/hyperlink" Target="https://reference.medscape.com/viewarticle/752121" TargetMode="External"/><Relationship Id="rId59" Type="http://schemas.openxmlformats.org/officeDocument/2006/relationships/hyperlink" Target="https://reference.medscape.com/viewarticle/963312" TargetMode="External"/><Relationship Id="rId67" Type="http://schemas.openxmlformats.org/officeDocument/2006/relationships/hyperlink" Target="https://reference.medscape.com/viewarticle/959268" TargetMode="External"/><Relationship Id="rId20" Type="http://schemas.openxmlformats.org/officeDocument/2006/relationships/hyperlink" Target="https://reference.medscape.com/viewarticle/982431" TargetMode="External"/><Relationship Id="rId41" Type="http://schemas.openxmlformats.org/officeDocument/2006/relationships/hyperlink" Target="https://reference.medscape.com/viewarticle/979003" TargetMode="External"/><Relationship Id="rId54" Type="http://schemas.openxmlformats.org/officeDocument/2006/relationships/hyperlink" Target="https://reference.medscape.com/viewarticle/915146" TargetMode="External"/><Relationship Id="rId62" Type="http://schemas.openxmlformats.org/officeDocument/2006/relationships/hyperlink" Target="https://reference.medscape.com/viewarticle/717114" TargetMode="External"/><Relationship Id="rId70" Type="http://schemas.openxmlformats.org/officeDocument/2006/relationships/hyperlink" Target="https://reference.medscape.com/viewarticle/855223" TargetMode="External"/><Relationship Id="rId75" Type="http://schemas.openxmlformats.org/officeDocument/2006/relationships/hyperlink" Target="https://reference.medscape.com/viewarticle/955518" TargetMode="External"/><Relationship Id="rId83" Type="http://schemas.openxmlformats.org/officeDocument/2006/relationships/hyperlink" Target="https://reference.medscape.com/viewarticle/952272" TargetMode="External"/><Relationship Id="rId88" Type="http://schemas.openxmlformats.org/officeDocument/2006/relationships/hyperlink" Target="https://reference.medscape.com/viewarticle/840963" TargetMode="External"/><Relationship Id="rId91" Type="http://schemas.openxmlformats.org/officeDocument/2006/relationships/hyperlink" Target="https://reference.medscape.com/viewarticle/948838" TargetMode="External"/><Relationship Id="rId96" Type="http://schemas.openxmlformats.org/officeDocument/2006/relationships/hyperlink" Target="https://reference.medscape.com/viewarticle/878375" TargetMode="External"/><Relationship Id="rId1" Type="http://schemas.openxmlformats.org/officeDocument/2006/relationships/hyperlink" Target="https://reference.medscape.com/viewarticle/984951" TargetMode="External"/><Relationship Id="rId6" Type="http://schemas.openxmlformats.org/officeDocument/2006/relationships/hyperlink" Target="https://reference.medscape.com/viewarticle/984870" TargetMode="External"/><Relationship Id="rId15" Type="http://schemas.openxmlformats.org/officeDocument/2006/relationships/hyperlink" Target="https://reference.medscape.com/viewarticle/983148" TargetMode="External"/><Relationship Id="rId23" Type="http://schemas.openxmlformats.org/officeDocument/2006/relationships/hyperlink" Target="https://reference.medscape.com/viewarticle/981714" TargetMode="External"/><Relationship Id="rId28" Type="http://schemas.openxmlformats.org/officeDocument/2006/relationships/hyperlink" Target="https://reference.medscape.com/viewarticle/980863" TargetMode="External"/><Relationship Id="rId36" Type="http://schemas.openxmlformats.org/officeDocument/2006/relationships/hyperlink" Target="https://reference.medscape.com/viewarticle/979595" TargetMode="External"/><Relationship Id="rId49" Type="http://schemas.openxmlformats.org/officeDocument/2006/relationships/hyperlink" Target="https://reference.medscape.com/viewarticle/858606" TargetMode="External"/><Relationship Id="rId57" Type="http://schemas.openxmlformats.org/officeDocument/2006/relationships/hyperlink" Target="https://reference.medscape.com/viewarticle/963763" TargetMode="External"/><Relationship Id="rId10" Type="http://schemas.openxmlformats.org/officeDocument/2006/relationships/hyperlink" Target="https://reference.medscape.com/viewarticle/913911" TargetMode="External"/><Relationship Id="rId31" Type="http://schemas.openxmlformats.org/officeDocument/2006/relationships/hyperlink" Target="https://reference.medscape.com/viewarticle/980564" TargetMode="External"/><Relationship Id="rId44" Type="http://schemas.openxmlformats.org/officeDocument/2006/relationships/hyperlink" Target="https://reference.medscape.com/viewarticle/977791" TargetMode="External"/><Relationship Id="rId52" Type="http://schemas.openxmlformats.org/officeDocument/2006/relationships/hyperlink" Target="https://reference.medscape.com/viewarticle/881373" TargetMode="External"/><Relationship Id="rId60" Type="http://schemas.openxmlformats.org/officeDocument/2006/relationships/hyperlink" Target="https://reference.medscape.com/viewarticle/832279" TargetMode="External"/><Relationship Id="rId65" Type="http://schemas.openxmlformats.org/officeDocument/2006/relationships/hyperlink" Target="https://reference.medscape.com/viewarticle/960397" TargetMode="External"/><Relationship Id="rId73" Type="http://schemas.openxmlformats.org/officeDocument/2006/relationships/hyperlink" Target="https://reference.medscape.com/viewarticle/955983" TargetMode="External"/><Relationship Id="rId78" Type="http://schemas.openxmlformats.org/officeDocument/2006/relationships/hyperlink" Target="https://reference.medscape.com/viewarticle/954084" TargetMode="External"/><Relationship Id="rId81" Type="http://schemas.openxmlformats.org/officeDocument/2006/relationships/hyperlink" Target="https://reference.medscape.com/viewarticle/953529" TargetMode="External"/><Relationship Id="rId86" Type="http://schemas.openxmlformats.org/officeDocument/2006/relationships/hyperlink" Target="https://reference.medscape.com/viewarticle/865888" TargetMode="External"/><Relationship Id="rId94" Type="http://schemas.openxmlformats.org/officeDocument/2006/relationships/hyperlink" Target="https://reference.medscape.com/viewarticle/850957" TargetMode="External"/><Relationship Id="rId99" Type="http://schemas.openxmlformats.org/officeDocument/2006/relationships/hyperlink" Target="https://reference.medscape.com/viewarticle/945754" TargetMode="External"/><Relationship Id="rId101" Type="http://schemas.openxmlformats.org/officeDocument/2006/relationships/hyperlink" Target="https://reference.medscape.com/viewarticle/944870" TargetMode="External"/><Relationship Id="rId4" Type="http://schemas.openxmlformats.org/officeDocument/2006/relationships/hyperlink" Target="https://reference.medscape.com/viewarticle/729899" TargetMode="External"/><Relationship Id="rId9" Type="http://schemas.openxmlformats.org/officeDocument/2006/relationships/hyperlink" Target="https://reference.medscape.com/viewarticle/984679" TargetMode="External"/><Relationship Id="rId13" Type="http://schemas.openxmlformats.org/officeDocument/2006/relationships/hyperlink" Target="https://reference.medscape.com/viewarticle/936740" TargetMode="External"/><Relationship Id="rId18" Type="http://schemas.openxmlformats.org/officeDocument/2006/relationships/hyperlink" Target="https://reference.medscape.com/viewarticle/889517" TargetMode="External"/><Relationship Id="rId39" Type="http://schemas.openxmlformats.org/officeDocument/2006/relationships/hyperlink" Target="https://reference.medscape.com/viewarticle/979164" TargetMode="External"/><Relationship Id="rId34" Type="http://schemas.openxmlformats.org/officeDocument/2006/relationships/hyperlink" Target="https://reference.medscape.com/viewarticle/867089" TargetMode="External"/><Relationship Id="rId50" Type="http://schemas.openxmlformats.org/officeDocument/2006/relationships/hyperlink" Target="https://reference.medscape.com/viewarticle/885142" TargetMode="External"/><Relationship Id="rId55" Type="http://schemas.openxmlformats.org/officeDocument/2006/relationships/hyperlink" Target="https://reference.medscape.com/viewarticle/964990" TargetMode="External"/><Relationship Id="rId76" Type="http://schemas.openxmlformats.org/officeDocument/2006/relationships/hyperlink" Target="https://reference.medscape.com/viewarticle/860310" TargetMode="External"/><Relationship Id="rId97" Type="http://schemas.openxmlformats.org/officeDocument/2006/relationships/hyperlink" Target="https://reference.medscape.com/viewarticle/946426" TargetMode="External"/><Relationship Id="rId7" Type="http://schemas.openxmlformats.org/officeDocument/2006/relationships/hyperlink" Target="https://reference.medscape.com/viewarticle/882400" TargetMode="External"/><Relationship Id="rId71" Type="http://schemas.openxmlformats.org/officeDocument/2006/relationships/hyperlink" Target="https://reference.medscape.com/viewarticle/957245" TargetMode="External"/><Relationship Id="rId92" Type="http://schemas.openxmlformats.org/officeDocument/2006/relationships/hyperlink" Target="https://reference.medscape.com/viewarticle/850362" TargetMode="External"/><Relationship Id="rId2" Type="http://schemas.openxmlformats.org/officeDocument/2006/relationships/hyperlink" Target="https://reference.medscape.com/viewarticle/984950" TargetMode="External"/><Relationship Id="rId29" Type="http://schemas.openxmlformats.org/officeDocument/2006/relationships/hyperlink" Target="https://reference.medscape.com/viewarticle/902139" TargetMode="External"/><Relationship Id="rId24" Type="http://schemas.openxmlformats.org/officeDocument/2006/relationships/hyperlink" Target="https://reference.medscape.com/viewarticle/981716" TargetMode="External"/><Relationship Id="rId40" Type="http://schemas.openxmlformats.org/officeDocument/2006/relationships/hyperlink" Target="https://reference.medscape.com/viewarticle/977964" TargetMode="External"/><Relationship Id="rId45" Type="http://schemas.openxmlformats.org/officeDocument/2006/relationships/hyperlink" Target="https://reference.medscape.com/viewarticle/877044" TargetMode="External"/><Relationship Id="rId66" Type="http://schemas.openxmlformats.org/officeDocument/2006/relationships/hyperlink" Target="https://reference.medscape.com/viewarticle/865890" TargetMode="External"/><Relationship Id="rId87" Type="http://schemas.openxmlformats.org/officeDocument/2006/relationships/hyperlink" Target="https://reference.medscape.com/viewarticle/950574" TargetMode="External"/><Relationship Id="rId61" Type="http://schemas.openxmlformats.org/officeDocument/2006/relationships/hyperlink" Target="https://reference.medscape.com/viewarticle/962080" TargetMode="External"/><Relationship Id="rId82" Type="http://schemas.openxmlformats.org/officeDocument/2006/relationships/hyperlink" Target="https://reference.medscape.com/viewarticle/857130" TargetMode="External"/><Relationship Id="rId19" Type="http://schemas.openxmlformats.org/officeDocument/2006/relationships/hyperlink" Target="https://reference.medscape.com/viewarticle/982433" TargetMode="External"/><Relationship Id="rId14" Type="http://schemas.openxmlformats.org/officeDocument/2006/relationships/hyperlink" Target="https://reference.medscape.com/viewarticle/885566" TargetMode="External"/><Relationship Id="rId30" Type="http://schemas.openxmlformats.org/officeDocument/2006/relationships/hyperlink" Target="https://reference.medscape.com/viewarticle/926232" TargetMode="External"/><Relationship Id="rId35" Type="http://schemas.openxmlformats.org/officeDocument/2006/relationships/hyperlink" Target="https://reference.medscape.com/viewarticle/827431" TargetMode="External"/><Relationship Id="rId56" Type="http://schemas.openxmlformats.org/officeDocument/2006/relationships/hyperlink" Target="https://reference.medscape.com/viewarticle/877077" TargetMode="External"/><Relationship Id="rId77" Type="http://schemas.openxmlformats.org/officeDocument/2006/relationships/hyperlink" Target="https://reference.medscape.com/viewarticle/954850" TargetMode="External"/><Relationship Id="rId100" Type="http://schemas.openxmlformats.org/officeDocument/2006/relationships/hyperlink" Target="https://reference.medscape.com/viewarticle/847160" TargetMode="External"/><Relationship Id="rId8" Type="http://schemas.openxmlformats.org/officeDocument/2006/relationships/hyperlink" Target="https://reference.medscape.com/viewarticle/888178" TargetMode="External"/><Relationship Id="rId51" Type="http://schemas.openxmlformats.org/officeDocument/2006/relationships/hyperlink" Target="https://reference.medscape.com/viewarticle/736108" TargetMode="External"/><Relationship Id="rId72" Type="http://schemas.openxmlformats.org/officeDocument/2006/relationships/hyperlink" Target="https://reference.medscape.com/viewarticle/852434" TargetMode="External"/><Relationship Id="rId93" Type="http://schemas.openxmlformats.org/officeDocument/2006/relationships/hyperlink" Target="https://reference.medscape.com/viewarticle/948069" TargetMode="External"/><Relationship Id="rId98" Type="http://schemas.openxmlformats.org/officeDocument/2006/relationships/hyperlink" Target="https://reference.medscape.com/viewarticle/843821" TargetMode="External"/><Relationship Id="rId3" Type="http://schemas.openxmlformats.org/officeDocument/2006/relationships/hyperlink" Target="https://reference.medscape.com/viewarticle/724047"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reference.medscape.com/viewarticle/842254_3" TargetMode="External"/><Relationship Id="rId21" Type="http://schemas.openxmlformats.org/officeDocument/2006/relationships/hyperlink" Target="https://reference.medscape.com/viewarticle/973582_3" TargetMode="External"/><Relationship Id="rId42" Type="http://schemas.openxmlformats.org/officeDocument/2006/relationships/hyperlink" Target="https://reference.medscape.com/viewarticle/969260" TargetMode="External"/><Relationship Id="rId47" Type="http://schemas.openxmlformats.org/officeDocument/2006/relationships/hyperlink" Target="https://reference.medscape.com/viewarticle/968367" TargetMode="External"/><Relationship Id="rId63" Type="http://schemas.openxmlformats.org/officeDocument/2006/relationships/hyperlink" Target="https://reference.medscape.com/viewarticle/882078" TargetMode="External"/><Relationship Id="rId68" Type="http://schemas.openxmlformats.org/officeDocument/2006/relationships/hyperlink" Target="https://reference.medscape.com/viewarticle/961405" TargetMode="External"/><Relationship Id="rId84" Type="http://schemas.openxmlformats.org/officeDocument/2006/relationships/hyperlink" Target="https://reference.medscape.com/viewarticle/731206" TargetMode="External"/><Relationship Id="rId89" Type="http://schemas.openxmlformats.org/officeDocument/2006/relationships/hyperlink" Target="https://reference.medscape.com/viewarticle/861022" TargetMode="External"/><Relationship Id="rId16" Type="http://schemas.openxmlformats.org/officeDocument/2006/relationships/hyperlink" Target="https://reference.medscape.com/viewarticle/974770" TargetMode="External"/><Relationship Id="rId11" Type="http://schemas.openxmlformats.org/officeDocument/2006/relationships/hyperlink" Target="https://reference.medscape.com/viewarticle/975378" TargetMode="External"/><Relationship Id="rId32" Type="http://schemas.openxmlformats.org/officeDocument/2006/relationships/hyperlink" Target="https://reference.medscape.com/viewarticle/971546" TargetMode="External"/><Relationship Id="rId37" Type="http://schemas.openxmlformats.org/officeDocument/2006/relationships/hyperlink" Target="https://reference.medscape.com/viewarticle/753945_2" TargetMode="External"/><Relationship Id="rId53" Type="http://schemas.openxmlformats.org/officeDocument/2006/relationships/hyperlink" Target="https://reference.medscape.com/viewarticle/885135" TargetMode="External"/><Relationship Id="rId58" Type="http://schemas.openxmlformats.org/officeDocument/2006/relationships/hyperlink" Target="https://reference.medscape.com/viewarticle/966057_3" TargetMode="External"/><Relationship Id="rId74" Type="http://schemas.openxmlformats.org/officeDocument/2006/relationships/hyperlink" Target="https://reference.medscape.com/viewarticle/958256" TargetMode="External"/><Relationship Id="rId79" Type="http://schemas.openxmlformats.org/officeDocument/2006/relationships/hyperlink" Target="https://reference.medscape.com/viewarticle/846861" TargetMode="External"/><Relationship Id="rId102" Type="http://schemas.openxmlformats.org/officeDocument/2006/relationships/hyperlink" Target="https://reference.medscape.com/viewarticle/946426_2" TargetMode="External"/><Relationship Id="rId5" Type="http://schemas.openxmlformats.org/officeDocument/2006/relationships/hyperlink" Target="https://reference.medscape.com/viewarticle/984871" TargetMode="External"/><Relationship Id="rId90" Type="http://schemas.openxmlformats.org/officeDocument/2006/relationships/hyperlink" Target="https://reference.medscape.com/viewarticle/951403" TargetMode="External"/><Relationship Id="rId95" Type="http://schemas.openxmlformats.org/officeDocument/2006/relationships/hyperlink" Target="https://reference.medscape.com/viewarticle/850363" TargetMode="External"/><Relationship Id="rId22" Type="http://schemas.openxmlformats.org/officeDocument/2006/relationships/hyperlink" Target="https://reference.medscape.com/viewarticle/933451_2" TargetMode="External"/><Relationship Id="rId27" Type="http://schemas.openxmlformats.org/officeDocument/2006/relationships/hyperlink" Target="https://reference.medscape.com/viewarticle/847158" TargetMode="External"/><Relationship Id="rId43" Type="http://schemas.openxmlformats.org/officeDocument/2006/relationships/hyperlink" Target="https://reference.medscape.com/viewarticle/968988" TargetMode="External"/><Relationship Id="rId48" Type="http://schemas.openxmlformats.org/officeDocument/2006/relationships/hyperlink" Target="https://reference.medscape.com/viewarticle/849383" TargetMode="External"/><Relationship Id="rId64" Type="http://schemas.openxmlformats.org/officeDocument/2006/relationships/hyperlink" Target="https://reference.medscape.com/viewarticle/963312" TargetMode="External"/><Relationship Id="rId69" Type="http://schemas.openxmlformats.org/officeDocument/2006/relationships/hyperlink" Target="https://reference.medscape.com/viewarticle/878930" TargetMode="External"/><Relationship Id="rId80" Type="http://schemas.openxmlformats.org/officeDocument/2006/relationships/hyperlink" Target="https://reference.medscape.com/viewarticle/955518_2" TargetMode="External"/><Relationship Id="rId85" Type="http://schemas.openxmlformats.org/officeDocument/2006/relationships/hyperlink" Target="https://reference.medscape.com/viewarticle/855224" TargetMode="External"/><Relationship Id="rId12" Type="http://schemas.openxmlformats.org/officeDocument/2006/relationships/hyperlink" Target="https://reference.medscape.com/viewarticle/868041" TargetMode="External"/><Relationship Id="rId17" Type="http://schemas.openxmlformats.org/officeDocument/2006/relationships/hyperlink" Target="https://reference.medscape.com/viewarticle/885533" TargetMode="External"/><Relationship Id="rId33" Type="http://schemas.openxmlformats.org/officeDocument/2006/relationships/hyperlink" Target="https://reference.medscape.com/viewarticle/727941" TargetMode="External"/><Relationship Id="rId38" Type="http://schemas.openxmlformats.org/officeDocument/2006/relationships/hyperlink" Target="https://reference.medscape.com/viewarticle/885563" TargetMode="External"/><Relationship Id="rId59" Type="http://schemas.openxmlformats.org/officeDocument/2006/relationships/hyperlink" Target="https://reference.medscape.com/viewarticle/915146" TargetMode="External"/><Relationship Id="rId103" Type="http://schemas.openxmlformats.org/officeDocument/2006/relationships/hyperlink" Target="https://reference.medscape.com/viewarticle/843821_2" TargetMode="External"/><Relationship Id="rId20" Type="http://schemas.openxmlformats.org/officeDocument/2006/relationships/hyperlink" Target="https://reference.medscape.com/viewarticle/973953" TargetMode="External"/><Relationship Id="rId41" Type="http://schemas.openxmlformats.org/officeDocument/2006/relationships/hyperlink" Target="https://reference.medscape.com/viewarticle/746588" TargetMode="External"/><Relationship Id="rId54" Type="http://schemas.openxmlformats.org/officeDocument/2006/relationships/hyperlink" Target="https://reference.medscape.com/viewarticle/966775_3" TargetMode="External"/><Relationship Id="rId62" Type="http://schemas.openxmlformats.org/officeDocument/2006/relationships/hyperlink" Target="https://reference.medscape.com/viewarticle/963763" TargetMode="External"/><Relationship Id="rId70" Type="http://schemas.openxmlformats.org/officeDocument/2006/relationships/hyperlink" Target="https://reference.medscape.com/viewarticle/960397" TargetMode="External"/><Relationship Id="rId75" Type="http://schemas.openxmlformats.org/officeDocument/2006/relationships/hyperlink" Target="https://reference.medscape.com/viewarticle/855223" TargetMode="External"/><Relationship Id="rId83" Type="http://schemas.openxmlformats.org/officeDocument/2006/relationships/hyperlink" Target="https://reference.medscape.com/viewarticle/954084_2" TargetMode="External"/><Relationship Id="rId88" Type="http://schemas.openxmlformats.org/officeDocument/2006/relationships/hyperlink" Target="https://reference.medscape.com/viewarticle/952272" TargetMode="External"/><Relationship Id="rId91" Type="http://schemas.openxmlformats.org/officeDocument/2006/relationships/hyperlink" Target="https://reference.medscape.com/viewarticle/865888" TargetMode="External"/><Relationship Id="rId96" Type="http://schemas.openxmlformats.org/officeDocument/2006/relationships/hyperlink" Target="https://reference.medscape.com/viewarticle/948838_3" TargetMode="External"/><Relationship Id="rId1" Type="http://schemas.openxmlformats.org/officeDocument/2006/relationships/hyperlink" Target="https://reference.medscape.com/viewarticle/984951" TargetMode="External"/><Relationship Id="rId6" Type="http://schemas.openxmlformats.org/officeDocument/2006/relationships/hyperlink" Target="https://reference.medscape.com/viewarticle/885142" TargetMode="External"/><Relationship Id="rId15" Type="http://schemas.openxmlformats.org/officeDocument/2006/relationships/hyperlink" Target="https://reference.medscape.com/viewarticle/974769" TargetMode="External"/><Relationship Id="rId23" Type="http://schemas.openxmlformats.org/officeDocument/2006/relationships/hyperlink" Target="https://reference.medscape.com/viewarticle/973267_3" TargetMode="External"/><Relationship Id="rId28" Type="http://schemas.openxmlformats.org/officeDocument/2006/relationships/hyperlink" Target="https://reference.medscape.com/viewarticle/893850_3" TargetMode="External"/><Relationship Id="rId36" Type="http://schemas.openxmlformats.org/officeDocument/2006/relationships/hyperlink" Target="https://reference.medscape.com/viewarticle/833128" TargetMode="External"/><Relationship Id="rId49" Type="http://schemas.openxmlformats.org/officeDocument/2006/relationships/hyperlink" Target="https://reference.medscape.com/viewarticle/727294" TargetMode="External"/><Relationship Id="rId57" Type="http://schemas.openxmlformats.org/officeDocument/2006/relationships/hyperlink" Target="https://reference.medscape.com/viewarticle/881373_2" TargetMode="External"/><Relationship Id="rId106" Type="http://schemas.openxmlformats.org/officeDocument/2006/relationships/drawing" Target="../drawings/drawing4.xml"/><Relationship Id="rId10" Type="http://schemas.openxmlformats.org/officeDocument/2006/relationships/hyperlink" Target="https://reference.medscape.com/viewarticle/851819" TargetMode="External"/><Relationship Id="rId31" Type="http://schemas.openxmlformats.org/officeDocument/2006/relationships/hyperlink" Target="https://reference.medscape.com/viewarticle/971990_3" TargetMode="External"/><Relationship Id="rId44" Type="http://schemas.openxmlformats.org/officeDocument/2006/relationships/hyperlink" Target="https://reference.medscape.com/viewarticle/869215" TargetMode="External"/><Relationship Id="rId52" Type="http://schemas.openxmlformats.org/officeDocument/2006/relationships/hyperlink" Target="https://reference.medscape.com/viewarticle/898100" TargetMode="External"/><Relationship Id="rId60" Type="http://schemas.openxmlformats.org/officeDocument/2006/relationships/hyperlink" Target="https://reference.medscape.com/viewarticle/964990" TargetMode="External"/><Relationship Id="rId65" Type="http://schemas.openxmlformats.org/officeDocument/2006/relationships/hyperlink" Target="https://reference.medscape.com/viewarticle/832279_2" TargetMode="External"/><Relationship Id="rId73" Type="http://schemas.openxmlformats.org/officeDocument/2006/relationships/hyperlink" Target="https://reference.medscape.com/viewarticle/861792" TargetMode="External"/><Relationship Id="rId78" Type="http://schemas.openxmlformats.org/officeDocument/2006/relationships/hyperlink" Target="https://reference.medscape.com/viewarticle/955983_2" TargetMode="External"/><Relationship Id="rId81" Type="http://schemas.openxmlformats.org/officeDocument/2006/relationships/hyperlink" Target="https://reference.medscape.com/viewarticle/860310" TargetMode="External"/><Relationship Id="rId86" Type="http://schemas.openxmlformats.org/officeDocument/2006/relationships/hyperlink" Target="https://reference.medscape.com/viewarticle/953529_3" TargetMode="External"/><Relationship Id="rId94" Type="http://schemas.openxmlformats.org/officeDocument/2006/relationships/hyperlink" Target="https://reference.medscape.com/viewarticle/949659_3" TargetMode="External"/><Relationship Id="rId99" Type="http://schemas.openxmlformats.org/officeDocument/2006/relationships/hyperlink" Target="https://reference.medscape.com/viewarticle/850957" TargetMode="External"/><Relationship Id="rId101" Type="http://schemas.openxmlformats.org/officeDocument/2006/relationships/hyperlink" Target="https://reference.medscape.com/viewarticle/878375_2" TargetMode="External"/><Relationship Id="rId4" Type="http://schemas.openxmlformats.org/officeDocument/2006/relationships/hyperlink" Target="https://reference.medscape.com/viewarticle/729899" TargetMode="External"/><Relationship Id="rId9" Type="http://schemas.openxmlformats.org/officeDocument/2006/relationships/hyperlink" Target="https://reference.medscape.com/viewarticle/975750" TargetMode="External"/><Relationship Id="rId13" Type="http://schemas.openxmlformats.org/officeDocument/2006/relationships/hyperlink" Target="https://reference.medscape.com/viewarticle/975148_2" TargetMode="External"/><Relationship Id="rId18" Type="http://schemas.openxmlformats.org/officeDocument/2006/relationships/hyperlink" Target="https://reference.medscape.com/viewarticle/874063" TargetMode="External"/><Relationship Id="rId39" Type="http://schemas.openxmlformats.org/officeDocument/2006/relationships/hyperlink" Target="https://reference.medscape.com/viewarticle/970288" TargetMode="External"/><Relationship Id="rId34" Type="http://schemas.openxmlformats.org/officeDocument/2006/relationships/hyperlink" Target="https://reference.medscape.com/viewarticle/843818" TargetMode="External"/><Relationship Id="rId50" Type="http://schemas.openxmlformats.org/officeDocument/2006/relationships/hyperlink" Target="https://reference.medscape.com/viewarticle/855744" TargetMode="External"/><Relationship Id="rId55" Type="http://schemas.openxmlformats.org/officeDocument/2006/relationships/hyperlink" Target="https://reference.medscape.com/viewarticle/863846" TargetMode="External"/><Relationship Id="rId76" Type="http://schemas.openxmlformats.org/officeDocument/2006/relationships/hyperlink" Target="https://reference.medscape.com/viewarticle/957245" TargetMode="External"/><Relationship Id="rId97" Type="http://schemas.openxmlformats.org/officeDocument/2006/relationships/hyperlink" Target="https://reference.medscape.com/viewarticle/850362_3" TargetMode="External"/><Relationship Id="rId104" Type="http://schemas.openxmlformats.org/officeDocument/2006/relationships/hyperlink" Target="https://reference.medscape.com/viewarticle/945754_3" TargetMode="External"/><Relationship Id="rId7" Type="http://schemas.openxmlformats.org/officeDocument/2006/relationships/hyperlink" Target="https://reference.medscape.com/viewarticle/976273" TargetMode="External"/><Relationship Id="rId71" Type="http://schemas.openxmlformats.org/officeDocument/2006/relationships/hyperlink" Target="https://reference.medscape.com/viewarticle/865890" TargetMode="External"/><Relationship Id="rId92" Type="http://schemas.openxmlformats.org/officeDocument/2006/relationships/hyperlink" Target="https://reference.medscape.com/viewarticle/950574" TargetMode="External"/><Relationship Id="rId2" Type="http://schemas.openxmlformats.org/officeDocument/2006/relationships/hyperlink" Target="https://reference.medscape.com/viewarticle/984950" TargetMode="External"/><Relationship Id="rId29" Type="http://schemas.openxmlformats.org/officeDocument/2006/relationships/hyperlink" Target="https://reference.medscape.com/viewarticle/972301" TargetMode="External"/><Relationship Id="rId24" Type="http://schemas.openxmlformats.org/officeDocument/2006/relationships/hyperlink" Target="https://reference.medscape.com/viewarticle/720150_3" TargetMode="External"/><Relationship Id="rId40" Type="http://schemas.openxmlformats.org/officeDocument/2006/relationships/hyperlink" Target="https://reference.medscape.com/viewarticle/876163" TargetMode="External"/><Relationship Id="rId45" Type="http://schemas.openxmlformats.org/officeDocument/2006/relationships/hyperlink" Target="https://reference.medscape.com/viewarticle/889891" TargetMode="External"/><Relationship Id="rId66" Type="http://schemas.openxmlformats.org/officeDocument/2006/relationships/hyperlink" Target="https://reference.medscape.com/viewarticle/962080_3" TargetMode="External"/><Relationship Id="rId87" Type="http://schemas.openxmlformats.org/officeDocument/2006/relationships/hyperlink" Target="https://reference.medscape.com/viewarticle/857130" TargetMode="External"/><Relationship Id="rId61" Type="http://schemas.openxmlformats.org/officeDocument/2006/relationships/hyperlink" Target="https://reference.medscape.com/viewarticle/877077_2" TargetMode="External"/><Relationship Id="rId82" Type="http://schemas.openxmlformats.org/officeDocument/2006/relationships/hyperlink" Target="https://reference.medscape.com/viewarticle/954850" TargetMode="External"/><Relationship Id="rId19" Type="http://schemas.openxmlformats.org/officeDocument/2006/relationships/hyperlink" Target="https://reference.medscape.com/viewarticle/845962" TargetMode="External"/><Relationship Id="rId14" Type="http://schemas.openxmlformats.org/officeDocument/2006/relationships/hyperlink" Target="https://reference.medscape.com/viewarticle/849308" TargetMode="External"/><Relationship Id="rId30" Type="http://schemas.openxmlformats.org/officeDocument/2006/relationships/hyperlink" Target="https://reference.medscape.com/viewarticle/745798_3" TargetMode="External"/><Relationship Id="rId35" Type="http://schemas.openxmlformats.org/officeDocument/2006/relationships/hyperlink" Target="https://reference.medscape.com/viewarticle/971164" TargetMode="External"/><Relationship Id="rId56" Type="http://schemas.openxmlformats.org/officeDocument/2006/relationships/hyperlink" Target="https://reference.medscape.com/viewarticle/736108" TargetMode="External"/><Relationship Id="rId77" Type="http://schemas.openxmlformats.org/officeDocument/2006/relationships/hyperlink" Target="https://reference.medscape.com/viewarticle/852434" TargetMode="External"/><Relationship Id="rId100" Type="http://schemas.openxmlformats.org/officeDocument/2006/relationships/hyperlink" Target="https://reference.medscape.com/viewarticle/947225_3" TargetMode="External"/><Relationship Id="rId105" Type="http://schemas.openxmlformats.org/officeDocument/2006/relationships/hyperlink" Target="https://reference.medscape.com/viewarticle/847160" TargetMode="External"/><Relationship Id="rId8" Type="http://schemas.openxmlformats.org/officeDocument/2006/relationships/hyperlink" Target="https://reference.medscape.com/viewarticle/823046" TargetMode="External"/><Relationship Id="rId51" Type="http://schemas.openxmlformats.org/officeDocument/2006/relationships/hyperlink" Target="https://reference.medscape.com/viewarticle/729365_2" TargetMode="External"/><Relationship Id="rId72" Type="http://schemas.openxmlformats.org/officeDocument/2006/relationships/hyperlink" Target="https://reference.medscape.com/viewarticle/959268_2" TargetMode="External"/><Relationship Id="rId93" Type="http://schemas.openxmlformats.org/officeDocument/2006/relationships/hyperlink" Target="https://reference.medscape.com/viewarticle/840963" TargetMode="External"/><Relationship Id="rId98" Type="http://schemas.openxmlformats.org/officeDocument/2006/relationships/hyperlink" Target="https://reference.medscape.com/viewarticle/948069_2" TargetMode="External"/><Relationship Id="rId3" Type="http://schemas.openxmlformats.org/officeDocument/2006/relationships/hyperlink" Target="https://reference.medscape.com/viewarticle/724047" TargetMode="External"/><Relationship Id="rId25" Type="http://schemas.openxmlformats.org/officeDocument/2006/relationships/hyperlink" Target="https://reference.medscape.com/viewarticle/972696" TargetMode="External"/><Relationship Id="rId46" Type="http://schemas.openxmlformats.org/officeDocument/2006/relationships/hyperlink" Target="https://reference.medscape.com/viewarticle/968993" TargetMode="External"/><Relationship Id="rId67" Type="http://schemas.openxmlformats.org/officeDocument/2006/relationships/hyperlink" Target="https://reference.medscape.com/viewarticle/7171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6"/>
  <sheetViews>
    <sheetView workbookViewId="0">
      <selection activeCell="A2" sqref="A2"/>
    </sheetView>
  </sheetViews>
  <sheetFormatPr baseColWidth="10" defaultColWidth="11.1640625" defaultRowHeight="15" customHeight="1"/>
  <cols>
    <col min="1" max="1" width="74" customWidth="1"/>
    <col min="3" max="3" width="26" customWidth="1"/>
  </cols>
  <sheetData>
    <row r="1" spans="1:3">
      <c r="A1" s="1" t="s">
        <v>0</v>
      </c>
      <c r="B1" s="2" t="s">
        <v>1</v>
      </c>
      <c r="C1" s="2" t="s">
        <v>2</v>
      </c>
    </row>
    <row r="2" spans="1:3">
      <c r="A2" s="3" t="s">
        <v>3</v>
      </c>
      <c r="C2" s="2" t="s">
        <v>4</v>
      </c>
    </row>
    <row r="4" spans="1:3">
      <c r="A4" s="1" t="s">
        <v>5</v>
      </c>
    </row>
    <row r="5" spans="1:3">
      <c r="A5" s="4" t="s">
        <v>6</v>
      </c>
    </row>
    <row r="6" spans="1:3">
      <c r="A6" s="4" t="s">
        <v>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999"/>
  <sheetViews>
    <sheetView tabSelected="1" workbookViewId="0">
      <pane ySplit="1" topLeftCell="A2" activePane="bottomLeft" state="frozen"/>
      <selection pane="bottomLeft" activeCell="H77" sqref="H77"/>
    </sheetView>
  </sheetViews>
  <sheetFormatPr baseColWidth="10" defaultColWidth="11.1640625" defaultRowHeight="15" customHeight="1"/>
  <cols>
    <col min="1" max="1" width="34.1640625" customWidth="1"/>
    <col min="2" max="2" width="23.83203125" customWidth="1"/>
    <col min="3" max="4" width="17.83203125" hidden="1" customWidth="1"/>
    <col min="5" max="5" width="33.83203125" customWidth="1"/>
    <col min="6" max="6" width="22.5" customWidth="1"/>
    <col min="7" max="9" width="22.1640625" customWidth="1"/>
    <col min="10" max="10" width="121.5" customWidth="1"/>
    <col min="11" max="11" width="23.1640625" customWidth="1"/>
    <col min="12" max="12" width="17.33203125" customWidth="1"/>
    <col min="13" max="13" width="18.5" customWidth="1"/>
    <col min="14" max="32" width="10.5" customWidth="1"/>
  </cols>
  <sheetData>
    <row r="1" spans="1:13" ht="15.75" customHeight="1">
      <c r="A1" s="5" t="s">
        <v>8</v>
      </c>
      <c r="B1" s="5" t="s">
        <v>9</v>
      </c>
      <c r="C1" s="5" t="s">
        <v>10</v>
      </c>
      <c r="D1" s="5" t="s">
        <v>11</v>
      </c>
      <c r="E1" s="5" t="s">
        <v>12</v>
      </c>
      <c r="F1" s="6" t="s">
        <v>13</v>
      </c>
      <c r="G1" s="7" t="s">
        <v>14</v>
      </c>
      <c r="H1" s="7" t="s">
        <v>15</v>
      </c>
      <c r="I1" s="5" t="s">
        <v>16</v>
      </c>
      <c r="J1" s="5" t="s">
        <v>17</v>
      </c>
      <c r="K1" s="5" t="s">
        <v>18</v>
      </c>
      <c r="L1" s="5" t="s">
        <v>19</v>
      </c>
      <c r="M1" s="5" t="s">
        <v>20</v>
      </c>
    </row>
    <row r="2" spans="1:13" ht="15.75" customHeight="1">
      <c r="A2" s="4" t="s">
        <v>21</v>
      </c>
      <c r="B2" s="4"/>
      <c r="C2" s="4"/>
      <c r="D2" s="4"/>
      <c r="E2" s="4"/>
      <c r="F2" s="8"/>
      <c r="G2" s="4"/>
      <c r="H2" s="4"/>
      <c r="I2" s="4"/>
      <c r="J2" s="4"/>
      <c r="K2" s="4"/>
      <c r="L2" s="4"/>
      <c r="M2" s="4"/>
    </row>
    <row r="3" spans="1:13" ht="15.75" customHeight="1">
      <c r="A3" s="4" t="s">
        <v>22</v>
      </c>
      <c r="B3" s="9" t="s">
        <v>23</v>
      </c>
      <c r="C3" s="10"/>
      <c r="D3" s="10"/>
      <c r="E3" s="4" t="s">
        <v>24</v>
      </c>
      <c r="F3" s="8" t="s">
        <v>25</v>
      </c>
      <c r="G3" s="2" t="s">
        <v>26</v>
      </c>
      <c r="H3" s="2" t="s">
        <v>27</v>
      </c>
      <c r="I3" s="2" t="s">
        <v>26</v>
      </c>
      <c r="J3" s="8" t="s">
        <v>28</v>
      </c>
      <c r="K3" s="4" t="s">
        <v>29</v>
      </c>
      <c r="L3" s="2" t="s">
        <v>30</v>
      </c>
      <c r="M3" s="2" t="s">
        <v>31</v>
      </c>
    </row>
    <row r="4" spans="1:13" ht="15.75" customHeight="1">
      <c r="A4" s="4" t="s">
        <v>32</v>
      </c>
      <c r="B4" s="11" t="s">
        <v>33</v>
      </c>
      <c r="C4" s="10"/>
      <c r="D4" s="10"/>
      <c r="E4" s="4" t="s">
        <v>34</v>
      </c>
      <c r="F4" s="12" t="s">
        <v>35</v>
      </c>
      <c r="G4" s="2" t="s">
        <v>26</v>
      </c>
      <c r="H4" s="2" t="s">
        <v>26</v>
      </c>
      <c r="I4" s="2" t="s">
        <v>26</v>
      </c>
      <c r="J4" s="8" t="s">
        <v>36</v>
      </c>
      <c r="K4" s="4" t="s">
        <v>37</v>
      </c>
      <c r="L4" s="2" t="s">
        <v>30</v>
      </c>
      <c r="M4" s="2" t="s">
        <v>31</v>
      </c>
    </row>
    <row r="5" spans="1:13" ht="15.75" customHeight="1">
      <c r="A5" s="4" t="s">
        <v>38</v>
      </c>
      <c r="B5" s="9" t="s">
        <v>39</v>
      </c>
      <c r="C5" s="13" t="s">
        <v>26</v>
      </c>
      <c r="D5" s="13"/>
      <c r="E5" s="4" t="s">
        <v>40</v>
      </c>
      <c r="F5" s="8" t="s">
        <v>41</v>
      </c>
      <c r="G5" s="2" t="s">
        <v>26</v>
      </c>
      <c r="H5" s="2" t="s">
        <v>27</v>
      </c>
      <c r="I5" s="2" t="s">
        <v>26</v>
      </c>
      <c r="J5" s="8" t="s">
        <v>42</v>
      </c>
      <c r="K5" s="4" t="s">
        <v>29</v>
      </c>
      <c r="L5" s="2" t="s">
        <v>43</v>
      </c>
      <c r="M5" s="2" t="s">
        <v>44</v>
      </c>
    </row>
    <row r="6" spans="1:13" ht="15.75" customHeight="1">
      <c r="A6" s="4" t="s">
        <v>45</v>
      </c>
      <c r="B6" s="9" t="s">
        <v>46</v>
      </c>
      <c r="C6" s="13" t="s">
        <v>27</v>
      </c>
      <c r="D6" s="13"/>
      <c r="E6" s="4" t="s">
        <v>47</v>
      </c>
      <c r="F6" s="14" t="s">
        <v>48</v>
      </c>
      <c r="G6" s="4" t="s">
        <v>26</v>
      </c>
      <c r="H6" s="4" t="s">
        <v>26</v>
      </c>
      <c r="I6" s="2" t="s">
        <v>26</v>
      </c>
      <c r="J6" s="8" t="s">
        <v>49</v>
      </c>
      <c r="K6" s="4" t="s">
        <v>29</v>
      </c>
      <c r="L6" s="2" t="s">
        <v>50</v>
      </c>
      <c r="M6" s="2" t="s">
        <v>44</v>
      </c>
    </row>
    <row r="7" spans="1:13" ht="15.75" customHeight="1">
      <c r="A7" s="15" t="s">
        <v>51</v>
      </c>
      <c r="B7" s="9" t="s">
        <v>52</v>
      </c>
      <c r="C7" s="13"/>
      <c r="D7" s="13"/>
      <c r="E7" s="4" t="s">
        <v>53</v>
      </c>
      <c r="F7" s="8" t="s">
        <v>54</v>
      </c>
      <c r="G7" s="4" t="s">
        <v>26</v>
      </c>
      <c r="H7" s="4" t="s">
        <v>26</v>
      </c>
      <c r="I7" s="2" t="s">
        <v>26</v>
      </c>
      <c r="J7" s="8" t="s">
        <v>55</v>
      </c>
      <c r="K7" s="4" t="s">
        <v>56</v>
      </c>
      <c r="L7" s="2" t="s">
        <v>50</v>
      </c>
      <c r="M7" s="2" t="s">
        <v>31</v>
      </c>
    </row>
    <row r="8" spans="1:13" ht="15.75" customHeight="1">
      <c r="A8" s="4" t="s">
        <v>57</v>
      </c>
      <c r="B8" s="11" t="s">
        <v>58</v>
      </c>
      <c r="C8" s="4"/>
      <c r="D8" s="4"/>
      <c r="E8" s="4" t="s">
        <v>59</v>
      </c>
      <c r="F8" s="8" t="s">
        <v>60</v>
      </c>
      <c r="G8" s="4" t="s">
        <v>61</v>
      </c>
      <c r="H8" s="4" t="s">
        <v>27</v>
      </c>
      <c r="I8" s="4" t="s">
        <v>26</v>
      </c>
      <c r="J8" s="8" t="s">
        <v>62</v>
      </c>
      <c r="K8" s="4" t="s">
        <v>29</v>
      </c>
      <c r="L8" s="2" t="s">
        <v>63</v>
      </c>
      <c r="M8" s="2" t="s">
        <v>44</v>
      </c>
    </row>
    <row r="9" spans="1:13" ht="15.75" customHeight="1">
      <c r="A9" s="4" t="s">
        <v>64</v>
      </c>
      <c r="B9" s="9" t="s">
        <v>65</v>
      </c>
      <c r="C9" s="4"/>
      <c r="D9" s="4"/>
      <c r="E9" s="4" t="s">
        <v>66</v>
      </c>
      <c r="F9" s="8" t="s">
        <v>67</v>
      </c>
      <c r="G9" s="4" t="s">
        <v>61</v>
      </c>
      <c r="H9" s="4" t="s">
        <v>26</v>
      </c>
      <c r="I9" s="4" t="s">
        <v>27</v>
      </c>
      <c r="J9" s="8" t="s">
        <v>68</v>
      </c>
      <c r="K9" s="2" t="s">
        <v>56</v>
      </c>
      <c r="L9" s="2" t="s">
        <v>63</v>
      </c>
      <c r="M9" s="2" t="s">
        <v>44</v>
      </c>
    </row>
    <row r="10" spans="1:13" ht="15.75" customHeight="1">
      <c r="A10" s="16" t="s">
        <v>69</v>
      </c>
      <c r="B10" s="11" t="s">
        <v>70</v>
      </c>
      <c r="C10" s="4" t="s">
        <v>27</v>
      </c>
      <c r="D10" s="4"/>
      <c r="E10" s="4" t="s">
        <v>71</v>
      </c>
      <c r="F10" s="8" t="s">
        <v>72</v>
      </c>
      <c r="G10" s="4" t="s">
        <v>73</v>
      </c>
      <c r="H10" s="4" t="s">
        <v>26</v>
      </c>
      <c r="I10" s="4" t="s">
        <v>26</v>
      </c>
      <c r="J10" s="8" t="s">
        <v>74</v>
      </c>
      <c r="K10" s="2" t="s">
        <v>56</v>
      </c>
      <c r="L10" s="2" t="s">
        <v>75</v>
      </c>
      <c r="M10" s="2" t="s">
        <v>31</v>
      </c>
    </row>
    <row r="11" spans="1:13" ht="15.75" customHeight="1">
      <c r="A11" s="4" t="s">
        <v>76</v>
      </c>
      <c r="B11" s="11" t="s">
        <v>77</v>
      </c>
      <c r="C11" s="4"/>
      <c r="D11" s="4"/>
      <c r="E11" s="4" t="s">
        <v>78</v>
      </c>
      <c r="F11" s="12" t="s">
        <v>79</v>
      </c>
      <c r="G11" s="4" t="s">
        <v>73</v>
      </c>
      <c r="H11" s="4" t="s">
        <v>27</v>
      </c>
      <c r="I11" s="4" t="s">
        <v>26</v>
      </c>
      <c r="J11" s="8" t="s">
        <v>80</v>
      </c>
      <c r="K11" s="2" t="s">
        <v>81</v>
      </c>
      <c r="L11" s="2" t="s">
        <v>75</v>
      </c>
      <c r="M11" s="2" t="s">
        <v>31</v>
      </c>
    </row>
    <row r="12" spans="1:13" ht="15.75" customHeight="1">
      <c r="A12" s="4" t="s">
        <v>82</v>
      </c>
      <c r="B12" s="9" t="s">
        <v>83</v>
      </c>
      <c r="C12" s="4" t="s">
        <v>27</v>
      </c>
      <c r="D12" s="4"/>
      <c r="E12" s="4" t="s">
        <v>84</v>
      </c>
      <c r="F12" s="8" t="s">
        <v>85</v>
      </c>
      <c r="G12" s="4" t="s">
        <v>61</v>
      </c>
      <c r="H12" s="4" t="s">
        <v>27</v>
      </c>
      <c r="I12" s="4" t="s">
        <v>27</v>
      </c>
      <c r="J12" s="8" t="s">
        <v>86</v>
      </c>
      <c r="K12" s="2" t="s">
        <v>56</v>
      </c>
      <c r="L12" s="2" t="s">
        <v>63</v>
      </c>
      <c r="M12" s="2" t="s">
        <v>44</v>
      </c>
    </row>
    <row r="13" spans="1:13" ht="15.75" customHeight="1">
      <c r="A13" s="4" t="s">
        <v>87</v>
      </c>
      <c r="B13" s="9" t="s">
        <v>88</v>
      </c>
      <c r="C13" s="4"/>
      <c r="D13" s="4"/>
      <c r="E13" s="4" t="s">
        <v>89</v>
      </c>
      <c r="F13" s="8" t="s">
        <v>90</v>
      </c>
      <c r="G13" s="4" t="s">
        <v>61</v>
      </c>
      <c r="H13" s="4" t="s">
        <v>27</v>
      </c>
      <c r="I13" s="4" t="s">
        <v>27</v>
      </c>
      <c r="J13" s="8" t="s">
        <v>91</v>
      </c>
      <c r="K13" s="2" t="s">
        <v>56</v>
      </c>
      <c r="L13" s="2" t="s">
        <v>63</v>
      </c>
      <c r="M13" s="2" t="s">
        <v>44</v>
      </c>
    </row>
    <row r="14" spans="1:13" ht="15.75" customHeight="1">
      <c r="A14" s="4" t="s">
        <v>92</v>
      </c>
      <c r="B14" s="9" t="s">
        <v>93</v>
      </c>
      <c r="C14" s="4"/>
      <c r="D14" s="4"/>
      <c r="E14" s="4" t="s">
        <v>94</v>
      </c>
      <c r="F14" s="8" t="s">
        <v>95</v>
      </c>
      <c r="G14" s="4" t="s">
        <v>73</v>
      </c>
      <c r="H14" s="4" t="s">
        <v>26</v>
      </c>
      <c r="I14" s="4" t="s">
        <v>26</v>
      </c>
      <c r="J14" s="8" t="s">
        <v>96</v>
      </c>
      <c r="K14" s="2" t="s">
        <v>56</v>
      </c>
      <c r="L14" s="2" t="s">
        <v>97</v>
      </c>
      <c r="M14" s="2" t="s">
        <v>31</v>
      </c>
    </row>
    <row r="15" spans="1:13" ht="15.75" customHeight="1">
      <c r="A15" s="4" t="s">
        <v>98</v>
      </c>
      <c r="B15" s="11" t="s">
        <v>99</v>
      </c>
      <c r="C15" s="4"/>
      <c r="D15" s="4"/>
      <c r="E15" s="4" t="s">
        <v>100</v>
      </c>
      <c r="F15" s="8" t="s">
        <v>101</v>
      </c>
      <c r="G15" s="4" t="s">
        <v>61</v>
      </c>
      <c r="H15" s="4" t="s">
        <v>27</v>
      </c>
      <c r="I15" s="4" t="s">
        <v>26</v>
      </c>
      <c r="J15" s="8" t="s">
        <v>102</v>
      </c>
      <c r="K15" s="2" t="s">
        <v>29</v>
      </c>
      <c r="L15" s="2" t="s">
        <v>63</v>
      </c>
      <c r="M15" s="2" t="s">
        <v>44</v>
      </c>
    </row>
    <row r="16" spans="1:13" ht="15.75" customHeight="1">
      <c r="A16" s="4" t="s">
        <v>103</v>
      </c>
      <c r="B16" s="11" t="s">
        <v>104</v>
      </c>
      <c r="C16" s="4"/>
      <c r="D16" s="4"/>
      <c r="E16" s="4" t="s">
        <v>105</v>
      </c>
      <c r="F16" s="8" t="s">
        <v>106</v>
      </c>
      <c r="G16" s="4" t="s">
        <v>73</v>
      </c>
      <c r="H16" s="4" t="s">
        <v>26</v>
      </c>
      <c r="I16" s="4" t="s">
        <v>26</v>
      </c>
      <c r="J16" s="8" t="s">
        <v>107</v>
      </c>
      <c r="K16" s="2" t="s">
        <v>56</v>
      </c>
      <c r="L16" s="2" t="s">
        <v>75</v>
      </c>
      <c r="M16" s="2" t="s">
        <v>31</v>
      </c>
    </row>
    <row r="17" spans="1:15" ht="15.75" customHeight="1">
      <c r="A17" s="4" t="s">
        <v>108</v>
      </c>
      <c r="B17" s="9" t="s">
        <v>109</v>
      </c>
      <c r="C17" s="4"/>
      <c r="D17" s="4"/>
      <c r="E17" s="4" t="s">
        <v>110</v>
      </c>
      <c r="F17" s="8" t="s">
        <v>111</v>
      </c>
      <c r="G17" s="4" t="s">
        <v>61</v>
      </c>
      <c r="H17" s="4" t="s">
        <v>27</v>
      </c>
      <c r="I17" s="4" t="s">
        <v>27</v>
      </c>
      <c r="J17" s="8" t="s">
        <v>112</v>
      </c>
      <c r="K17" s="2" t="s">
        <v>56</v>
      </c>
      <c r="L17" s="2" t="s">
        <v>63</v>
      </c>
      <c r="M17" s="2" t="s">
        <v>44</v>
      </c>
    </row>
    <row r="18" spans="1:15" ht="15.75" customHeight="1">
      <c r="A18" s="4" t="s">
        <v>113</v>
      </c>
      <c r="B18" s="11" t="s">
        <v>114</v>
      </c>
      <c r="C18" s="4" t="s">
        <v>27</v>
      </c>
      <c r="D18" s="4"/>
      <c r="E18" s="4" t="s">
        <v>115</v>
      </c>
      <c r="F18" s="8" t="s">
        <v>116</v>
      </c>
      <c r="G18" s="4" t="s">
        <v>73</v>
      </c>
      <c r="H18" s="4" t="s">
        <v>26</v>
      </c>
      <c r="I18" s="4" t="s">
        <v>26</v>
      </c>
      <c r="J18" s="8" t="s">
        <v>117</v>
      </c>
      <c r="K18" s="2" t="s">
        <v>56</v>
      </c>
      <c r="L18" s="2" t="s">
        <v>50</v>
      </c>
      <c r="M18" s="2" t="s">
        <v>31</v>
      </c>
    </row>
    <row r="19" spans="1:15" ht="15.75" customHeight="1">
      <c r="A19" s="4" t="s">
        <v>118</v>
      </c>
      <c r="B19" s="11" t="s">
        <v>119</v>
      </c>
      <c r="C19" s="4"/>
      <c r="D19" s="4"/>
      <c r="E19" s="4" t="s">
        <v>120</v>
      </c>
      <c r="F19" s="8" t="s">
        <v>121</v>
      </c>
      <c r="G19" s="4" t="s">
        <v>73</v>
      </c>
      <c r="H19" s="4" t="s">
        <v>26</v>
      </c>
      <c r="I19" s="4" t="s">
        <v>26</v>
      </c>
      <c r="J19" s="8" t="s">
        <v>122</v>
      </c>
      <c r="K19" s="2" t="s">
        <v>81</v>
      </c>
      <c r="L19" s="2" t="s">
        <v>75</v>
      </c>
      <c r="M19" s="2" t="s">
        <v>123</v>
      </c>
    </row>
    <row r="20" spans="1:15" ht="15.75" customHeight="1">
      <c r="A20" s="4" t="s">
        <v>124</v>
      </c>
      <c r="B20" s="9" t="s">
        <v>125</v>
      </c>
      <c r="C20" s="4"/>
      <c r="D20" s="4"/>
      <c r="E20" s="4" t="s">
        <v>126</v>
      </c>
      <c r="F20" s="17" t="s">
        <v>127</v>
      </c>
      <c r="G20" s="4" t="s">
        <v>61</v>
      </c>
      <c r="H20" s="4" t="s">
        <v>27</v>
      </c>
      <c r="I20" s="4" t="s">
        <v>26</v>
      </c>
      <c r="J20" s="8" t="s">
        <v>128</v>
      </c>
      <c r="K20" s="2" t="s">
        <v>56</v>
      </c>
      <c r="L20" s="2" t="s">
        <v>43</v>
      </c>
      <c r="M20" s="2" t="s">
        <v>44</v>
      </c>
    </row>
    <row r="21" spans="1:15" ht="15.75" customHeight="1">
      <c r="A21" s="4" t="s">
        <v>129</v>
      </c>
      <c r="B21" s="9" t="s">
        <v>130</v>
      </c>
      <c r="C21" s="4"/>
      <c r="D21" s="4"/>
      <c r="E21" s="4" t="s">
        <v>131</v>
      </c>
      <c r="F21" s="8" t="s">
        <v>132</v>
      </c>
      <c r="G21" s="4" t="s">
        <v>73</v>
      </c>
      <c r="H21" s="4" t="s">
        <v>26</v>
      </c>
      <c r="I21" s="4" t="s">
        <v>26</v>
      </c>
      <c r="J21" s="8" t="s">
        <v>133</v>
      </c>
      <c r="K21" s="2" t="s">
        <v>56</v>
      </c>
      <c r="L21" s="2" t="s">
        <v>75</v>
      </c>
      <c r="M21" s="2" t="s">
        <v>31</v>
      </c>
    </row>
    <row r="22" spans="1:15" ht="15.75" customHeight="1">
      <c r="A22" s="4" t="s">
        <v>134</v>
      </c>
      <c r="B22" s="9" t="s">
        <v>135</v>
      </c>
      <c r="C22" s="4"/>
      <c r="D22" s="4"/>
      <c r="E22" s="4" t="s">
        <v>136</v>
      </c>
      <c r="F22" s="8" t="s">
        <v>137</v>
      </c>
      <c r="G22" s="4" t="s">
        <v>73</v>
      </c>
      <c r="H22" s="4" t="s">
        <v>26</v>
      </c>
      <c r="I22" s="4" t="s">
        <v>26</v>
      </c>
      <c r="J22" s="8" t="s">
        <v>138</v>
      </c>
      <c r="K22" s="2" t="s">
        <v>56</v>
      </c>
      <c r="L22" s="2" t="s">
        <v>139</v>
      </c>
      <c r="M22" s="2" t="s">
        <v>31</v>
      </c>
    </row>
    <row r="23" spans="1:15" ht="15.75" customHeight="1">
      <c r="A23" s="4" t="s">
        <v>140</v>
      </c>
      <c r="B23" s="11" t="s">
        <v>141</v>
      </c>
      <c r="C23" s="4"/>
      <c r="D23" s="4"/>
      <c r="E23" s="4" t="s">
        <v>142</v>
      </c>
      <c r="F23" s="12" t="s">
        <v>143</v>
      </c>
      <c r="G23" s="4" t="s">
        <v>73</v>
      </c>
      <c r="H23" s="4" t="s">
        <v>26</v>
      </c>
      <c r="I23" s="4" t="s">
        <v>26</v>
      </c>
      <c r="J23" s="8" t="s">
        <v>144</v>
      </c>
      <c r="K23" s="2" t="s">
        <v>56</v>
      </c>
      <c r="L23" s="2" t="s">
        <v>75</v>
      </c>
      <c r="M23" s="2" t="s">
        <v>31</v>
      </c>
    </row>
    <row r="24" spans="1:15" ht="15.75" customHeight="1">
      <c r="A24" s="4" t="s">
        <v>145</v>
      </c>
      <c r="B24" s="9" t="s">
        <v>146</v>
      </c>
      <c r="C24" s="4" t="s">
        <v>27</v>
      </c>
      <c r="D24" s="4"/>
      <c r="E24" s="4" t="s">
        <v>147</v>
      </c>
      <c r="F24" s="8" t="s">
        <v>148</v>
      </c>
      <c r="G24" s="4" t="s">
        <v>73</v>
      </c>
      <c r="H24" s="4" t="s">
        <v>27</v>
      </c>
      <c r="I24" s="4" t="s">
        <v>26</v>
      </c>
      <c r="J24" s="8" t="s">
        <v>149</v>
      </c>
      <c r="K24" s="4" t="s">
        <v>56</v>
      </c>
      <c r="L24" s="4" t="s">
        <v>75</v>
      </c>
      <c r="M24" s="4" t="s">
        <v>31</v>
      </c>
      <c r="N24" s="4"/>
      <c r="O24" s="4"/>
    </row>
    <row r="25" spans="1:15" ht="15.75" customHeight="1">
      <c r="A25" s="4" t="s">
        <v>150</v>
      </c>
      <c r="B25" s="9" t="s">
        <v>151</v>
      </c>
      <c r="C25" s="4"/>
      <c r="D25" s="4"/>
      <c r="E25" s="4" t="s">
        <v>152</v>
      </c>
      <c r="F25" s="12" t="s">
        <v>153</v>
      </c>
      <c r="G25" s="4" t="s">
        <v>73</v>
      </c>
      <c r="H25" s="4" t="s">
        <v>26</v>
      </c>
      <c r="I25" s="4" t="s">
        <v>26</v>
      </c>
      <c r="J25" s="8" t="s">
        <v>154</v>
      </c>
      <c r="K25" s="4" t="s">
        <v>56</v>
      </c>
      <c r="L25" s="4" t="s">
        <v>75</v>
      </c>
      <c r="M25" s="4" t="s">
        <v>31</v>
      </c>
      <c r="N25" s="4"/>
      <c r="O25" s="4"/>
    </row>
    <row r="26" spans="1:15" ht="15.75" customHeight="1">
      <c r="A26" s="4" t="s">
        <v>155</v>
      </c>
      <c r="B26" s="9" t="s">
        <v>156</v>
      </c>
      <c r="C26" s="4" t="s">
        <v>27</v>
      </c>
      <c r="D26" s="4"/>
      <c r="E26" s="4" t="s">
        <v>157</v>
      </c>
      <c r="F26" s="12" t="s">
        <v>158</v>
      </c>
      <c r="G26" s="4" t="s">
        <v>73</v>
      </c>
      <c r="H26" s="4" t="s">
        <v>26</v>
      </c>
      <c r="I26" s="4" t="s">
        <v>26</v>
      </c>
      <c r="J26" s="8" t="s">
        <v>159</v>
      </c>
      <c r="K26" s="4" t="s">
        <v>29</v>
      </c>
      <c r="L26" s="4" t="s">
        <v>75</v>
      </c>
      <c r="M26" s="4" t="s">
        <v>123</v>
      </c>
      <c r="N26" s="4"/>
      <c r="O26" s="4"/>
    </row>
    <row r="27" spans="1:15" ht="15.75" customHeight="1">
      <c r="A27" s="4" t="s">
        <v>160</v>
      </c>
      <c r="B27" s="9" t="s">
        <v>161</v>
      </c>
      <c r="C27" s="4"/>
      <c r="D27" s="4"/>
      <c r="E27" s="4" t="s">
        <v>162</v>
      </c>
      <c r="F27" s="8" t="s">
        <v>163</v>
      </c>
      <c r="G27" s="4" t="s">
        <v>73</v>
      </c>
      <c r="H27" s="4" t="s">
        <v>27</v>
      </c>
      <c r="I27" s="4" t="s">
        <v>26</v>
      </c>
      <c r="J27" s="8" t="s">
        <v>164</v>
      </c>
      <c r="K27" s="4" t="s">
        <v>56</v>
      </c>
      <c r="L27" s="4" t="s">
        <v>75</v>
      </c>
      <c r="M27" s="4" t="s">
        <v>31</v>
      </c>
      <c r="N27" s="4"/>
      <c r="O27" s="4"/>
    </row>
    <row r="28" spans="1:15" ht="15.75" customHeight="1">
      <c r="A28" s="4" t="s">
        <v>165</v>
      </c>
      <c r="B28" s="11" t="s">
        <v>166</v>
      </c>
      <c r="C28" s="4" t="s">
        <v>27</v>
      </c>
      <c r="D28" s="4"/>
      <c r="E28" s="4" t="s">
        <v>167</v>
      </c>
      <c r="F28" s="8" t="s">
        <v>168</v>
      </c>
      <c r="G28" s="4" t="s">
        <v>61</v>
      </c>
      <c r="H28" s="4" t="s">
        <v>27</v>
      </c>
      <c r="I28" s="4" t="s">
        <v>26</v>
      </c>
      <c r="J28" s="8" t="s">
        <v>169</v>
      </c>
      <c r="K28" s="4" t="s">
        <v>56</v>
      </c>
      <c r="L28" s="4" t="s">
        <v>43</v>
      </c>
      <c r="M28" s="4" t="s">
        <v>44</v>
      </c>
      <c r="N28" s="4"/>
      <c r="O28" s="4"/>
    </row>
    <row r="29" spans="1:15" ht="15.75" customHeight="1">
      <c r="A29" s="4" t="s">
        <v>170</v>
      </c>
      <c r="B29" s="9" t="s">
        <v>171</v>
      </c>
      <c r="C29" s="4" t="s">
        <v>27</v>
      </c>
      <c r="D29" s="4"/>
      <c r="E29" s="4" t="s">
        <v>172</v>
      </c>
      <c r="F29" s="8" t="s">
        <v>173</v>
      </c>
      <c r="G29" s="4" t="s">
        <v>73</v>
      </c>
      <c r="H29" s="4" t="s">
        <v>26</v>
      </c>
      <c r="I29" s="4" t="s">
        <v>26</v>
      </c>
      <c r="J29" s="8" t="s">
        <v>174</v>
      </c>
      <c r="K29" s="4" t="s">
        <v>56</v>
      </c>
      <c r="L29" s="4" t="s">
        <v>97</v>
      </c>
      <c r="M29" s="4" t="s">
        <v>31</v>
      </c>
      <c r="N29" s="4"/>
      <c r="O29" s="4"/>
    </row>
    <row r="30" spans="1:15" ht="15.75" customHeight="1">
      <c r="A30" s="4" t="s">
        <v>175</v>
      </c>
      <c r="B30" s="11" t="s">
        <v>176</v>
      </c>
      <c r="C30" s="4"/>
      <c r="D30" s="4"/>
      <c r="E30" s="4" t="s">
        <v>177</v>
      </c>
      <c r="F30" s="12" t="s">
        <v>178</v>
      </c>
      <c r="G30" s="4" t="s">
        <v>73</v>
      </c>
      <c r="H30" s="4" t="s">
        <v>26</v>
      </c>
      <c r="I30" s="4" t="s">
        <v>26</v>
      </c>
      <c r="J30" s="8" t="s">
        <v>179</v>
      </c>
      <c r="K30" s="4" t="s">
        <v>56</v>
      </c>
      <c r="L30" s="4" t="s">
        <v>97</v>
      </c>
      <c r="M30" s="4" t="s">
        <v>31</v>
      </c>
      <c r="N30" s="4"/>
      <c r="O30" s="4"/>
    </row>
    <row r="31" spans="1:15" ht="15.75" customHeight="1">
      <c r="A31" s="4" t="s">
        <v>180</v>
      </c>
      <c r="B31" s="9" t="s">
        <v>181</v>
      </c>
      <c r="C31" s="4"/>
      <c r="D31" s="4"/>
      <c r="E31" s="4" t="s">
        <v>182</v>
      </c>
      <c r="F31" s="8" t="s">
        <v>183</v>
      </c>
      <c r="G31" s="4" t="s">
        <v>73</v>
      </c>
      <c r="H31" s="4" t="s">
        <v>27</v>
      </c>
      <c r="I31" s="4" t="s">
        <v>26</v>
      </c>
      <c r="J31" s="8" t="s">
        <v>184</v>
      </c>
      <c r="K31" s="4" t="s">
        <v>56</v>
      </c>
      <c r="L31" s="4" t="s">
        <v>75</v>
      </c>
      <c r="M31" s="4" t="s">
        <v>31</v>
      </c>
      <c r="N31" s="4"/>
      <c r="O31" s="4"/>
    </row>
    <row r="32" spans="1:15" ht="15.75" customHeight="1">
      <c r="A32" s="4" t="s">
        <v>185</v>
      </c>
      <c r="B32" s="9" t="s">
        <v>186</v>
      </c>
      <c r="C32" s="4"/>
      <c r="D32" s="4"/>
      <c r="E32" s="4" t="s">
        <v>187</v>
      </c>
      <c r="F32" s="8" t="s">
        <v>188</v>
      </c>
      <c r="G32" s="4" t="s">
        <v>61</v>
      </c>
      <c r="H32" s="4" t="s">
        <v>27</v>
      </c>
      <c r="I32" s="3" t="s">
        <v>27</v>
      </c>
      <c r="J32" s="8" t="s">
        <v>189</v>
      </c>
      <c r="K32" s="4" t="s">
        <v>56</v>
      </c>
      <c r="L32" s="4" t="s">
        <v>63</v>
      </c>
      <c r="M32" s="4" t="s">
        <v>44</v>
      </c>
      <c r="N32" s="4"/>
      <c r="O32" s="4"/>
    </row>
    <row r="33" spans="1:15" ht="15.75" customHeight="1">
      <c r="A33" s="4" t="s">
        <v>190</v>
      </c>
      <c r="B33" s="9" t="s">
        <v>191</v>
      </c>
      <c r="C33" s="4"/>
      <c r="D33" s="4"/>
      <c r="E33" s="4" t="s">
        <v>192</v>
      </c>
      <c r="F33" s="8" t="s">
        <v>193</v>
      </c>
      <c r="G33" s="4" t="s">
        <v>73</v>
      </c>
      <c r="H33" s="4" t="s">
        <v>26</v>
      </c>
      <c r="I33" s="3" t="s">
        <v>26</v>
      </c>
      <c r="J33" s="8" t="s">
        <v>194</v>
      </c>
      <c r="K33" s="4" t="s">
        <v>56</v>
      </c>
      <c r="L33" s="4" t="s">
        <v>75</v>
      </c>
      <c r="M33" s="4" t="s">
        <v>31</v>
      </c>
      <c r="N33" s="4"/>
      <c r="O33" s="4"/>
    </row>
    <row r="34" spans="1:15" ht="15.75" customHeight="1">
      <c r="A34" s="4" t="s">
        <v>195</v>
      </c>
      <c r="B34" s="9" t="s">
        <v>196</v>
      </c>
      <c r="C34" s="4"/>
      <c r="D34" s="4"/>
      <c r="E34" s="4" t="s">
        <v>197</v>
      </c>
      <c r="F34" s="12" t="s">
        <v>198</v>
      </c>
      <c r="G34" s="4" t="s">
        <v>73</v>
      </c>
      <c r="H34" s="4" t="s">
        <v>26</v>
      </c>
      <c r="I34" s="3" t="s">
        <v>26</v>
      </c>
      <c r="J34" s="8" t="s">
        <v>199</v>
      </c>
      <c r="K34" s="4" t="s">
        <v>56</v>
      </c>
      <c r="L34" s="4" t="s">
        <v>75</v>
      </c>
      <c r="M34" s="4" t="s">
        <v>31</v>
      </c>
      <c r="N34" s="4"/>
      <c r="O34" s="4"/>
    </row>
    <row r="35" spans="1:15" ht="15.75" customHeight="1">
      <c r="A35" s="4" t="s">
        <v>200</v>
      </c>
      <c r="B35" s="9" t="s">
        <v>201</v>
      </c>
      <c r="C35" s="4"/>
      <c r="D35" s="4"/>
      <c r="E35" s="4" t="s">
        <v>202</v>
      </c>
      <c r="F35" s="8" t="s">
        <v>203</v>
      </c>
      <c r="G35" s="4" t="s">
        <v>73</v>
      </c>
      <c r="H35" s="4" t="s">
        <v>26</v>
      </c>
      <c r="I35" s="3" t="s">
        <v>26</v>
      </c>
      <c r="J35" s="8" t="s">
        <v>204</v>
      </c>
      <c r="K35" s="4" t="s">
        <v>56</v>
      </c>
      <c r="L35" s="4" t="s">
        <v>75</v>
      </c>
      <c r="M35" s="4" t="s">
        <v>44</v>
      </c>
      <c r="N35" s="4"/>
      <c r="O35" s="4"/>
    </row>
    <row r="36" spans="1:15" ht="15.75" customHeight="1">
      <c r="A36" s="4" t="s">
        <v>205</v>
      </c>
      <c r="B36" s="9" t="s">
        <v>206</v>
      </c>
      <c r="C36" s="4" t="s">
        <v>27</v>
      </c>
      <c r="D36" s="4"/>
      <c r="E36" s="4" t="s">
        <v>207</v>
      </c>
      <c r="F36" s="12" t="s">
        <v>208</v>
      </c>
      <c r="G36" s="4" t="s">
        <v>73</v>
      </c>
      <c r="H36" s="4" t="s">
        <v>26</v>
      </c>
      <c r="I36" s="3" t="s">
        <v>26</v>
      </c>
      <c r="J36" s="8" t="s">
        <v>209</v>
      </c>
      <c r="K36" s="4" t="s">
        <v>29</v>
      </c>
      <c r="L36" s="4" t="s">
        <v>139</v>
      </c>
      <c r="M36" s="4" t="s">
        <v>31</v>
      </c>
      <c r="N36" s="4"/>
      <c r="O36" s="4"/>
    </row>
    <row r="37" spans="1:15" ht="15.75" customHeight="1">
      <c r="A37" s="4" t="s">
        <v>210</v>
      </c>
      <c r="B37" s="9" t="s">
        <v>211</v>
      </c>
      <c r="C37" s="4"/>
      <c r="D37" s="4"/>
      <c r="E37" s="4" t="s">
        <v>212</v>
      </c>
      <c r="F37" s="8" t="s">
        <v>213</v>
      </c>
      <c r="G37" s="4" t="s">
        <v>61</v>
      </c>
      <c r="H37" s="4" t="s">
        <v>26</v>
      </c>
      <c r="I37" s="3" t="s">
        <v>27</v>
      </c>
      <c r="J37" s="8" t="s">
        <v>214</v>
      </c>
      <c r="K37" s="4" t="s">
        <v>56</v>
      </c>
      <c r="L37" s="4" t="s">
        <v>63</v>
      </c>
      <c r="M37" s="4" t="s">
        <v>44</v>
      </c>
      <c r="N37" s="4"/>
      <c r="O37" s="4"/>
    </row>
    <row r="38" spans="1:15" ht="15.75" customHeight="1">
      <c r="A38" s="4" t="s">
        <v>215</v>
      </c>
      <c r="B38" s="9" t="s">
        <v>216</v>
      </c>
      <c r="C38" s="4"/>
      <c r="D38" s="4"/>
      <c r="E38" s="4" t="s">
        <v>217</v>
      </c>
      <c r="F38" s="17" t="s">
        <v>218</v>
      </c>
      <c r="G38" s="4" t="s">
        <v>61</v>
      </c>
      <c r="H38" s="4" t="s">
        <v>27</v>
      </c>
      <c r="I38" s="3" t="s">
        <v>26</v>
      </c>
      <c r="J38" s="8" t="s">
        <v>219</v>
      </c>
      <c r="K38" s="4" t="s">
        <v>56</v>
      </c>
      <c r="L38" s="4" t="s">
        <v>220</v>
      </c>
      <c r="M38" s="4" t="s">
        <v>44</v>
      </c>
      <c r="N38" s="4"/>
      <c r="O38" s="4"/>
    </row>
    <row r="39" spans="1:15" ht="15.75" customHeight="1">
      <c r="A39" s="4" t="s">
        <v>221</v>
      </c>
      <c r="B39" s="9" t="s">
        <v>222</v>
      </c>
      <c r="C39" s="4"/>
      <c r="D39" s="4"/>
      <c r="E39" s="4" t="s">
        <v>223</v>
      </c>
      <c r="F39" s="12" t="s">
        <v>224</v>
      </c>
      <c r="G39" s="4" t="s">
        <v>73</v>
      </c>
      <c r="H39" s="4" t="s">
        <v>27</v>
      </c>
      <c r="I39" s="3" t="s">
        <v>26</v>
      </c>
      <c r="J39" s="8" t="s">
        <v>225</v>
      </c>
      <c r="K39" s="4" t="s">
        <v>56</v>
      </c>
      <c r="L39" s="4" t="s">
        <v>75</v>
      </c>
      <c r="M39" s="4" t="s">
        <v>44</v>
      </c>
      <c r="N39" s="4"/>
      <c r="O39" s="4"/>
    </row>
    <row r="40" spans="1:15" ht="15.75" customHeight="1">
      <c r="A40" s="4" t="s">
        <v>226</v>
      </c>
      <c r="B40" s="9" t="s">
        <v>227</v>
      </c>
      <c r="C40" s="4" t="s">
        <v>27</v>
      </c>
      <c r="D40" s="4"/>
      <c r="E40" s="4" t="s">
        <v>228</v>
      </c>
      <c r="F40" s="12" t="s">
        <v>229</v>
      </c>
      <c r="G40" s="4" t="s">
        <v>73</v>
      </c>
      <c r="H40" s="4" t="s">
        <v>26</v>
      </c>
      <c r="I40" s="3" t="s">
        <v>26</v>
      </c>
      <c r="J40" s="8" t="s">
        <v>230</v>
      </c>
      <c r="K40" s="4" t="s">
        <v>81</v>
      </c>
      <c r="L40" s="4" t="s">
        <v>75</v>
      </c>
      <c r="M40" s="4" t="s">
        <v>31</v>
      </c>
      <c r="N40" s="4"/>
      <c r="O40" s="4"/>
    </row>
    <row r="41" spans="1:15" ht="15.75" customHeight="1">
      <c r="A41" s="4" t="s">
        <v>231</v>
      </c>
      <c r="B41" s="9" t="s">
        <v>232</v>
      </c>
      <c r="C41" s="4"/>
      <c r="D41" s="4"/>
      <c r="E41" s="4" t="s">
        <v>233</v>
      </c>
      <c r="F41" s="17" t="s">
        <v>234</v>
      </c>
      <c r="G41" s="4" t="s">
        <v>61</v>
      </c>
      <c r="H41" s="4" t="s">
        <v>26</v>
      </c>
      <c r="I41" s="3" t="s">
        <v>27</v>
      </c>
      <c r="J41" s="8" t="s">
        <v>235</v>
      </c>
      <c r="K41" s="4" t="s">
        <v>56</v>
      </c>
      <c r="L41" s="4" t="s">
        <v>43</v>
      </c>
      <c r="M41" s="4" t="s">
        <v>44</v>
      </c>
      <c r="N41" s="4"/>
      <c r="O41" s="4"/>
    </row>
    <row r="42" spans="1:15" ht="15.75" customHeight="1">
      <c r="A42" s="4" t="s">
        <v>236</v>
      </c>
      <c r="B42" s="9" t="s">
        <v>237</v>
      </c>
      <c r="C42" s="4"/>
      <c r="D42" s="4"/>
      <c r="E42" s="4" t="s">
        <v>238</v>
      </c>
      <c r="F42" s="17" t="s">
        <v>239</v>
      </c>
      <c r="G42" s="4" t="s">
        <v>61</v>
      </c>
      <c r="H42" s="4" t="s">
        <v>27</v>
      </c>
      <c r="I42" s="3" t="s">
        <v>26</v>
      </c>
      <c r="J42" s="8" t="s">
        <v>240</v>
      </c>
      <c r="K42" s="4" t="s">
        <v>56</v>
      </c>
      <c r="L42" s="4" t="s">
        <v>43</v>
      </c>
      <c r="M42" s="4" t="s">
        <v>44</v>
      </c>
      <c r="N42" s="4"/>
      <c r="O42" s="4"/>
    </row>
    <row r="43" spans="1:15" ht="15.75" customHeight="1">
      <c r="A43" s="4" t="s">
        <v>241</v>
      </c>
      <c r="B43" s="9" t="s">
        <v>242</v>
      </c>
      <c r="C43" s="4"/>
      <c r="D43" s="4"/>
      <c r="E43" s="4" t="s">
        <v>243</v>
      </c>
      <c r="F43" s="12" t="s">
        <v>244</v>
      </c>
      <c r="G43" s="4" t="s">
        <v>73</v>
      </c>
      <c r="H43" s="4" t="s">
        <v>27</v>
      </c>
      <c r="I43" s="3" t="s">
        <v>26</v>
      </c>
      <c r="J43" s="8" t="s">
        <v>245</v>
      </c>
      <c r="K43" s="4" t="s">
        <v>29</v>
      </c>
      <c r="L43" s="4" t="s">
        <v>75</v>
      </c>
      <c r="M43" s="4" t="s">
        <v>31</v>
      </c>
      <c r="N43" s="4"/>
      <c r="O43" s="4"/>
    </row>
    <row r="44" spans="1:15" ht="15.75" customHeight="1">
      <c r="A44" s="4" t="s">
        <v>246</v>
      </c>
      <c r="B44" s="9" t="s">
        <v>247</v>
      </c>
      <c r="C44" s="4"/>
      <c r="D44" s="4"/>
      <c r="E44" s="4" t="s">
        <v>248</v>
      </c>
      <c r="F44" s="17" t="s">
        <v>249</v>
      </c>
      <c r="G44" s="4" t="s">
        <v>61</v>
      </c>
      <c r="H44" s="4" t="s">
        <v>27</v>
      </c>
      <c r="I44" s="3" t="s">
        <v>26</v>
      </c>
      <c r="J44" s="8" t="s">
        <v>250</v>
      </c>
      <c r="K44" s="4" t="s">
        <v>29</v>
      </c>
      <c r="L44" s="4" t="s">
        <v>63</v>
      </c>
      <c r="M44" s="4" t="s">
        <v>44</v>
      </c>
      <c r="N44" s="4"/>
      <c r="O44" s="4"/>
    </row>
    <row r="45" spans="1:15" ht="15.75" customHeight="1">
      <c r="A45" s="4" t="s">
        <v>251</v>
      </c>
      <c r="B45" s="11" t="s">
        <v>252</v>
      </c>
      <c r="C45" s="4"/>
      <c r="D45" s="4"/>
      <c r="E45" s="4" t="s">
        <v>253</v>
      </c>
      <c r="F45" s="17" t="s">
        <v>254</v>
      </c>
      <c r="G45" s="4" t="s">
        <v>61</v>
      </c>
      <c r="H45" s="4" t="s">
        <v>26</v>
      </c>
      <c r="I45" s="3" t="s">
        <v>27</v>
      </c>
      <c r="J45" s="8" t="s">
        <v>255</v>
      </c>
      <c r="K45" s="4" t="s">
        <v>56</v>
      </c>
      <c r="L45" s="4" t="s">
        <v>63</v>
      </c>
      <c r="M45" s="4" t="s">
        <v>44</v>
      </c>
      <c r="N45" s="4"/>
      <c r="O45" s="4"/>
    </row>
    <row r="46" spans="1:15" ht="15.75" customHeight="1">
      <c r="A46" s="4" t="s">
        <v>256</v>
      </c>
      <c r="B46" s="9" t="s">
        <v>257</v>
      </c>
      <c r="C46" s="4"/>
      <c r="D46" s="4"/>
      <c r="E46" s="4" t="s">
        <v>258</v>
      </c>
      <c r="F46" s="17" t="s">
        <v>259</v>
      </c>
      <c r="G46" s="4" t="s">
        <v>61</v>
      </c>
      <c r="H46" s="4" t="s">
        <v>27</v>
      </c>
      <c r="I46" s="3" t="s">
        <v>26</v>
      </c>
      <c r="J46" s="8" t="s">
        <v>260</v>
      </c>
      <c r="K46" s="4" t="s">
        <v>29</v>
      </c>
      <c r="L46" s="4" t="s">
        <v>220</v>
      </c>
      <c r="M46" s="4" t="s">
        <v>44</v>
      </c>
      <c r="N46" s="4"/>
      <c r="O46" s="4"/>
    </row>
    <row r="47" spans="1:15" ht="15.75" customHeight="1">
      <c r="A47" s="4" t="s">
        <v>261</v>
      </c>
      <c r="B47" s="9" t="s">
        <v>262</v>
      </c>
      <c r="C47" s="4"/>
      <c r="D47" s="4"/>
      <c r="E47" s="4" t="s">
        <v>263</v>
      </c>
      <c r="F47" s="12" t="s">
        <v>264</v>
      </c>
      <c r="G47" s="4" t="s">
        <v>73</v>
      </c>
      <c r="H47" s="4" t="s">
        <v>26</v>
      </c>
      <c r="I47" s="3" t="s">
        <v>26</v>
      </c>
      <c r="J47" s="8" t="s">
        <v>265</v>
      </c>
      <c r="K47" s="4" t="s">
        <v>56</v>
      </c>
      <c r="L47" s="4" t="s">
        <v>75</v>
      </c>
      <c r="M47" s="4" t="s">
        <v>31</v>
      </c>
      <c r="N47" s="4"/>
      <c r="O47" s="4"/>
    </row>
    <row r="48" spans="1:15" ht="15.75" customHeight="1">
      <c r="A48" s="4" t="s">
        <v>266</v>
      </c>
      <c r="B48" s="9" t="s">
        <v>267</v>
      </c>
      <c r="C48" s="4"/>
      <c r="D48" s="4"/>
      <c r="E48" s="4" t="s">
        <v>268</v>
      </c>
      <c r="F48" s="8" t="s">
        <v>269</v>
      </c>
      <c r="G48" s="4" t="s">
        <v>73</v>
      </c>
      <c r="H48" s="4" t="s">
        <v>27</v>
      </c>
      <c r="I48" s="3" t="s">
        <v>26</v>
      </c>
      <c r="J48" s="8" t="s">
        <v>270</v>
      </c>
      <c r="K48" s="4" t="s">
        <v>56</v>
      </c>
      <c r="L48" s="4" t="s">
        <v>75</v>
      </c>
      <c r="M48" s="4"/>
      <c r="N48" s="4"/>
      <c r="O48" s="4"/>
    </row>
    <row r="49" spans="1:22" ht="15.75" customHeight="1">
      <c r="A49" s="4" t="s">
        <v>271</v>
      </c>
      <c r="B49" s="9" t="s">
        <v>272</v>
      </c>
      <c r="C49" s="4"/>
      <c r="D49" s="4"/>
      <c r="E49" s="4" t="s">
        <v>273</v>
      </c>
      <c r="F49" s="12" t="s">
        <v>274</v>
      </c>
      <c r="G49" s="4" t="s">
        <v>73</v>
      </c>
      <c r="H49" s="4" t="s">
        <v>27</v>
      </c>
      <c r="I49" s="3" t="s">
        <v>26</v>
      </c>
      <c r="J49" s="8" t="s">
        <v>275</v>
      </c>
      <c r="K49" s="4" t="s">
        <v>56</v>
      </c>
      <c r="L49" s="4" t="s">
        <v>75</v>
      </c>
      <c r="M49" s="4" t="s">
        <v>31</v>
      </c>
      <c r="N49" s="4"/>
      <c r="O49" s="4"/>
    </row>
    <row r="50" spans="1:22" ht="15.75" customHeight="1">
      <c r="A50" s="4" t="s">
        <v>276</v>
      </c>
      <c r="B50" s="9" t="s">
        <v>277</v>
      </c>
      <c r="C50" s="4"/>
      <c r="D50" s="4"/>
      <c r="E50" s="4" t="s">
        <v>278</v>
      </c>
      <c r="F50" s="17" t="s">
        <v>279</v>
      </c>
      <c r="G50" s="4" t="s">
        <v>61</v>
      </c>
      <c r="H50" s="4" t="s">
        <v>27</v>
      </c>
      <c r="I50" s="3" t="s">
        <v>26</v>
      </c>
      <c r="J50" s="8" t="s">
        <v>280</v>
      </c>
      <c r="K50" s="4" t="s">
        <v>56</v>
      </c>
      <c r="L50" s="4" t="s">
        <v>63</v>
      </c>
      <c r="M50" s="4" t="s">
        <v>44</v>
      </c>
      <c r="N50" s="4"/>
      <c r="O50" s="4"/>
    </row>
    <row r="51" spans="1:22" ht="15.75" customHeight="1">
      <c r="A51" s="4" t="s">
        <v>281</v>
      </c>
      <c r="B51" s="9" t="s">
        <v>282</v>
      </c>
      <c r="C51" s="4"/>
      <c r="D51" s="4"/>
      <c r="E51" s="4" t="s">
        <v>283</v>
      </c>
      <c r="F51" s="8" t="s">
        <v>284</v>
      </c>
      <c r="G51" s="4" t="s">
        <v>61</v>
      </c>
      <c r="H51" s="4" t="s">
        <v>27</v>
      </c>
      <c r="I51" s="3" t="s">
        <v>26</v>
      </c>
      <c r="J51" s="8" t="s">
        <v>285</v>
      </c>
      <c r="K51" s="4" t="s">
        <v>56</v>
      </c>
      <c r="L51" s="4" t="s">
        <v>63</v>
      </c>
      <c r="M51" s="4" t="s">
        <v>44</v>
      </c>
      <c r="N51" s="4"/>
      <c r="O51" s="4"/>
    </row>
    <row r="52" spans="1:22" ht="15.75" customHeight="1">
      <c r="A52" s="4" t="s">
        <v>286</v>
      </c>
      <c r="B52" s="9" t="s">
        <v>287</v>
      </c>
      <c r="C52" s="4"/>
      <c r="D52" s="4"/>
      <c r="E52" s="4" t="s">
        <v>288</v>
      </c>
      <c r="F52" s="12" t="s">
        <v>289</v>
      </c>
      <c r="G52" s="4" t="s">
        <v>73</v>
      </c>
      <c r="H52" s="4" t="s">
        <v>26</v>
      </c>
      <c r="I52" s="3" t="s">
        <v>26</v>
      </c>
      <c r="J52" s="8" t="s">
        <v>290</v>
      </c>
      <c r="K52" s="4" t="s">
        <v>56</v>
      </c>
      <c r="L52" s="4" t="s">
        <v>291</v>
      </c>
      <c r="M52" s="4" t="s">
        <v>44</v>
      </c>
      <c r="N52" s="4"/>
      <c r="O52" s="4"/>
    </row>
    <row r="53" spans="1:22" ht="15.75" customHeight="1">
      <c r="A53" s="4" t="s">
        <v>292</v>
      </c>
      <c r="B53" s="11" t="s">
        <v>293</v>
      </c>
      <c r="C53" s="4"/>
      <c r="D53" s="4"/>
      <c r="E53" s="4" t="s">
        <v>294</v>
      </c>
      <c r="F53" s="17" t="s">
        <v>295</v>
      </c>
      <c r="G53" s="4" t="s">
        <v>61</v>
      </c>
      <c r="H53" s="4" t="s">
        <v>26</v>
      </c>
      <c r="I53" s="3" t="s">
        <v>27</v>
      </c>
      <c r="J53" s="8" t="s">
        <v>296</v>
      </c>
      <c r="K53" s="4" t="s">
        <v>56</v>
      </c>
      <c r="L53" s="4" t="s">
        <v>63</v>
      </c>
      <c r="M53" s="4" t="s">
        <v>44</v>
      </c>
      <c r="N53" s="4"/>
      <c r="O53" s="4"/>
    </row>
    <row r="54" spans="1:22" ht="15.75" customHeight="1">
      <c r="A54" s="4" t="s">
        <v>297</v>
      </c>
      <c r="B54" s="11" t="s">
        <v>298</v>
      </c>
      <c r="C54" s="4"/>
      <c r="D54" s="4"/>
      <c r="E54" s="4" t="s">
        <v>299</v>
      </c>
      <c r="F54" s="17" t="s">
        <v>300</v>
      </c>
      <c r="G54" s="4" t="s">
        <v>61</v>
      </c>
      <c r="H54" s="4" t="s">
        <v>26</v>
      </c>
      <c r="I54" s="3" t="s">
        <v>27</v>
      </c>
      <c r="J54" s="8" t="s">
        <v>301</v>
      </c>
      <c r="K54" s="4" t="s">
        <v>56</v>
      </c>
      <c r="L54" s="4" t="s">
        <v>43</v>
      </c>
      <c r="M54" s="4" t="s">
        <v>44</v>
      </c>
      <c r="N54" s="4"/>
      <c r="O54" s="4"/>
      <c r="P54" s="4"/>
      <c r="Q54" s="4"/>
      <c r="R54" s="4"/>
      <c r="S54" s="4"/>
      <c r="T54" s="4"/>
      <c r="U54" s="4"/>
      <c r="V54" s="4"/>
    </row>
    <row r="55" spans="1:22" ht="15.75" customHeight="1">
      <c r="A55" s="4" t="s">
        <v>302</v>
      </c>
      <c r="B55" s="9" t="s">
        <v>303</v>
      </c>
      <c r="C55" s="4"/>
      <c r="D55" s="4"/>
      <c r="E55" s="4" t="s">
        <v>304</v>
      </c>
      <c r="F55" s="17" t="s">
        <v>305</v>
      </c>
      <c r="G55" s="4" t="s">
        <v>61</v>
      </c>
      <c r="H55" s="4" t="s">
        <v>27</v>
      </c>
      <c r="I55" s="3" t="s">
        <v>26</v>
      </c>
      <c r="J55" s="8" t="s">
        <v>306</v>
      </c>
      <c r="K55" s="4" t="s">
        <v>56</v>
      </c>
      <c r="L55" s="4" t="s">
        <v>63</v>
      </c>
      <c r="M55" s="4" t="s">
        <v>44</v>
      </c>
      <c r="N55" s="4"/>
      <c r="O55" s="4"/>
      <c r="P55" s="4"/>
      <c r="Q55" s="4"/>
      <c r="R55" s="4"/>
      <c r="S55" s="4"/>
      <c r="T55" s="4"/>
      <c r="U55" s="4"/>
      <c r="V55" s="4"/>
    </row>
    <row r="56" spans="1:22" ht="15.75" customHeight="1">
      <c r="A56" s="4" t="s">
        <v>307</v>
      </c>
      <c r="B56" s="9" t="s">
        <v>308</v>
      </c>
      <c r="C56" s="4"/>
      <c r="D56" s="4"/>
      <c r="E56" s="4" t="s">
        <v>309</v>
      </c>
      <c r="F56" s="8" t="s">
        <v>310</v>
      </c>
      <c r="G56" s="4" t="s">
        <v>61</v>
      </c>
      <c r="H56" s="4" t="s">
        <v>27</v>
      </c>
      <c r="I56" s="3" t="s">
        <v>26</v>
      </c>
      <c r="J56" s="8" t="s">
        <v>311</v>
      </c>
      <c r="K56" s="4" t="s">
        <v>56</v>
      </c>
      <c r="L56" s="4" t="s">
        <v>63</v>
      </c>
      <c r="M56" s="4" t="s">
        <v>44</v>
      </c>
      <c r="N56" s="4"/>
      <c r="O56" s="4"/>
      <c r="P56" s="4"/>
      <c r="Q56" s="4"/>
      <c r="R56" s="4"/>
      <c r="S56" s="4"/>
      <c r="T56" s="4"/>
      <c r="U56" s="4"/>
      <c r="V56" s="4"/>
    </row>
    <row r="57" spans="1:22" ht="15.75" customHeight="1">
      <c r="A57" s="4" t="s">
        <v>312</v>
      </c>
      <c r="B57" s="9" t="s">
        <v>313</v>
      </c>
      <c r="C57" s="4"/>
      <c r="D57" s="4"/>
      <c r="E57" s="4" t="s">
        <v>314</v>
      </c>
      <c r="F57" s="12" t="s">
        <v>315</v>
      </c>
      <c r="G57" s="4" t="s">
        <v>73</v>
      </c>
      <c r="H57" s="4" t="s">
        <v>27</v>
      </c>
      <c r="I57" s="3" t="s">
        <v>26</v>
      </c>
      <c r="J57" s="8" t="s">
        <v>316</v>
      </c>
      <c r="K57" s="4" t="s">
        <v>56</v>
      </c>
      <c r="L57" s="4" t="s">
        <v>75</v>
      </c>
      <c r="M57" s="4" t="s">
        <v>31</v>
      </c>
      <c r="N57" s="4"/>
      <c r="O57" s="4"/>
      <c r="P57" s="4"/>
      <c r="Q57" s="4"/>
      <c r="R57" s="4"/>
      <c r="S57" s="4"/>
      <c r="T57" s="4"/>
      <c r="U57" s="4"/>
      <c r="V57" s="4"/>
    </row>
    <row r="58" spans="1:22" ht="15.75" customHeight="1">
      <c r="A58" s="4" t="s">
        <v>317</v>
      </c>
      <c r="B58" s="9" t="s">
        <v>318</v>
      </c>
      <c r="C58" s="4" t="s">
        <v>27</v>
      </c>
      <c r="D58" s="4"/>
      <c r="E58" s="4" t="s">
        <v>319</v>
      </c>
      <c r="F58" s="8" t="s">
        <v>320</v>
      </c>
      <c r="G58" s="4" t="s">
        <v>73</v>
      </c>
      <c r="H58" s="4" t="s">
        <v>27</v>
      </c>
      <c r="I58" s="3" t="s">
        <v>26</v>
      </c>
      <c r="J58" s="8" t="s">
        <v>321</v>
      </c>
      <c r="K58" s="4" t="s">
        <v>29</v>
      </c>
      <c r="L58" s="4" t="s">
        <v>50</v>
      </c>
      <c r="M58" s="4" t="s">
        <v>31</v>
      </c>
      <c r="N58" s="4"/>
      <c r="O58" s="4"/>
      <c r="P58" s="4"/>
      <c r="Q58" s="4"/>
      <c r="R58" s="4"/>
      <c r="S58" s="4"/>
      <c r="T58" s="4"/>
      <c r="U58" s="4"/>
      <c r="V58" s="4"/>
    </row>
    <row r="59" spans="1:22" ht="15.75" customHeight="1">
      <c r="A59" s="4" t="s">
        <v>322</v>
      </c>
      <c r="B59" s="9" t="s">
        <v>323</v>
      </c>
      <c r="C59" s="4"/>
      <c r="D59" s="4"/>
      <c r="E59" s="4" t="s">
        <v>324</v>
      </c>
      <c r="F59" s="17" t="s">
        <v>325</v>
      </c>
      <c r="G59" s="4" t="s">
        <v>61</v>
      </c>
      <c r="H59" s="4" t="s">
        <v>26</v>
      </c>
      <c r="I59" s="3" t="s">
        <v>27</v>
      </c>
      <c r="J59" s="8" t="s">
        <v>326</v>
      </c>
      <c r="K59" s="4" t="s">
        <v>81</v>
      </c>
      <c r="L59" s="4" t="s">
        <v>63</v>
      </c>
      <c r="M59" s="4" t="s">
        <v>44</v>
      </c>
      <c r="N59" s="4"/>
      <c r="O59" s="4"/>
      <c r="P59" s="4"/>
      <c r="Q59" s="4"/>
      <c r="R59" s="4"/>
      <c r="S59" s="4"/>
      <c r="T59" s="4"/>
      <c r="U59" s="4"/>
      <c r="V59" s="4"/>
    </row>
    <row r="60" spans="1:22" ht="15.75" customHeight="1">
      <c r="A60" s="4" t="s">
        <v>327</v>
      </c>
      <c r="B60" s="11" t="s">
        <v>328</v>
      </c>
      <c r="C60" s="4" t="s">
        <v>27</v>
      </c>
      <c r="D60" s="4"/>
      <c r="E60" s="4" t="s">
        <v>329</v>
      </c>
      <c r="F60" s="8" t="s">
        <v>330</v>
      </c>
      <c r="G60" s="4" t="s">
        <v>73</v>
      </c>
      <c r="H60" s="4" t="s">
        <v>26</v>
      </c>
      <c r="I60" s="3" t="s">
        <v>26</v>
      </c>
      <c r="J60" s="8" t="s">
        <v>331</v>
      </c>
      <c r="K60" s="4" t="s">
        <v>56</v>
      </c>
      <c r="L60" s="4" t="s">
        <v>75</v>
      </c>
      <c r="M60" s="4" t="s">
        <v>31</v>
      </c>
      <c r="N60" s="4"/>
      <c r="O60" s="4"/>
      <c r="P60" s="4"/>
      <c r="Q60" s="4"/>
      <c r="R60" s="4"/>
      <c r="S60" s="4"/>
      <c r="T60" s="4"/>
      <c r="U60" s="4"/>
      <c r="V60" s="4"/>
    </row>
    <row r="61" spans="1:22" ht="15.75" customHeight="1">
      <c r="A61" s="4" t="s">
        <v>332</v>
      </c>
      <c r="B61" s="9" t="s">
        <v>333</v>
      </c>
      <c r="C61" s="4"/>
      <c r="D61" s="4"/>
      <c r="E61" s="4" t="s">
        <v>334</v>
      </c>
      <c r="F61" s="8" t="s">
        <v>289</v>
      </c>
      <c r="G61" s="4" t="s">
        <v>73</v>
      </c>
      <c r="H61" s="4" t="s">
        <v>27</v>
      </c>
      <c r="I61" s="3" t="s">
        <v>26</v>
      </c>
      <c r="J61" s="8" t="s">
        <v>335</v>
      </c>
      <c r="K61" s="4" t="s">
        <v>56</v>
      </c>
      <c r="L61" s="4" t="s">
        <v>75</v>
      </c>
      <c r="M61" s="4" t="s">
        <v>31</v>
      </c>
      <c r="N61" s="4"/>
      <c r="O61" s="4"/>
      <c r="P61" s="4"/>
      <c r="Q61" s="4"/>
      <c r="R61" s="4"/>
      <c r="S61" s="4"/>
      <c r="T61" s="4"/>
      <c r="U61" s="4"/>
      <c r="V61" s="4"/>
    </row>
    <row r="62" spans="1:22" ht="15.75" customHeight="1">
      <c r="A62" s="4" t="s">
        <v>336</v>
      </c>
      <c r="B62" s="11" t="s">
        <v>337</v>
      </c>
      <c r="C62" s="4"/>
      <c r="D62" s="4"/>
      <c r="E62" s="4" t="s">
        <v>338</v>
      </c>
      <c r="F62" s="8" t="s">
        <v>339</v>
      </c>
      <c r="G62" s="4" t="s">
        <v>61</v>
      </c>
      <c r="H62" s="4" t="s">
        <v>27</v>
      </c>
      <c r="I62" s="3" t="s">
        <v>26</v>
      </c>
      <c r="J62" s="8" t="s">
        <v>340</v>
      </c>
      <c r="K62" s="4" t="s">
        <v>56</v>
      </c>
      <c r="L62" s="4" t="s">
        <v>43</v>
      </c>
      <c r="M62" s="4" t="s">
        <v>44</v>
      </c>
      <c r="N62" s="4"/>
      <c r="O62" s="4"/>
      <c r="P62" s="4"/>
      <c r="Q62" s="4"/>
      <c r="R62" s="4"/>
      <c r="S62" s="4"/>
      <c r="T62" s="4"/>
      <c r="U62" s="4"/>
      <c r="V62" s="4"/>
    </row>
    <row r="63" spans="1:22" ht="15.75" customHeight="1">
      <c r="A63" s="4" t="s">
        <v>341</v>
      </c>
      <c r="B63" s="9" t="s">
        <v>342</v>
      </c>
      <c r="C63" s="4"/>
      <c r="D63" s="4"/>
      <c r="E63" s="4" t="s">
        <v>343</v>
      </c>
      <c r="F63" s="12" t="s">
        <v>344</v>
      </c>
      <c r="G63" s="3" t="s">
        <v>61</v>
      </c>
      <c r="H63" s="4" t="s">
        <v>26</v>
      </c>
      <c r="I63" s="3" t="s">
        <v>26</v>
      </c>
      <c r="J63" s="8" t="s">
        <v>345</v>
      </c>
      <c r="K63" s="4" t="s">
        <v>56</v>
      </c>
      <c r="L63" s="4" t="s">
        <v>75</v>
      </c>
      <c r="M63" s="4" t="s">
        <v>31</v>
      </c>
      <c r="N63" s="4"/>
      <c r="O63" s="4"/>
      <c r="P63" s="4"/>
      <c r="Q63" s="4"/>
      <c r="R63" s="4"/>
      <c r="S63" s="4"/>
      <c r="T63" s="4"/>
      <c r="U63" s="4"/>
      <c r="V63" s="4"/>
    </row>
    <row r="64" spans="1:22" ht="15.75" customHeight="1">
      <c r="A64" s="4" t="s">
        <v>346</v>
      </c>
      <c r="B64" s="9" t="s">
        <v>347</v>
      </c>
      <c r="C64" s="4"/>
      <c r="D64" s="4"/>
      <c r="E64" s="4" t="s">
        <v>348</v>
      </c>
      <c r="F64" s="17" t="s">
        <v>349</v>
      </c>
      <c r="G64" s="4" t="s">
        <v>61</v>
      </c>
      <c r="H64" s="4" t="s">
        <v>27</v>
      </c>
      <c r="I64" s="3" t="s">
        <v>26</v>
      </c>
      <c r="J64" s="8" t="s">
        <v>350</v>
      </c>
      <c r="K64" s="4" t="s">
        <v>56</v>
      </c>
      <c r="L64" s="4" t="s">
        <v>43</v>
      </c>
      <c r="M64" s="4" t="s">
        <v>44</v>
      </c>
      <c r="N64" s="4"/>
      <c r="O64" s="4"/>
      <c r="P64" s="4"/>
      <c r="Q64" s="4"/>
      <c r="R64" s="4"/>
      <c r="S64" s="4"/>
      <c r="T64" s="4"/>
      <c r="U64" s="4"/>
      <c r="V64" s="4"/>
    </row>
    <row r="65" spans="1:22" ht="15.75" customHeight="1">
      <c r="A65" s="4" t="s">
        <v>351</v>
      </c>
      <c r="B65" s="9" t="s">
        <v>352</v>
      </c>
      <c r="C65" s="4"/>
      <c r="D65" s="4"/>
      <c r="E65" s="4" t="s">
        <v>353</v>
      </c>
      <c r="F65" s="8" t="s">
        <v>354</v>
      </c>
      <c r="G65" s="4" t="s">
        <v>73</v>
      </c>
      <c r="H65" s="4" t="s">
        <v>26</v>
      </c>
      <c r="I65" s="3" t="s">
        <v>26</v>
      </c>
      <c r="J65" s="8" t="s">
        <v>355</v>
      </c>
      <c r="K65" s="4" t="s">
        <v>56</v>
      </c>
      <c r="L65" s="4" t="s">
        <v>75</v>
      </c>
      <c r="M65" s="4" t="s">
        <v>31</v>
      </c>
      <c r="N65" s="4"/>
      <c r="O65" s="4"/>
      <c r="P65" s="4"/>
      <c r="Q65" s="4"/>
      <c r="R65" s="4"/>
      <c r="S65" s="4"/>
      <c r="T65" s="4"/>
      <c r="U65" s="4"/>
      <c r="V65" s="4"/>
    </row>
    <row r="66" spans="1:22" ht="15.75" customHeight="1">
      <c r="A66" s="4" t="s">
        <v>356</v>
      </c>
      <c r="B66" s="9" t="s">
        <v>357</v>
      </c>
      <c r="C66" s="4"/>
      <c r="D66" s="4"/>
      <c r="E66" s="4" t="s">
        <v>358</v>
      </c>
      <c r="F66" s="12" t="s">
        <v>359</v>
      </c>
      <c r="G66" s="4" t="s">
        <v>73</v>
      </c>
      <c r="H66" s="4" t="s">
        <v>26</v>
      </c>
      <c r="I66" s="3" t="s">
        <v>26</v>
      </c>
      <c r="J66" s="8" t="s">
        <v>360</v>
      </c>
      <c r="K66" s="4" t="s">
        <v>56</v>
      </c>
      <c r="L66" s="4" t="s">
        <v>75</v>
      </c>
      <c r="M66" s="4" t="s">
        <v>123</v>
      </c>
      <c r="N66" s="4"/>
      <c r="O66" s="4"/>
      <c r="P66" s="4"/>
      <c r="Q66" s="4"/>
      <c r="R66" s="4"/>
      <c r="S66" s="4"/>
      <c r="T66" s="4"/>
      <c r="U66" s="4"/>
      <c r="V66" s="4"/>
    </row>
    <row r="67" spans="1:22" ht="15.75" customHeight="1">
      <c r="A67" s="4" t="s">
        <v>361</v>
      </c>
      <c r="B67" s="9" t="s">
        <v>362</v>
      </c>
      <c r="C67" s="4"/>
      <c r="D67" s="4"/>
      <c r="E67" s="4" t="s">
        <v>363</v>
      </c>
      <c r="F67" s="17" t="s">
        <v>364</v>
      </c>
      <c r="G67" s="4" t="s">
        <v>61</v>
      </c>
      <c r="H67" s="4" t="s">
        <v>27</v>
      </c>
      <c r="I67" s="3" t="s">
        <v>26</v>
      </c>
      <c r="J67" s="8" t="s">
        <v>365</v>
      </c>
      <c r="K67" s="4" t="s">
        <v>56</v>
      </c>
      <c r="L67" s="4" t="s">
        <v>63</v>
      </c>
      <c r="M67" s="4" t="s">
        <v>44</v>
      </c>
      <c r="N67" s="4"/>
      <c r="O67" s="4"/>
      <c r="P67" s="4"/>
      <c r="Q67" s="4"/>
      <c r="R67" s="4"/>
      <c r="S67" s="4"/>
      <c r="T67" s="4"/>
      <c r="U67" s="4"/>
      <c r="V67" s="4"/>
    </row>
    <row r="68" spans="1:22" ht="15.75" customHeight="1">
      <c r="A68" s="4" t="s">
        <v>366</v>
      </c>
      <c r="B68" s="9" t="s">
        <v>367</v>
      </c>
      <c r="C68" s="4"/>
      <c r="D68" s="4"/>
      <c r="E68" s="4" t="s">
        <v>368</v>
      </c>
      <c r="F68" s="17" t="s">
        <v>369</v>
      </c>
      <c r="G68" s="4" t="s">
        <v>61</v>
      </c>
      <c r="H68" s="4" t="s">
        <v>27</v>
      </c>
      <c r="I68" s="3" t="s">
        <v>27</v>
      </c>
      <c r="J68" s="8" t="s">
        <v>370</v>
      </c>
      <c r="K68" s="4" t="s">
        <v>56</v>
      </c>
      <c r="L68" s="4" t="s">
        <v>220</v>
      </c>
      <c r="M68" s="4" t="s">
        <v>44</v>
      </c>
      <c r="N68" s="4"/>
      <c r="O68" s="4"/>
      <c r="P68" s="4"/>
      <c r="Q68" s="4"/>
      <c r="R68" s="4"/>
      <c r="S68" s="4"/>
      <c r="T68" s="4"/>
      <c r="U68" s="4"/>
      <c r="V68" s="4"/>
    </row>
    <row r="69" spans="1:22" ht="15.75" customHeight="1">
      <c r="A69" s="4" t="s">
        <v>371</v>
      </c>
      <c r="B69" s="11" t="s">
        <v>372</v>
      </c>
      <c r="C69" s="4"/>
      <c r="D69" s="4"/>
      <c r="E69" s="4" t="s">
        <v>373</v>
      </c>
      <c r="F69" s="17" t="s">
        <v>374</v>
      </c>
      <c r="G69" s="4" t="s">
        <v>61</v>
      </c>
      <c r="H69" s="4" t="s">
        <v>27</v>
      </c>
      <c r="I69" s="3" t="s">
        <v>26</v>
      </c>
      <c r="J69" s="8" t="s">
        <v>375</v>
      </c>
      <c r="K69" s="4" t="s">
        <v>56</v>
      </c>
      <c r="L69" s="4" t="s">
        <v>63</v>
      </c>
      <c r="M69" s="4" t="s">
        <v>44</v>
      </c>
      <c r="N69" s="4"/>
      <c r="O69" s="4"/>
      <c r="P69" s="4"/>
      <c r="Q69" s="4"/>
      <c r="R69" s="4"/>
      <c r="S69" s="4"/>
      <c r="T69" s="4"/>
      <c r="U69" s="4"/>
      <c r="V69" s="4"/>
    </row>
    <row r="70" spans="1:22" ht="15.75" customHeight="1">
      <c r="A70" s="4" t="s">
        <v>376</v>
      </c>
      <c r="B70" s="9" t="s">
        <v>377</v>
      </c>
      <c r="C70" s="4" t="s">
        <v>27</v>
      </c>
      <c r="D70" s="4"/>
      <c r="E70" s="4" t="s">
        <v>378</v>
      </c>
      <c r="F70" s="12" t="s">
        <v>379</v>
      </c>
      <c r="G70" s="4" t="s">
        <v>73</v>
      </c>
      <c r="H70" s="4" t="s">
        <v>26</v>
      </c>
      <c r="I70" s="3" t="s">
        <v>26</v>
      </c>
      <c r="J70" s="8" t="s">
        <v>380</v>
      </c>
      <c r="K70" s="4" t="s">
        <v>56</v>
      </c>
      <c r="L70" s="4" t="s">
        <v>75</v>
      </c>
      <c r="M70" s="4" t="s">
        <v>31</v>
      </c>
      <c r="N70" s="4"/>
      <c r="O70" s="4"/>
      <c r="P70" s="4"/>
      <c r="Q70" s="4"/>
      <c r="R70" s="4"/>
      <c r="S70" s="4"/>
      <c r="T70" s="4"/>
      <c r="U70" s="4"/>
      <c r="V70" s="4"/>
    </row>
    <row r="71" spans="1:22" ht="15.75" customHeight="1">
      <c r="A71" s="4" t="s">
        <v>381</v>
      </c>
      <c r="B71" s="9" t="s">
        <v>382</v>
      </c>
      <c r="C71" s="4"/>
      <c r="D71" s="4"/>
      <c r="E71" s="4" t="s">
        <v>383</v>
      </c>
      <c r="F71" s="8" t="s">
        <v>384</v>
      </c>
      <c r="G71" s="4" t="s">
        <v>73</v>
      </c>
      <c r="H71" s="4" t="s">
        <v>27</v>
      </c>
      <c r="I71" s="3" t="s">
        <v>26</v>
      </c>
      <c r="J71" s="8" t="s">
        <v>385</v>
      </c>
      <c r="K71" s="4" t="s">
        <v>81</v>
      </c>
      <c r="L71" s="4"/>
      <c r="M71" s="4" t="s">
        <v>31</v>
      </c>
      <c r="N71" s="4"/>
      <c r="O71" s="4"/>
      <c r="P71" s="4"/>
      <c r="Q71" s="4"/>
      <c r="R71" s="4"/>
      <c r="S71" s="4"/>
      <c r="T71" s="4"/>
      <c r="U71" s="4"/>
      <c r="V71" s="4"/>
    </row>
    <row r="72" spans="1:22" ht="15.75" customHeight="1">
      <c r="A72" s="4" t="s">
        <v>386</v>
      </c>
      <c r="B72" s="9" t="s">
        <v>387</v>
      </c>
      <c r="C72" s="4" t="s">
        <v>27</v>
      </c>
      <c r="D72" s="4"/>
      <c r="E72" s="4" t="s">
        <v>388</v>
      </c>
      <c r="F72" s="12" t="s">
        <v>389</v>
      </c>
      <c r="G72" s="4" t="s">
        <v>73</v>
      </c>
      <c r="H72" s="4" t="s">
        <v>26</v>
      </c>
      <c r="I72" s="3" t="s">
        <v>26</v>
      </c>
      <c r="J72" s="8" t="s">
        <v>390</v>
      </c>
      <c r="K72" s="4" t="s">
        <v>56</v>
      </c>
      <c r="L72" s="4" t="s">
        <v>50</v>
      </c>
      <c r="M72" s="4" t="s">
        <v>31</v>
      </c>
      <c r="N72" s="4"/>
      <c r="O72" s="4"/>
      <c r="P72" s="4"/>
      <c r="Q72" s="4"/>
      <c r="R72" s="4"/>
      <c r="S72" s="4"/>
      <c r="T72" s="4"/>
      <c r="U72" s="4"/>
      <c r="V72" s="4"/>
    </row>
    <row r="73" spans="1:22" ht="15.75" customHeight="1">
      <c r="A73" s="4" t="s">
        <v>391</v>
      </c>
      <c r="B73" s="9" t="s">
        <v>392</v>
      </c>
      <c r="C73" s="4"/>
      <c r="D73" s="4"/>
      <c r="E73" s="4" t="s">
        <v>393</v>
      </c>
      <c r="F73" s="17" t="s">
        <v>394</v>
      </c>
      <c r="G73" s="4" t="s">
        <v>61</v>
      </c>
      <c r="H73" s="4" t="s">
        <v>27</v>
      </c>
      <c r="I73" s="3" t="s">
        <v>26</v>
      </c>
      <c r="J73" s="8" t="s">
        <v>395</v>
      </c>
      <c r="K73" s="4" t="s">
        <v>29</v>
      </c>
      <c r="L73" s="4" t="s">
        <v>396</v>
      </c>
      <c r="M73" s="4" t="s">
        <v>44</v>
      </c>
      <c r="N73" s="4"/>
      <c r="O73" s="4"/>
      <c r="P73" s="4"/>
      <c r="Q73" s="4"/>
      <c r="R73" s="4"/>
      <c r="S73" s="4"/>
      <c r="T73" s="4"/>
      <c r="U73" s="4"/>
      <c r="V73" s="4"/>
    </row>
    <row r="74" spans="1:22" ht="15.75" customHeight="1">
      <c r="A74" s="4" t="s">
        <v>397</v>
      </c>
      <c r="B74" s="9" t="s">
        <v>398</v>
      </c>
      <c r="C74" s="4"/>
      <c r="D74" s="4"/>
      <c r="E74" s="4" t="s">
        <v>399</v>
      </c>
      <c r="F74" s="17" t="s">
        <v>400</v>
      </c>
      <c r="G74" s="4" t="s">
        <v>61</v>
      </c>
      <c r="H74" s="4" t="s">
        <v>27</v>
      </c>
      <c r="I74" s="3" t="s">
        <v>26</v>
      </c>
      <c r="J74" s="8" t="s">
        <v>401</v>
      </c>
      <c r="K74" s="4" t="s">
        <v>29</v>
      </c>
      <c r="L74" s="4" t="s">
        <v>396</v>
      </c>
      <c r="M74" s="4" t="s">
        <v>44</v>
      </c>
      <c r="N74" s="4"/>
      <c r="O74" s="4"/>
      <c r="P74" s="4"/>
      <c r="Q74" s="4"/>
      <c r="R74" s="4"/>
      <c r="S74" s="4"/>
      <c r="T74" s="4"/>
      <c r="U74" s="4"/>
      <c r="V74" s="4"/>
    </row>
    <row r="75" spans="1:22" ht="15.75" customHeight="1">
      <c r="A75" s="4" t="s">
        <v>402</v>
      </c>
      <c r="B75" s="11" t="s">
        <v>403</v>
      </c>
      <c r="C75" s="4"/>
      <c r="D75" s="4"/>
      <c r="E75" s="4" t="s">
        <v>404</v>
      </c>
      <c r="F75" s="12" t="s">
        <v>405</v>
      </c>
      <c r="G75" s="4" t="s">
        <v>73</v>
      </c>
      <c r="H75" s="4" t="s">
        <v>26</v>
      </c>
      <c r="I75" s="3" t="s">
        <v>26</v>
      </c>
      <c r="J75" s="8" t="s">
        <v>406</v>
      </c>
      <c r="K75" s="4" t="s">
        <v>56</v>
      </c>
      <c r="L75" s="4" t="s">
        <v>291</v>
      </c>
      <c r="M75" s="4" t="s">
        <v>31</v>
      </c>
      <c r="N75" s="4"/>
      <c r="O75" s="4"/>
      <c r="P75" s="4"/>
      <c r="Q75" s="4"/>
      <c r="R75" s="4"/>
      <c r="S75" s="4"/>
      <c r="T75" s="4"/>
      <c r="U75" s="4"/>
      <c r="V75" s="4"/>
    </row>
    <row r="76" spans="1:22" ht="15.75" customHeight="1">
      <c r="A76" s="4" t="s">
        <v>407</v>
      </c>
      <c r="B76" s="9" t="s">
        <v>408</v>
      </c>
      <c r="C76" s="4"/>
      <c r="D76" s="4"/>
      <c r="E76" s="4" t="s">
        <v>409</v>
      </c>
      <c r="F76" s="17" t="s">
        <v>410</v>
      </c>
      <c r="G76" s="4" t="s">
        <v>61</v>
      </c>
      <c r="H76" s="4" t="s">
        <v>27</v>
      </c>
      <c r="I76" s="3" t="s">
        <v>27</v>
      </c>
      <c r="J76" s="8" t="s">
        <v>411</v>
      </c>
      <c r="K76" s="4" t="s">
        <v>56</v>
      </c>
      <c r="L76" s="4" t="s">
        <v>396</v>
      </c>
      <c r="M76" s="4" t="s">
        <v>44</v>
      </c>
      <c r="N76" s="4"/>
      <c r="O76" s="4"/>
      <c r="P76" s="4"/>
      <c r="Q76" s="4"/>
      <c r="R76" s="4"/>
      <c r="S76" s="4"/>
      <c r="T76" s="4"/>
      <c r="U76" s="4"/>
      <c r="V76" s="4"/>
    </row>
    <row r="77" spans="1:22" ht="15.75" customHeight="1">
      <c r="A77" s="4" t="s">
        <v>412</v>
      </c>
      <c r="B77" s="9" t="s">
        <v>413</v>
      </c>
      <c r="C77" s="4"/>
      <c r="D77" s="4"/>
      <c r="E77" s="4" t="s">
        <v>414</v>
      </c>
      <c r="F77" s="17" t="s">
        <v>415</v>
      </c>
      <c r="G77" s="4" t="s">
        <v>61</v>
      </c>
      <c r="H77" s="4" t="s">
        <v>27</v>
      </c>
      <c r="I77" s="3" t="s">
        <v>26</v>
      </c>
      <c r="J77" s="8" t="s">
        <v>416</v>
      </c>
      <c r="K77" s="4" t="s">
        <v>56</v>
      </c>
      <c r="L77" s="4" t="s">
        <v>396</v>
      </c>
      <c r="M77" s="4" t="s">
        <v>44</v>
      </c>
      <c r="N77" s="4"/>
      <c r="O77" s="4"/>
      <c r="P77" s="4"/>
      <c r="Q77" s="4"/>
      <c r="R77" s="4"/>
      <c r="S77" s="4"/>
      <c r="T77" s="4"/>
      <c r="U77" s="4"/>
      <c r="V77" s="4"/>
    </row>
    <row r="78" spans="1:22" ht="15.75" customHeight="1">
      <c r="A78" s="4" t="s">
        <v>417</v>
      </c>
      <c r="B78" s="11" t="s">
        <v>418</v>
      </c>
      <c r="C78" s="4"/>
      <c r="D78" s="4"/>
      <c r="E78" s="4" t="s">
        <v>419</v>
      </c>
      <c r="F78" s="17" t="s">
        <v>420</v>
      </c>
      <c r="G78" s="4" t="s">
        <v>61</v>
      </c>
      <c r="H78" s="4" t="s">
        <v>27</v>
      </c>
      <c r="I78" s="3" t="s">
        <v>27</v>
      </c>
      <c r="J78" s="8" t="s">
        <v>421</v>
      </c>
      <c r="K78" s="4" t="s">
        <v>56</v>
      </c>
      <c r="L78" s="4" t="s">
        <v>43</v>
      </c>
      <c r="M78" s="4" t="s">
        <v>44</v>
      </c>
      <c r="N78" s="4"/>
      <c r="O78" s="4"/>
      <c r="P78" s="4"/>
      <c r="Q78" s="4"/>
      <c r="R78" s="4"/>
      <c r="S78" s="4"/>
      <c r="T78" s="4"/>
      <c r="U78" s="4"/>
      <c r="V78" s="4"/>
    </row>
    <row r="79" spans="1:22" ht="15.75" customHeight="1">
      <c r="A79" s="4" t="s">
        <v>422</v>
      </c>
      <c r="B79" s="9" t="s">
        <v>423</v>
      </c>
      <c r="C79" s="4"/>
      <c r="D79" s="4"/>
      <c r="E79" s="4" t="s">
        <v>424</v>
      </c>
      <c r="F79" s="17" t="s">
        <v>425</v>
      </c>
      <c r="G79" s="4" t="s">
        <v>61</v>
      </c>
      <c r="H79" s="4" t="s">
        <v>27</v>
      </c>
      <c r="I79" s="3" t="s">
        <v>26</v>
      </c>
      <c r="J79" s="8" t="s">
        <v>426</v>
      </c>
      <c r="K79" s="4" t="s">
        <v>56</v>
      </c>
      <c r="L79" s="4" t="s">
        <v>43</v>
      </c>
      <c r="M79" s="4" t="s">
        <v>44</v>
      </c>
      <c r="N79" s="4"/>
      <c r="O79" s="4"/>
      <c r="P79" s="4"/>
      <c r="Q79" s="4"/>
      <c r="R79" s="4"/>
      <c r="S79" s="4"/>
      <c r="T79" s="4"/>
      <c r="U79" s="4"/>
      <c r="V79" s="4"/>
    </row>
    <row r="80" spans="1:22" ht="15.75" customHeight="1">
      <c r="A80" s="4" t="s">
        <v>427</v>
      </c>
      <c r="B80" s="11" t="s">
        <v>428</v>
      </c>
      <c r="C80" s="4"/>
      <c r="D80" s="4"/>
      <c r="E80" s="4" t="s">
        <v>429</v>
      </c>
      <c r="F80" s="17" t="s">
        <v>430</v>
      </c>
      <c r="G80" s="4" t="s">
        <v>61</v>
      </c>
      <c r="H80" s="4" t="s">
        <v>26</v>
      </c>
      <c r="I80" s="3" t="s">
        <v>27</v>
      </c>
      <c r="J80" s="8" t="s">
        <v>431</v>
      </c>
      <c r="K80" s="4" t="s">
        <v>81</v>
      </c>
      <c r="L80" s="4" t="s">
        <v>63</v>
      </c>
      <c r="M80" s="4" t="s">
        <v>44</v>
      </c>
      <c r="N80" s="4"/>
      <c r="O80" s="4"/>
      <c r="P80" s="4"/>
      <c r="Q80" s="4"/>
      <c r="R80" s="4"/>
      <c r="S80" s="4"/>
      <c r="T80" s="4"/>
      <c r="U80" s="4"/>
      <c r="V80" s="4"/>
    </row>
    <row r="81" spans="1:22" ht="15.75" customHeight="1">
      <c r="A81" s="4" t="s">
        <v>432</v>
      </c>
      <c r="B81" s="9" t="s">
        <v>433</v>
      </c>
      <c r="C81" s="4"/>
      <c r="D81" s="4"/>
      <c r="E81" s="4" t="s">
        <v>434</v>
      </c>
      <c r="F81" s="8" t="s">
        <v>435</v>
      </c>
      <c r="G81" s="4" t="s">
        <v>61</v>
      </c>
      <c r="H81" s="4" t="s">
        <v>27</v>
      </c>
      <c r="I81" s="3" t="s">
        <v>26</v>
      </c>
      <c r="J81" s="8" t="s">
        <v>436</v>
      </c>
      <c r="K81" s="4" t="s">
        <v>56</v>
      </c>
      <c r="L81" s="4" t="s">
        <v>63</v>
      </c>
      <c r="M81" s="4" t="s">
        <v>44</v>
      </c>
      <c r="N81" s="4"/>
      <c r="O81" s="4"/>
      <c r="P81" s="4"/>
      <c r="Q81" s="4"/>
      <c r="R81" s="4"/>
      <c r="S81" s="4"/>
      <c r="T81" s="4"/>
      <c r="U81" s="4"/>
      <c r="V81" s="4"/>
    </row>
    <row r="82" spans="1:22" ht="15.75" customHeight="1">
      <c r="A82" s="4" t="s">
        <v>437</v>
      </c>
      <c r="B82" s="9" t="s">
        <v>438</v>
      </c>
      <c r="C82" s="4"/>
      <c r="D82" s="4"/>
      <c r="E82" s="4" t="s">
        <v>439</v>
      </c>
      <c r="F82" s="17" t="s">
        <v>440</v>
      </c>
      <c r="G82" s="4" t="s">
        <v>61</v>
      </c>
      <c r="H82" s="4" t="s">
        <v>27</v>
      </c>
      <c r="I82" s="3" t="s">
        <v>26</v>
      </c>
      <c r="J82" s="8" t="s">
        <v>441</v>
      </c>
      <c r="K82" s="4" t="s">
        <v>56</v>
      </c>
      <c r="L82" s="4" t="s">
        <v>63</v>
      </c>
      <c r="M82" s="4" t="s">
        <v>44</v>
      </c>
      <c r="N82" s="4"/>
      <c r="O82" s="4"/>
      <c r="P82" s="4"/>
      <c r="Q82" s="4"/>
      <c r="R82" s="4"/>
      <c r="S82" s="4"/>
      <c r="T82" s="4"/>
      <c r="U82" s="4"/>
      <c r="V82" s="4"/>
    </row>
    <row r="83" spans="1:22" ht="15.75" customHeight="1">
      <c r="A83" s="4" t="s">
        <v>442</v>
      </c>
      <c r="B83" s="9" t="s">
        <v>443</v>
      </c>
      <c r="C83" s="4" t="s">
        <v>27</v>
      </c>
      <c r="D83" s="4"/>
      <c r="E83" s="4" t="s">
        <v>444</v>
      </c>
      <c r="F83" s="12" t="s">
        <v>445</v>
      </c>
      <c r="G83" s="4" t="s">
        <v>73</v>
      </c>
      <c r="H83" s="4" t="s">
        <v>27</v>
      </c>
      <c r="I83" s="3" t="s">
        <v>26</v>
      </c>
      <c r="J83" s="8" t="s">
        <v>446</v>
      </c>
      <c r="K83" s="4" t="s">
        <v>56</v>
      </c>
      <c r="L83" s="4" t="s">
        <v>75</v>
      </c>
      <c r="M83" s="4" t="s">
        <v>31</v>
      </c>
      <c r="N83" s="4"/>
      <c r="O83" s="4"/>
      <c r="P83" s="4"/>
      <c r="Q83" s="4"/>
      <c r="R83" s="4"/>
      <c r="S83" s="4"/>
      <c r="T83" s="4"/>
      <c r="U83" s="4"/>
      <c r="V83" s="4"/>
    </row>
    <row r="84" spans="1:22" ht="15.75" customHeight="1">
      <c r="A84" s="4" t="s">
        <v>447</v>
      </c>
      <c r="B84" s="11" t="s">
        <v>448</v>
      </c>
      <c r="C84" s="4"/>
      <c r="D84" s="4"/>
      <c r="E84" s="4" t="s">
        <v>449</v>
      </c>
      <c r="F84" s="12" t="s">
        <v>450</v>
      </c>
      <c r="G84" s="4" t="s">
        <v>73</v>
      </c>
      <c r="H84" s="4" t="s">
        <v>26</v>
      </c>
      <c r="I84" s="3" t="s">
        <v>26</v>
      </c>
      <c r="J84" s="8" t="s">
        <v>451</v>
      </c>
      <c r="K84" s="4" t="s">
        <v>56</v>
      </c>
      <c r="L84" s="4" t="s">
        <v>50</v>
      </c>
      <c r="M84" s="4" t="s">
        <v>31</v>
      </c>
      <c r="N84" s="4"/>
      <c r="O84" s="4"/>
      <c r="P84" s="4"/>
      <c r="Q84" s="4"/>
      <c r="R84" s="4"/>
      <c r="S84" s="4"/>
      <c r="T84" s="4"/>
      <c r="U84" s="4"/>
      <c r="V84" s="4"/>
    </row>
    <row r="85" spans="1:22" ht="15.75" customHeight="1">
      <c r="A85" s="4" t="s">
        <v>452</v>
      </c>
      <c r="B85" s="11" t="s">
        <v>453</v>
      </c>
      <c r="C85" s="4"/>
      <c r="D85" s="4"/>
      <c r="E85" s="4" t="s">
        <v>454</v>
      </c>
      <c r="F85" s="17" t="s">
        <v>455</v>
      </c>
      <c r="G85" s="4" t="s">
        <v>61</v>
      </c>
      <c r="H85" s="4" t="s">
        <v>27</v>
      </c>
      <c r="I85" s="3" t="s">
        <v>26</v>
      </c>
      <c r="J85" s="8" t="s">
        <v>456</v>
      </c>
      <c r="K85" s="4" t="s">
        <v>56</v>
      </c>
      <c r="L85" s="4" t="s">
        <v>63</v>
      </c>
      <c r="M85" s="4" t="s">
        <v>44</v>
      </c>
      <c r="N85" s="4"/>
      <c r="O85" s="4"/>
      <c r="P85" s="4"/>
      <c r="Q85" s="4"/>
      <c r="R85" s="4"/>
      <c r="S85" s="4"/>
      <c r="T85" s="4"/>
      <c r="U85" s="4"/>
      <c r="V85" s="4"/>
    </row>
    <row r="86" spans="1:22" ht="15.75" customHeight="1">
      <c r="A86" s="4" t="s">
        <v>457</v>
      </c>
      <c r="B86" s="11" t="s">
        <v>458</v>
      </c>
      <c r="C86" s="4"/>
      <c r="D86" s="4"/>
      <c r="E86" s="4" t="s">
        <v>459</v>
      </c>
      <c r="F86" s="17" t="s">
        <v>460</v>
      </c>
      <c r="G86" s="4" t="s">
        <v>61</v>
      </c>
      <c r="H86" s="4" t="s">
        <v>26</v>
      </c>
      <c r="I86" s="3" t="s">
        <v>27</v>
      </c>
      <c r="J86" s="8" t="s">
        <v>461</v>
      </c>
      <c r="K86" s="4" t="s">
        <v>56</v>
      </c>
      <c r="L86" s="4" t="s">
        <v>63</v>
      </c>
      <c r="M86" s="4" t="s">
        <v>44</v>
      </c>
      <c r="N86" s="4"/>
      <c r="O86" s="4"/>
      <c r="P86" s="4"/>
      <c r="Q86" s="4"/>
      <c r="R86" s="4"/>
      <c r="S86" s="4"/>
      <c r="T86" s="4"/>
      <c r="U86" s="4"/>
      <c r="V86" s="4"/>
    </row>
    <row r="87" spans="1:22" ht="15.75" customHeight="1">
      <c r="A87" s="4" t="s">
        <v>462</v>
      </c>
      <c r="B87" s="11" t="s">
        <v>463</v>
      </c>
      <c r="C87" s="4"/>
      <c r="D87" s="4"/>
      <c r="E87" s="4" t="s">
        <v>464</v>
      </c>
      <c r="F87" s="12" t="s">
        <v>465</v>
      </c>
      <c r="G87" s="4" t="s">
        <v>73</v>
      </c>
      <c r="H87" s="4" t="s">
        <v>27</v>
      </c>
      <c r="I87" s="3" t="s">
        <v>26</v>
      </c>
      <c r="J87" s="8" t="s">
        <v>466</v>
      </c>
      <c r="K87" s="4" t="s">
        <v>56</v>
      </c>
      <c r="L87" s="4" t="s">
        <v>50</v>
      </c>
      <c r="M87" s="4" t="s">
        <v>31</v>
      </c>
      <c r="N87" s="4"/>
      <c r="O87" s="4"/>
      <c r="P87" s="4"/>
      <c r="Q87" s="4"/>
      <c r="R87" s="4"/>
      <c r="S87" s="4"/>
      <c r="T87" s="4"/>
      <c r="U87" s="4"/>
      <c r="V87" s="4"/>
    </row>
    <row r="88" spans="1:22" ht="15.75" customHeight="1">
      <c r="A88" s="4" t="s">
        <v>467</v>
      </c>
      <c r="B88" s="11" t="s">
        <v>468</v>
      </c>
      <c r="C88" s="4"/>
      <c r="D88" s="4"/>
      <c r="E88" s="4" t="s">
        <v>469</v>
      </c>
      <c r="F88" s="17" t="s">
        <v>470</v>
      </c>
      <c r="G88" s="4" t="s">
        <v>61</v>
      </c>
      <c r="H88" s="4" t="s">
        <v>27</v>
      </c>
      <c r="I88" s="3" t="s">
        <v>26</v>
      </c>
      <c r="J88" s="8" t="s">
        <v>471</v>
      </c>
      <c r="K88" s="4" t="s">
        <v>56</v>
      </c>
      <c r="L88" s="4" t="s">
        <v>63</v>
      </c>
      <c r="M88" s="4" t="s">
        <v>44</v>
      </c>
      <c r="N88" s="4"/>
      <c r="O88" s="4"/>
      <c r="P88" s="4"/>
      <c r="Q88" s="4"/>
      <c r="R88" s="4"/>
      <c r="S88" s="4"/>
      <c r="T88" s="4"/>
      <c r="U88" s="4"/>
      <c r="V88" s="4"/>
    </row>
    <row r="89" spans="1:22" ht="15.75" customHeight="1">
      <c r="A89" s="4" t="s">
        <v>472</v>
      </c>
      <c r="B89" s="11" t="s">
        <v>473</v>
      </c>
      <c r="C89" s="4"/>
      <c r="D89" s="4"/>
      <c r="E89" s="4" t="s">
        <v>474</v>
      </c>
      <c r="F89" s="17" t="s">
        <v>475</v>
      </c>
      <c r="G89" s="4" t="s">
        <v>61</v>
      </c>
      <c r="H89" s="4" t="s">
        <v>27</v>
      </c>
      <c r="I89" s="3" t="s">
        <v>26</v>
      </c>
      <c r="J89" s="8" t="s">
        <v>476</v>
      </c>
      <c r="K89" s="4" t="s">
        <v>29</v>
      </c>
      <c r="L89" s="4" t="s">
        <v>63</v>
      </c>
      <c r="M89" s="4" t="s">
        <v>44</v>
      </c>
      <c r="N89" s="4"/>
      <c r="O89" s="4"/>
      <c r="P89" s="4"/>
      <c r="Q89" s="4"/>
      <c r="R89" s="4"/>
      <c r="S89" s="4"/>
      <c r="T89" s="4"/>
      <c r="U89" s="4"/>
      <c r="V89" s="4"/>
    </row>
    <row r="90" spans="1:22" ht="15.75" customHeight="1">
      <c r="A90" s="4" t="s">
        <v>477</v>
      </c>
      <c r="B90" s="11" t="s">
        <v>478</v>
      </c>
      <c r="C90" s="4" t="s">
        <v>27</v>
      </c>
      <c r="D90" s="4"/>
      <c r="E90" s="4" t="s">
        <v>479</v>
      </c>
      <c r="F90" s="12" t="s">
        <v>480</v>
      </c>
      <c r="G90" s="4" t="s">
        <v>73</v>
      </c>
      <c r="H90" s="4" t="s">
        <v>26</v>
      </c>
      <c r="I90" s="3" t="s">
        <v>26</v>
      </c>
      <c r="J90" s="8" t="s">
        <v>481</v>
      </c>
      <c r="K90" s="4" t="s">
        <v>56</v>
      </c>
      <c r="L90" s="4" t="s">
        <v>50</v>
      </c>
      <c r="M90" s="4" t="s">
        <v>31</v>
      </c>
      <c r="N90" s="4"/>
      <c r="O90" s="4"/>
      <c r="P90" s="4"/>
      <c r="Q90" s="4"/>
      <c r="R90" s="4"/>
      <c r="S90" s="4"/>
      <c r="T90" s="4"/>
      <c r="U90" s="4"/>
      <c r="V90" s="4"/>
    </row>
    <row r="91" spans="1:22" ht="15.75" customHeight="1">
      <c r="A91" s="4" t="s">
        <v>482</v>
      </c>
      <c r="B91" s="11" t="s">
        <v>483</v>
      </c>
      <c r="C91" s="4"/>
      <c r="D91" s="4"/>
      <c r="E91" s="4" t="s">
        <v>484</v>
      </c>
      <c r="F91" s="17" t="s">
        <v>485</v>
      </c>
      <c r="G91" s="4" t="s">
        <v>61</v>
      </c>
      <c r="H91" s="4" t="s">
        <v>27</v>
      </c>
      <c r="I91" s="3" t="s">
        <v>27</v>
      </c>
      <c r="J91" s="8" t="s">
        <v>486</v>
      </c>
      <c r="K91" s="4" t="s">
        <v>56</v>
      </c>
      <c r="L91" s="4" t="s">
        <v>63</v>
      </c>
      <c r="M91" s="4" t="s">
        <v>44</v>
      </c>
      <c r="N91" s="4"/>
      <c r="O91" s="4"/>
      <c r="P91" s="4"/>
      <c r="Q91" s="4"/>
      <c r="R91" s="4"/>
      <c r="S91" s="4"/>
      <c r="T91" s="4"/>
      <c r="U91" s="4"/>
      <c r="V91" s="4"/>
    </row>
    <row r="92" spans="1:22" ht="15.75" customHeight="1">
      <c r="A92" s="4" t="s">
        <v>487</v>
      </c>
      <c r="B92" s="11" t="s">
        <v>488</v>
      </c>
      <c r="C92" s="4" t="s">
        <v>27</v>
      </c>
      <c r="D92" s="4"/>
      <c r="E92" s="4" t="s">
        <v>489</v>
      </c>
      <c r="F92" s="12" t="s">
        <v>490</v>
      </c>
      <c r="G92" s="4" t="s">
        <v>73</v>
      </c>
      <c r="H92" s="4" t="s">
        <v>27</v>
      </c>
      <c r="I92" s="3" t="s">
        <v>26</v>
      </c>
      <c r="J92" s="8" t="s">
        <v>491</v>
      </c>
      <c r="K92" s="4" t="s">
        <v>56</v>
      </c>
      <c r="L92" s="4" t="s">
        <v>50</v>
      </c>
      <c r="M92" s="4" t="s">
        <v>44</v>
      </c>
      <c r="N92" s="4"/>
      <c r="O92" s="4"/>
      <c r="P92" s="4"/>
      <c r="Q92" s="4"/>
      <c r="R92" s="4"/>
      <c r="S92" s="4"/>
      <c r="T92" s="4"/>
      <c r="U92" s="4"/>
      <c r="V92" s="4"/>
    </row>
    <row r="93" spans="1:22" ht="15.75" customHeight="1">
      <c r="A93" s="4" t="s">
        <v>492</v>
      </c>
      <c r="B93" s="11" t="s">
        <v>493</v>
      </c>
      <c r="C93" s="4"/>
      <c r="D93" s="4"/>
      <c r="E93" s="4" t="s">
        <v>494</v>
      </c>
      <c r="F93" s="12" t="s">
        <v>495</v>
      </c>
      <c r="G93" s="4" t="s">
        <v>73</v>
      </c>
      <c r="H93" s="4" t="s">
        <v>27</v>
      </c>
      <c r="I93" s="3" t="s">
        <v>26</v>
      </c>
      <c r="J93" s="8" t="s">
        <v>496</v>
      </c>
      <c r="K93" s="4" t="s">
        <v>56</v>
      </c>
      <c r="L93" s="4" t="s">
        <v>75</v>
      </c>
      <c r="M93" s="4" t="s">
        <v>31</v>
      </c>
      <c r="N93" s="4"/>
      <c r="O93" s="4"/>
      <c r="P93" s="4"/>
      <c r="Q93" s="4"/>
      <c r="R93" s="4"/>
      <c r="S93" s="4"/>
      <c r="T93" s="4"/>
      <c r="U93" s="4"/>
      <c r="V93" s="4"/>
    </row>
    <row r="94" spans="1:22" ht="15.75" customHeight="1">
      <c r="A94" s="4" t="s">
        <v>497</v>
      </c>
      <c r="B94" s="11" t="s">
        <v>498</v>
      </c>
      <c r="C94" s="4"/>
      <c r="D94" s="4"/>
      <c r="E94" s="4" t="s">
        <v>499</v>
      </c>
      <c r="F94" s="17" t="s">
        <v>500</v>
      </c>
      <c r="G94" s="4" t="s">
        <v>61</v>
      </c>
      <c r="H94" s="4" t="s">
        <v>27</v>
      </c>
      <c r="I94" s="3" t="s">
        <v>26</v>
      </c>
      <c r="J94" s="18" t="s">
        <v>501</v>
      </c>
      <c r="K94" s="4" t="s">
        <v>56</v>
      </c>
      <c r="L94" s="4" t="s">
        <v>63</v>
      </c>
      <c r="M94" s="4" t="s">
        <v>44</v>
      </c>
      <c r="N94" s="4"/>
      <c r="O94" s="4"/>
      <c r="P94" s="4"/>
      <c r="Q94" s="4"/>
      <c r="R94" s="4"/>
      <c r="S94" s="4"/>
      <c r="T94" s="4"/>
      <c r="U94" s="4"/>
      <c r="V94" s="4"/>
    </row>
    <row r="95" spans="1:22" ht="15.75" customHeight="1">
      <c r="A95" s="4" t="s">
        <v>502</v>
      </c>
      <c r="B95" s="11" t="s">
        <v>503</v>
      </c>
      <c r="C95" s="4" t="s">
        <v>27</v>
      </c>
      <c r="D95" s="4"/>
      <c r="E95" s="4" t="s">
        <v>504</v>
      </c>
      <c r="F95" s="12" t="s">
        <v>505</v>
      </c>
      <c r="G95" s="4" t="s">
        <v>73</v>
      </c>
      <c r="H95" s="4" t="s">
        <v>27</v>
      </c>
      <c r="I95" s="3" t="s">
        <v>26</v>
      </c>
      <c r="J95" s="8" t="s">
        <v>506</v>
      </c>
      <c r="K95" s="10" t="s">
        <v>56</v>
      </c>
      <c r="L95" s="4" t="s">
        <v>75</v>
      </c>
      <c r="M95" s="4" t="s">
        <v>31</v>
      </c>
      <c r="N95" s="4"/>
      <c r="O95" s="4"/>
      <c r="P95" s="4"/>
      <c r="Q95" s="4"/>
      <c r="R95" s="4"/>
      <c r="S95" s="4"/>
      <c r="T95" s="4"/>
      <c r="U95" s="4"/>
      <c r="V95" s="4"/>
    </row>
    <row r="96" spans="1:22" ht="15.75" customHeight="1">
      <c r="A96" s="4" t="s">
        <v>507</v>
      </c>
      <c r="B96" s="11" t="s">
        <v>508</v>
      </c>
      <c r="C96" s="4" t="s">
        <v>26</v>
      </c>
      <c r="D96" s="4"/>
      <c r="E96" s="4" t="s">
        <v>509</v>
      </c>
      <c r="F96" s="12" t="s">
        <v>510</v>
      </c>
      <c r="G96" s="4" t="s">
        <v>73</v>
      </c>
      <c r="H96" s="4" t="s">
        <v>26</v>
      </c>
      <c r="I96" s="3" t="s">
        <v>26</v>
      </c>
      <c r="J96" s="8" t="s">
        <v>511</v>
      </c>
      <c r="K96" s="4" t="s">
        <v>56</v>
      </c>
      <c r="L96" s="4" t="s">
        <v>50</v>
      </c>
      <c r="M96" s="4" t="s">
        <v>31</v>
      </c>
      <c r="N96" s="4" t="s">
        <v>512</v>
      </c>
      <c r="O96" s="4"/>
      <c r="P96" s="4"/>
      <c r="Q96" s="4"/>
      <c r="R96" s="4"/>
      <c r="S96" s="4"/>
      <c r="T96" s="4"/>
      <c r="U96" s="4"/>
      <c r="V96" s="4"/>
    </row>
    <row r="97" spans="1:22" ht="15.75" customHeight="1">
      <c r="A97" s="4" t="s">
        <v>513</v>
      </c>
      <c r="B97" s="9" t="s">
        <v>514</v>
      </c>
      <c r="C97" s="4"/>
      <c r="D97" s="4"/>
      <c r="E97" s="4" t="s">
        <v>515</v>
      </c>
      <c r="F97" s="12" t="s">
        <v>516</v>
      </c>
      <c r="G97" s="4" t="s">
        <v>73</v>
      </c>
      <c r="H97" s="4" t="s">
        <v>26</v>
      </c>
      <c r="I97" s="3" t="s">
        <v>26</v>
      </c>
      <c r="J97" s="8" t="s">
        <v>517</v>
      </c>
      <c r="K97" s="4" t="s">
        <v>56</v>
      </c>
      <c r="L97" s="4" t="s">
        <v>75</v>
      </c>
      <c r="M97" s="4" t="s">
        <v>31</v>
      </c>
      <c r="N97" s="4" t="s">
        <v>518</v>
      </c>
      <c r="O97" s="4"/>
      <c r="P97" s="4"/>
      <c r="Q97" s="4"/>
      <c r="R97" s="4"/>
      <c r="S97" s="4"/>
      <c r="T97" s="4"/>
      <c r="U97" s="4"/>
      <c r="V97" s="4"/>
    </row>
    <row r="98" spans="1:22" ht="15.75" customHeight="1">
      <c r="A98" s="4" t="s">
        <v>519</v>
      </c>
      <c r="B98" s="9" t="s">
        <v>520</v>
      </c>
      <c r="C98" s="4" t="s">
        <v>27</v>
      </c>
      <c r="D98" s="4"/>
      <c r="E98" s="4" t="s">
        <v>521</v>
      </c>
      <c r="F98" s="12" t="s">
        <v>522</v>
      </c>
      <c r="G98" s="4" t="s">
        <v>73</v>
      </c>
      <c r="H98" s="4" t="s">
        <v>26</v>
      </c>
      <c r="I98" s="3" t="s">
        <v>26</v>
      </c>
      <c r="J98" s="8" t="s">
        <v>523</v>
      </c>
      <c r="K98" s="4" t="s">
        <v>56</v>
      </c>
      <c r="L98" s="4" t="s">
        <v>75</v>
      </c>
      <c r="M98" s="4" t="s">
        <v>31</v>
      </c>
      <c r="N98" s="4" t="s">
        <v>524</v>
      </c>
      <c r="O98" s="4"/>
      <c r="P98" s="4"/>
      <c r="Q98" s="4"/>
      <c r="R98" s="4"/>
      <c r="S98" s="4"/>
      <c r="T98" s="4"/>
      <c r="U98" s="4"/>
      <c r="V98" s="4"/>
    </row>
    <row r="99" spans="1:22" ht="15.75" customHeight="1">
      <c r="A99" s="4" t="s">
        <v>525</v>
      </c>
      <c r="B99" s="11" t="s">
        <v>526</v>
      </c>
      <c r="C99" s="4" t="s">
        <v>27</v>
      </c>
      <c r="D99" s="4"/>
      <c r="E99" s="4" t="s">
        <v>527</v>
      </c>
      <c r="F99" s="12" t="s">
        <v>528</v>
      </c>
      <c r="G99" s="4" t="s">
        <v>73</v>
      </c>
      <c r="H99" s="4" t="s">
        <v>26</v>
      </c>
      <c r="I99" s="3" t="s">
        <v>26</v>
      </c>
      <c r="J99" s="8" t="s">
        <v>529</v>
      </c>
      <c r="K99" s="4" t="s">
        <v>56</v>
      </c>
      <c r="L99" s="4" t="s">
        <v>75</v>
      </c>
      <c r="M99" s="4" t="s">
        <v>31</v>
      </c>
      <c r="N99" s="4" t="s">
        <v>530</v>
      </c>
      <c r="O99" s="4"/>
      <c r="P99" s="4"/>
      <c r="Q99" s="4"/>
      <c r="R99" s="4"/>
      <c r="S99" s="4"/>
      <c r="T99" s="4"/>
      <c r="U99" s="4"/>
      <c r="V99" s="4"/>
    </row>
    <row r="100" spans="1:22" ht="15.75" customHeight="1">
      <c r="A100" s="4" t="s">
        <v>531</v>
      </c>
      <c r="B100" s="9" t="s">
        <v>532</v>
      </c>
      <c r="C100" s="4"/>
      <c r="D100" s="4"/>
      <c r="E100" s="4" t="s">
        <v>533</v>
      </c>
      <c r="F100" s="12" t="s">
        <v>534</v>
      </c>
      <c r="G100" s="4" t="s">
        <v>73</v>
      </c>
      <c r="H100" s="4" t="s">
        <v>27</v>
      </c>
      <c r="I100" s="3" t="s">
        <v>26</v>
      </c>
      <c r="J100" s="8" t="s">
        <v>535</v>
      </c>
      <c r="K100" s="4" t="s">
        <v>29</v>
      </c>
      <c r="L100" s="4" t="s">
        <v>50</v>
      </c>
      <c r="M100" s="4" t="s">
        <v>31</v>
      </c>
      <c r="N100" s="4" t="s">
        <v>536</v>
      </c>
      <c r="O100" s="4"/>
      <c r="P100" s="4"/>
      <c r="Q100" s="4"/>
      <c r="R100" s="4"/>
      <c r="S100" s="4"/>
      <c r="T100" s="4"/>
      <c r="U100" s="4"/>
      <c r="V100" s="4"/>
    </row>
    <row r="101" spans="1:22" ht="15.75" customHeight="1">
      <c r="A101" s="4" t="s">
        <v>537</v>
      </c>
      <c r="B101" s="9" t="s">
        <v>538</v>
      </c>
      <c r="C101" s="4"/>
      <c r="D101" s="4"/>
      <c r="E101" s="4" t="s">
        <v>539</v>
      </c>
      <c r="F101" s="17" t="s">
        <v>540</v>
      </c>
      <c r="G101" s="4" t="s">
        <v>61</v>
      </c>
      <c r="H101" s="4" t="s">
        <v>26</v>
      </c>
      <c r="I101" s="3" t="s">
        <v>27</v>
      </c>
      <c r="J101" s="8" t="s">
        <v>541</v>
      </c>
      <c r="K101" s="4" t="s">
        <v>29</v>
      </c>
      <c r="L101" s="4" t="s">
        <v>63</v>
      </c>
      <c r="M101" s="4" t="s">
        <v>44</v>
      </c>
      <c r="N101" s="4"/>
      <c r="O101" s="4"/>
      <c r="P101" s="4"/>
      <c r="Q101" s="4"/>
      <c r="R101" s="4"/>
      <c r="S101" s="4"/>
      <c r="T101" s="4"/>
      <c r="U101" s="4"/>
      <c r="V101" s="4"/>
    </row>
    <row r="102" spans="1:22" ht="15.75" customHeight="1">
      <c r="A102" s="4" t="s">
        <v>542</v>
      </c>
      <c r="B102" s="11" t="s">
        <v>543</v>
      </c>
      <c r="C102" s="4"/>
      <c r="D102" s="4"/>
      <c r="E102" s="4" t="s">
        <v>544</v>
      </c>
      <c r="F102" s="17" t="s">
        <v>545</v>
      </c>
      <c r="G102" s="4" t="s">
        <v>61</v>
      </c>
      <c r="H102" s="4" t="s">
        <v>27</v>
      </c>
      <c r="I102" s="3" t="s">
        <v>27</v>
      </c>
      <c r="J102" s="8" t="s">
        <v>546</v>
      </c>
      <c r="K102" s="4" t="s">
        <v>56</v>
      </c>
      <c r="L102" s="4" t="s">
        <v>43</v>
      </c>
      <c r="M102" s="4" t="s">
        <v>44</v>
      </c>
      <c r="N102" s="4"/>
      <c r="O102" s="4"/>
      <c r="P102" s="4"/>
      <c r="Q102" s="4"/>
      <c r="R102" s="4"/>
      <c r="S102" s="4"/>
      <c r="T102" s="4"/>
      <c r="U102" s="4"/>
      <c r="V102" s="4"/>
    </row>
    <row r="103" spans="1:22" ht="15.75" customHeight="1">
      <c r="A103" s="4" t="s">
        <v>547</v>
      </c>
      <c r="B103" s="11" t="s">
        <v>548</v>
      </c>
      <c r="C103" s="4"/>
      <c r="D103" s="4"/>
      <c r="E103" s="4" t="s">
        <v>549</v>
      </c>
      <c r="F103" s="17" t="s">
        <v>550</v>
      </c>
      <c r="G103" s="4" t="s">
        <v>61</v>
      </c>
      <c r="H103" s="4" t="s">
        <v>27</v>
      </c>
      <c r="I103" s="3" t="s">
        <v>26</v>
      </c>
      <c r="J103" s="8" t="s">
        <v>551</v>
      </c>
      <c r="K103" s="4" t="s">
        <v>56</v>
      </c>
      <c r="L103" s="4" t="s">
        <v>63</v>
      </c>
      <c r="M103" s="4" t="s">
        <v>44</v>
      </c>
      <c r="N103" s="4"/>
      <c r="O103" s="4"/>
      <c r="P103" s="4"/>
      <c r="Q103" s="4"/>
      <c r="R103" s="4"/>
      <c r="S103" s="4"/>
      <c r="T103" s="4"/>
      <c r="U103" s="4"/>
      <c r="V103" s="4"/>
    </row>
    <row r="104" spans="1:22" ht="15.75" customHeight="1">
      <c r="A104" s="4"/>
      <c r="B104" s="4"/>
      <c r="C104" s="4"/>
      <c r="D104" s="4"/>
      <c r="E104" s="4"/>
      <c r="F104" s="8"/>
      <c r="G104" s="4">
        <f>COUNTIF(G3:G103, "yes")</f>
        <v>47</v>
      </c>
      <c r="H104" s="4"/>
      <c r="I104" s="4"/>
      <c r="J104" s="19"/>
      <c r="K104" s="4"/>
      <c r="L104" s="4"/>
      <c r="M104" s="4"/>
      <c r="N104" s="4"/>
      <c r="O104" s="4"/>
      <c r="P104" s="4"/>
      <c r="Q104" s="4"/>
      <c r="R104" s="4"/>
      <c r="S104" s="4"/>
      <c r="T104" s="4"/>
      <c r="U104" s="4"/>
      <c r="V104" s="4"/>
    </row>
    <row r="105" spans="1:22" ht="15.75" customHeight="1">
      <c r="A105" s="4"/>
      <c r="B105" s="4"/>
      <c r="C105" s="4"/>
      <c r="D105" s="4"/>
      <c r="E105" s="4"/>
      <c r="F105" s="8"/>
      <c r="G105" s="4"/>
      <c r="H105" s="4"/>
      <c r="I105" s="4"/>
      <c r="J105" s="19"/>
      <c r="K105" s="4"/>
      <c r="L105" s="4"/>
      <c r="M105" s="4"/>
      <c r="N105" s="4"/>
      <c r="O105" s="4"/>
      <c r="P105" s="4"/>
      <c r="Q105" s="4"/>
      <c r="R105" s="4"/>
      <c r="S105" s="4"/>
      <c r="T105" s="4"/>
      <c r="U105" s="4"/>
      <c r="V105" s="4"/>
    </row>
    <row r="106" spans="1:22" ht="15.75" customHeight="1">
      <c r="A106" s="4"/>
      <c r="B106" s="4"/>
      <c r="C106" s="4"/>
      <c r="D106" s="4"/>
      <c r="E106" s="4"/>
      <c r="F106" s="8"/>
      <c r="G106" s="4"/>
      <c r="H106" s="4"/>
      <c r="I106" s="4"/>
      <c r="J106" s="19"/>
      <c r="K106" s="4"/>
      <c r="L106" s="4"/>
      <c r="M106" s="4"/>
      <c r="N106" s="4"/>
      <c r="O106" s="4"/>
      <c r="P106" s="4"/>
      <c r="Q106" s="4"/>
      <c r="R106" s="4"/>
      <c r="S106" s="4"/>
      <c r="T106" s="4"/>
      <c r="U106" s="4"/>
      <c r="V106" s="4"/>
    </row>
    <row r="107" spans="1:22" ht="15.75" customHeight="1">
      <c r="A107" s="4"/>
      <c r="B107" s="4"/>
      <c r="C107" s="4"/>
      <c r="D107" s="4"/>
      <c r="E107" s="4"/>
      <c r="F107" s="8"/>
      <c r="G107" s="4"/>
      <c r="H107" s="4"/>
      <c r="I107" s="4"/>
      <c r="J107" s="19"/>
      <c r="K107" s="4"/>
      <c r="L107" s="4"/>
      <c r="M107" s="4"/>
      <c r="N107" s="4"/>
      <c r="O107" s="4"/>
      <c r="P107" s="4"/>
      <c r="Q107" s="4"/>
      <c r="R107" s="4"/>
      <c r="S107" s="4"/>
      <c r="T107" s="4"/>
      <c r="U107" s="4"/>
      <c r="V107" s="4"/>
    </row>
    <row r="108" spans="1:22" ht="15.75" customHeight="1">
      <c r="A108" s="4"/>
      <c r="B108" s="4"/>
      <c r="C108" s="4"/>
      <c r="D108" s="4"/>
      <c r="E108" s="4"/>
      <c r="F108" s="8"/>
      <c r="G108" s="4"/>
      <c r="H108" s="4"/>
      <c r="I108" s="4"/>
      <c r="J108" s="19"/>
      <c r="K108" s="4"/>
      <c r="L108" s="4"/>
      <c r="M108" s="4"/>
      <c r="N108" s="4"/>
      <c r="O108" s="4"/>
      <c r="P108" s="4"/>
      <c r="Q108" s="4"/>
      <c r="R108" s="4"/>
      <c r="S108" s="4"/>
      <c r="T108" s="4"/>
      <c r="U108" s="4"/>
      <c r="V108" s="4"/>
    </row>
    <row r="109" spans="1:22" ht="15.75" customHeight="1">
      <c r="A109" s="4"/>
      <c r="B109" s="4"/>
      <c r="C109" s="4"/>
      <c r="D109" s="4"/>
      <c r="E109" s="4"/>
      <c r="F109" s="8"/>
      <c r="G109" s="4"/>
      <c r="H109" s="4"/>
      <c r="I109" s="4"/>
      <c r="J109" s="19"/>
      <c r="K109" s="4"/>
      <c r="L109" s="4"/>
      <c r="M109" s="4"/>
      <c r="N109" s="4"/>
      <c r="O109" s="4"/>
      <c r="P109" s="4"/>
      <c r="Q109" s="4"/>
      <c r="R109" s="4"/>
      <c r="S109" s="4"/>
      <c r="T109" s="4"/>
      <c r="U109" s="4"/>
      <c r="V109" s="4"/>
    </row>
    <row r="110" spans="1:22" ht="15.75" customHeight="1">
      <c r="A110" s="4"/>
      <c r="B110" s="4"/>
      <c r="C110" s="4"/>
      <c r="D110" s="4"/>
      <c r="E110" s="4"/>
      <c r="F110" s="8"/>
      <c r="G110" s="4"/>
      <c r="H110" s="4"/>
      <c r="I110" s="4"/>
      <c r="J110" s="19"/>
      <c r="K110" s="4"/>
      <c r="L110" s="4"/>
      <c r="M110" s="4"/>
      <c r="N110" s="4"/>
      <c r="O110" s="4"/>
      <c r="P110" s="4"/>
      <c r="Q110" s="4"/>
      <c r="R110" s="4"/>
      <c r="S110" s="4"/>
      <c r="T110" s="4"/>
      <c r="U110" s="4"/>
      <c r="V110" s="4"/>
    </row>
    <row r="111" spans="1:22" ht="15.75" customHeight="1">
      <c r="A111" s="4"/>
      <c r="B111" s="4"/>
      <c r="C111" s="4"/>
      <c r="D111" s="4"/>
      <c r="E111" s="4"/>
      <c r="F111" s="8"/>
      <c r="G111" s="4"/>
      <c r="H111" s="4"/>
      <c r="I111" s="4"/>
      <c r="J111" s="19"/>
      <c r="K111" s="4"/>
      <c r="L111" s="4"/>
      <c r="M111" s="4"/>
      <c r="N111" s="4"/>
      <c r="O111" s="4"/>
      <c r="P111" s="4"/>
      <c r="Q111" s="4"/>
      <c r="R111" s="4"/>
      <c r="S111" s="4"/>
      <c r="T111" s="4"/>
      <c r="U111" s="4"/>
      <c r="V111" s="4"/>
    </row>
    <row r="112" spans="1:22" ht="15.75" customHeight="1">
      <c r="A112" s="4"/>
      <c r="B112" s="4"/>
      <c r="C112" s="4"/>
      <c r="D112" s="4"/>
      <c r="E112" s="4"/>
      <c r="F112" s="8"/>
      <c r="G112" s="4"/>
      <c r="H112" s="4"/>
      <c r="I112" s="4"/>
      <c r="J112" s="19"/>
      <c r="K112" s="4"/>
      <c r="L112" s="4"/>
      <c r="M112" s="4"/>
      <c r="N112" s="4"/>
      <c r="O112" s="4"/>
      <c r="P112" s="4"/>
      <c r="Q112" s="4"/>
      <c r="R112" s="4"/>
      <c r="S112" s="4"/>
      <c r="T112" s="4"/>
      <c r="U112" s="4"/>
      <c r="V112" s="4"/>
    </row>
    <row r="113" spans="1:22" ht="15.75" customHeight="1">
      <c r="A113" s="4"/>
      <c r="B113" s="4"/>
      <c r="C113" s="4"/>
      <c r="D113" s="4"/>
      <c r="E113" s="4"/>
      <c r="F113" s="8"/>
      <c r="G113" s="4"/>
      <c r="H113" s="4"/>
      <c r="I113" s="4"/>
      <c r="J113" s="19"/>
      <c r="K113" s="4"/>
      <c r="L113" s="4"/>
      <c r="M113" s="4"/>
      <c r="N113" s="4"/>
      <c r="O113" s="4"/>
      <c r="P113" s="4"/>
      <c r="Q113" s="4"/>
      <c r="R113" s="4"/>
      <c r="S113" s="4"/>
      <c r="T113" s="4"/>
      <c r="U113" s="4"/>
      <c r="V113" s="4"/>
    </row>
    <row r="114" spans="1:22" ht="15.75" customHeight="1">
      <c r="A114" s="4"/>
      <c r="B114" s="4"/>
      <c r="C114" s="4"/>
      <c r="D114" s="4"/>
      <c r="E114" s="4"/>
      <c r="F114" s="8"/>
      <c r="G114" s="4"/>
      <c r="H114" s="4"/>
      <c r="I114" s="4"/>
      <c r="J114" s="19"/>
      <c r="K114" s="4"/>
      <c r="L114" s="4"/>
      <c r="M114" s="4"/>
      <c r="N114" s="4"/>
      <c r="O114" s="4"/>
      <c r="P114" s="4"/>
      <c r="Q114" s="4"/>
      <c r="R114" s="4"/>
      <c r="S114" s="4"/>
      <c r="T114" s="4"/>
      <c r="U114" s="4"/>
      <c r="V114" s="4"/>
    </row>
    <row r="115" spans="1:22" ht="15.75" customHeight="1">
      <c r="A115" s="4"/>
      <c r="B115" s="4"/>
      <c r="C115" s="4"/>
      <c r="D115" s="4"/>
      <c r="E115" s="4"/>
      <c r="F115" s="8"/>
      <c r="G115" s="4"/>
      <c r="H115" s="4"/>
      <c r="I115" s="4"/>
      <c r="J115" s="19"/>
      <c r="K115" s="4"/>
      <c r="L115" s="4"/>
      <c r="M115" s="4"/>
      <c r="N115" s="4"/>
      <c r="O115" s="4"/>
      <c r="P115" s="4"/>
      <c r="Q115" s="4"/>
      <c r="R115" s="4"/>
      <c r="S115" s="4"/>
      <c r="T115" s="4"/>
      <c r="U115" s="4"/>
      <c r="V115" s="4"/>
    </row>
    <row r="116" spans="1:22" ht="15.75" customHeight="1">
      <c r="A116" s="4"/>
      <c r="B116" s="4"/>
      <c r="C116" s="4"/>
      <c r="D116" s="4"/>
      <c r="E116" s="4"/>
      <c r="F116" s="8"/>
      <c r="G116" s="4"/>
      <c r="H116" s="4"/>
      <c r="I116" s="4"/>
      <c r="J116" s="19"/>
      <c r="K116" s="4"/>
      <c r="L116" s="4"/>
      <c r="M116" s="4"/>
      <c r="N116" s="4"/>
      <c r="O116" s="4"/>
      <c r="P116" s="4"/>
      <c r="Q116" s="4"/>
      <c r="R116" s="4"/>
      <c r="S116" s="4"/>
      <c r="T116" s="4"/>
      <c r="U116" s="4"/>
      <c r="V116" s="4"/>
    </row>
    <row r="117" spans="1:22" ht="15.75" customHeight="1">
      <c r="A117" s="4"/>
      <c r="B117" s="4"/>
      <c r="C117" s="4"/>
      <c r="D117" s="4"/>
      <c r="E117" s="4"/>
      <c r="F117" s="8"/>
      <c r="G117" s="4"/>
      <c r="H117" s="4"/>
      <c r="I117" s="4"/>
      <c r="J117" s="19"/>
      <c r="K117" s="4"/>
      <c r="L117" s="4"/>
      <c r="M117" s="4"/>
      <c r="N117" s="4"/>
      <c r="O117" s="4"/>
      <c r="P117" s="4"/>
      <c r="Q117" s="4"/>
      <c r="R117" s="4"/>
      <c r="S117" s="4"/>
      <c r="T117" s="4"/>
      <c r="U117" s="4"/>
      <c r="V117" s="4"/>
    </row>
    <row r="118" spans="1:22" ht="15.75" customHeight="1">
      <c r="A118" s="4"/>
      <c r="B118" s="4"/>
      <c r="C118" s="4"/>
      <c r="D118" s="4"/>
      <c r="E118" s="4"/>
      <c r="F118" s="8"/>
      <c r="G118" s="4"/>
      <c r="H118" s="4"/>
      <c r="I118" s="4"/>
      <c r="J118" s="19"/>
      <c r="K118" s="4"/>
      <c r="L118" s="4"/>
      <c r="M118" s="4"/>
      <c r="N118" s="4"/>
      <c r="O118" s="4"/>
      <c r="P118" s="4"/>
      <c r="Q118" s="4"/>
      <c r="R118" s="4"/>
      <c r="S118" s="4"/>
      <c r="T118" s="4"/>
      <c r="U118" s="4"/>
      <c r="V118" s="4"/>
    </row>
    <row r="119" spans="1:22" ht="15.75" customHeight="1">
      <c r="A119" s="4"/>
      <c r="B119" s="4"/>
      <c r="C119" s="4"/>
      <c r="D119" s="4"/>
      <c r="E119" s="4"/>
      <c r="F119" s="8"/>
      <c r="G119" s="4"/>
      <c r="H119" s="4"/>
      <c r="I119" s="4"/>
      <c r="J119" s="20"/>
      <c r="K119" s="4"/>
      <c r="L119" s="4"/>
      <c r="M119" s="4"/>
      <c r="N119" s="4"/>
      <c r="O119" s="4"/>
      <c r="P119" s="4"/>
      <c r="Q119" s="4"/>
      <c r="R119" s="4"/>
      <c r="S119" s="4"/>
      <c r="T119" s="4"/>
      <c r="U119" s="4"/>
      <c r="V119" s="4"/>
    </row>
    <row r="120" spans="1:22" ht="15.75" customHeight="1">
      <c r="A120" s="4"/>
      <c r="B120" s="4"/>
      <c r="C120" s="4"/>
      <c r="D120" s="4"/>
      <c r="E120" s="4"/>
      <c r="F120" s="8"/>
      <c r="G120" s="4"/>
      <c r="H120" s="4"/>
      <c r="I120" s="4"/>
      <c r="J120" s="20"/>
      <c r="K120" s="4"/>
      <c r="L120" s="4"/>
      <c r="M120" s="4"/>
      <c r="N120" s="4"/>
      <c r="O120" s="4"/>
      <c r="P120" s="4"/>
      <c r="Q120" s="4"/>
      <c r="R120" s="4"/>
      <c r="S120" s="4"/>
      <c r="T120" s="4"/>
      <c r="U120" s="4"/>
      <c r="V120" s="4"/>
    </row>
    <row r="121" spans="1:22" ht="15.75" customHeight="1">
      <c r="A121" s="4"/>
      <c r="B121" s="4"/>
      <c r="C121" s="4"/>
      <c r="D121" s="4"/>
      <c r="E121" s="4"/>
      <c r="F121" s="8"/>
      <c r="G121" s="4"/>
      <c r="H121" s="4"/>
      <c r="I121" s="4"/>
      <c r="J121" s="20"/>
      <c r="K121" s="4"/>
      <c r="L121" s="4"/>
      <c r="M121" s="4"/>
      <c r="N121" s="4"/>
      <c r="O121" s="4"/>
      <c r="P121" s="4"/>
      <c r="Q121" s="4"/>
      <c r="R121" s="4"/>
      <c r="S121" s="4"/>
      <c r="T121" s="4"/>
      <c r="U121" s="4"/>
      <c r="V121" s="4"/>
    </row>
    <row r="122" spans="1:22" ht="15.75" customHeight="1">
      <c r="A122" s="4"/>
      <c r="B122" s="4"/>
      <c r="C122" s="4"/>
      <c r="D122" s="4"/>
      <c r="E122" s="4"/>
      <c r="F122" s="8"/>
      <c r="G122" s="4"/>
      <c r="H122" s="4"/>
      <c r="I122" s="4"/>
      <c r="J122" s="20"/>
      <c r="K122" s="4"/>
      <c r="L122" s="4"/>
      <c r="M122" s="4"/>
      <c r="N122" s="4"/>
      <c r="O122" s="4"/>
      <c r="P122" s="4"/>
      <c r="Q122" s="4"/>
      <c r="R122" s="4"/>
      <c r="S122" s="4"/>
      <c r="T122" s="4"/>
      <c r="U122" s="4"/>
      <c r="V122" s="4"/>
    </row>
    <row r="123" spans="1:22" ht="15.75" customHeight="1">
      <c r="A123" s="4"/>
      <c r="B123" s="4"/>
      <c r="C123" s="4"/>
      <c r="D123" s="4"/>
      <c r="E123" s="4"/>
      <c r="F123" s="8"/>
      <c r="G123" s="4"/>
      <c r="H123" s="4"/>
      <c r="I123" s="4"/>
      <c r="J123" s="20"/>
      <c r="K123" s="4"/>
      <c r="L123" s="4"/>
      <c r="M123" s="4"/>
      <c r="N123" s="4"/>
      <c r="O123" s="4"/>
      <c r="P123" s="4"/>
      <c r="Q123" s="4"/>
      <c r="R123" s="4"/>
      <c r="S123" s="4"/>
      <c r="T123" s="4"/>
      <c r="U123" s="4"/>
      <c r="V123" s="4"/>
    </row>
    <row r="124" spans="1:22" ht="15.75" customHeight="1">
      <c r="A124" s="4"/>
      <c r="B124" s="4"/>
      <c r="C124" s="4"/>
      <c r="D124" s="4"/>
      <c r="E124" s="4"/>
      <c r="F124" s="8"/>
      <c r="G124" s="4"/>
      <c r="H124" s="4"/>
      <c r="I124" s="4"/>
      <c r="J124" s="4"/>
      <c r="K124" s="4"/>
      <c r="L124" s="4"/>
      <c r="M124" s="4"/>
      <c r="N124" s="4"/>
      <c r="O124" s="4"/>
      <c r="P124" s="4"/>
      <c r="Q124" s="4"/>
      <c r="R124" s="4"/>
      <c r="S124" s="4"/>
      <c r="T124" s="4"/>
      <c r="U124" s="4"/>
      <c r="V124" s="4"/>
    </row>
    <row r="125" spans="1:22" ht="15.75" customHeight="1">
      <c r="A125" s="4"/>
      <c r="B125" s="4"/>
      <c r="C125" s="4"/>
      <c r="D125" s="4"/>
      <c r="E125" s="4"/>
      <c r="F125" s="8"/>
      <c r="G125" s="4"/>
      <c r="H125" s="4"/>
      <c r="I125" s="4"/>
      <c r="J125" s="4"/>
      <c r="K125" s="4"/>
      <c r="L125" s="4"/>
      <c r="M125" s="4"/>
      <c r="N125" s="4"/>
      <c r="O125" s="4"/>
      <c r="P125" s="4"/>
      <c r="Q125" s="4"/>
      <c r="R125" s="4"/>
      <c r="S125" s="4"/>
      <c r="T125" s="4"/>
      <c r="U125" s="4"/>
      <c r="V125" s="4"/>
    </row>
    <row r="126" spans="1:22" ht="15.75" customHeight="1">
      <c r="A126" s="4"/>
      <c r="B126" s="4"/>
      <c r="C126" s="4"/>
      <c r="D126" s="4"/>
      <c r="E126" s="4"/>
      <c r="F126" s="8"/>
      <c r="G126" s="4"/>
      <c r="H126" s="4"/>
      <c r="I126" s="4"/>
      <c r="J126" s="4"/>
      <c r="K126" s="4"/>
      <c r="L126" s="4"/>
      <c r="M126" s="4"/>
      <c r="N126" s="4"/>
      <c r="O126" s="4"/>
      <c r="P126" s="4"/>
      <c r="Q126" s="4"/>
      <c r="R126" s="4"/>
      <c r="S126" s="4"/>
      <c r="T126" s="4"/>
      <c r="U126" s="4"/>
      <c r="V126" s="4"/>
    </row>
    <row r="127" spans="1:22" ht="15.75" customHeight="1">
      <c r="A127" s="4"/>
      <c r="B127" s="4"/>
      <c r="C127" s="4"/>
      <c r="D127" s="4"/>
      <c r="E127" s="4"/>
      <c r="F127" s="8"/>
      <c r="G127" s="4"/>
      <c r="H127" s="4"/>
      <c r="I127" s="4"/>
      <c r="J127" s="4"/>
      <c r="K127" s="4"/>
      <c r="L127" s="4"/>
      <c r="M127" s="4"/>
      <c r="N127" s="4"/>
      <c r="O127" s="4"/>
      <c r="P127" s="4"/>
      <c r="Q127" s="4"/>
      <c r="R127" s="4"/>
      <c r="S127" s="4"/>
      <c r="T127" s="4"/>
      <c r="U127" s="4"/>
      <c r="V127" s="4"/>
    </row>
    <row r="128" spans="1:22" ht="15.75" customHeight="1">
      <c r="A128" s="4"/>
      <c r="B128" s="4"/>
      <c r="C128" s="4"/>
      <c r="D128" s="4"/>
      <c r="E128" s="4"/>
      <c r="F128" s="8"/>
      <c r="G128" s="4"/>
      <c r="H128" s="4"/>
      <c r="I128" s="4"/>
      <c r="J128" s="4"/>
      <c r="K128" s="4"/>
      <c r="L128" s="4"/>
      <c r="M128" s="4"/>
      <c r="N128" s="4"/>
      <c r="O128" s="4"/>
      <c r="P128" s="4"/>
      <c r="Q128" s="4"/>
      <c r="R128" s="4"/>
      <c r="S128" s="4"/>
      <c r="T128" s="4"/>
      <c r="U128" s="4"/>
      <c r="V128" s="4"/>
    </row>
    <row r="129" spans="1:22" ht="15.75" customHeight="1">
      <c r="A129" s="4"/>
      <c r="B129" s="4"/>
      <c r="C129" s="4"/>
      <c r="D129" s="4"/>
      <c r="E129" s="4"/>
      <c r="F129" s="8"/>
      <c r="G129" s="4"/>
      <c r="H129" s="4"/>
      <c r="I129" s="4"/>
      <c r="J129" s="4"/>
      <c r="K129" s="4"/>
      <c r="L129" s="4"/>
      <c r="M129" s="4"/>
      <c r="N129" s="4"/>
      <c r="O129" s="4"/>
      <c r="P129" s="4"/>
      <c r="Q129" s="4"/>
      <c r="R129" s="4"/>
      <c r="S129" s="4"/>
      <c r="T129" s="4"/>
      <c r="U129" s="4"/>
      <c r="V129" s="4"/>
    </row>
    <row r="130" spans="1:22" ht="15.75" customHeight="1">
      <c r="A130" s="4"/>
      <c r="B130" s="4"/>
      <c r="C130" s="4"/>
      <c r="D130" s="4"/>
      <c r="E130" s="4"/>
      <c r="F130" s="8"/>
      <c r="G130" s="4"/>
      <c r="H130" s="4"/>
      <c r="I130" s="4"/>
      <c r="J130" s="4"/>
      <c r="K130" s="4"/>
      <c r="L130" s="4"/>
      <c r="M130" s="4"/>
      <c r="N130" s="4"/>
      <c r="O130" s="4"/>
      <c r="P130" s="4"/>
      <c r="Q130" s="4"/>
      <c r="R130" s="4"/>
      <c r="S130" s="4"/>
      <c r="T130" s="4"/>
      <c r="U130" s="4"/>
      <c r="V130" s="4"/>
    </row>
    <row r="131" spans="1:22" ht="15.75" customHeight="1">
      <c r="A131" s="4"/>
      <c r="B131" s="4"/>
      <c r="C131" s="4"/>
      <c r="D131" s="4"/>
      <c r="E131" s="4"/>
      <c r="F131" s="8"/>
      <c r="G131" s="4"/>
      <c r="H131" s="4"/>
      <c r="I131" s="4"/>
      <c r="J131" s="4"/>
      <c r="K131" s="4"/>
      <c r="L131" s="4"/>
      <c r="M131" s="4"/>
      <c r="N131" s="4"/>
      <c r="O131" s="4"/>
      <c r="P131" s="4"/>
      <c r="Q131" s="4"/>
      <c r="R131" s="4"/>
      <c r="S131" s="4"/>
      <c r="T131" s="4"/>
      <c r="U131" s="4"/>
      <c r="V131" s="4"/>
    </row>
    <row r="132" spans="1:22" ht="15.75" customHeight="1">
      <c r="A132" s="4"/>
      <c r="B132" s="4"/>
      <c r="C132" s="4"/>
      <c r="D132" s="4"/>
      <c r="E132" s="4"/>
      <c r="F132" s="8"/>
      <c r="G132" s="4"/>
      <c r="H132" s="4"/>
      <c r="I132" s="4"/>
      <c r="J132" s="4"/>
      <c r="K132" s="4"/>
      <c r="L132" s="4"/>
      <c r="M132" s="4"/>
      <c r="N132" s="4"/>
      <c r="O132" s="4"/>
      <c r="P132" s="4"/>
      <c r="Q132" s="4"/>
      <c r="R132" s="4"/>
      <c r="S132" s="4"/>
      <c r="T132" s="4"/>
      <c r="U132" s="4"/>
      <c r="V132" s="4"/>
    </row>
    <row r="133" spans="1:22" ht="15.75" customHeight="1">
      <c r="A133" s="4"/>
      <c r="B133" s="4"/>
      <c r="C133" s="4"/>
      <c r="D133" s="4"/>
      <c r="E133" s="4"/>
      <c r="F133" s="8"/>
      <c r="G133" s="4"/>
      <c r="H133" s="4"/>
      <c r="I133" s="4"/>
      <c r="J133" s="4"/>
      <c r="K133" s="4"/>
      <c r="L133" s="4"/>
      <c r="M133" s="4"/>
      <c r="N133" s="4"/>
      <c r="O133" s="4"/>
      <c r="P133" s="4"/>
      <c r="Q133" s="4"/>
      <c r="R133" s="4"/>
      <c r="S133" s="4"/>
      <c r="T133" s="4"/>
      <c r="U133" s="4"/>
      <c r="V133" s="4"/>
    </row>
    <row r="134" spans="1:22" ht="15.75" customHeight="1">
      <c r="A134" s="4"/>
      <c r="B134" s="4"/>
      <c r="C134" s="4"/>
      <c r="D134" s="4"/>
      <c r="E134" s="4"/>
      <c r="F134" s="8"/>
      <c r="G134" s="4"/>
      <c r="H134" s="4"/>
      <c r="I134" s="4"/>
      <c r="J134" s="4"/>
      <c r="K134" s="4"/>
      <c r="L134" s="4"/>
      <c r="M134" s="4"/>
      <c r="N134" s="4"/>
      <c r="O134" s="4"/>
      <c r="P134" s="4"/>
      <c r="Q134" s="4"/>
      <c r="R134" s="4"/>
      <c r="S134" s="4"/>
      <c r="T134" s="4"/>
      <c r="U134" s="4"/>
      <c r="V134" s="4"/>
    </row>
    <row r="135" spans="1:22" ht="15.75" customHeight="1">
      <c r="A135" s="4"/>
      <c r="B135" s="4"/>
      <c r="C135" s="4"/>
      <c r="D135" s="4"/>
      <c r="E135" s="4"/>
      <c r="F135" s="8"/>
      <c r="G135" s="4"/>
      <c r="H135" s="4"/>
      <c r="I135" s="4"/>
      <c r="J135" s="4"/>
      <c r="K135" s="4"/>
      <c r="L135" s="4"/>
      <c r="M135" s="4"/>
      <c r="N135" s="4"/>
      <c r="O135" s="4"/>
      <c r="P135" s="4"/>
      <c r="Q135" s="4"/>
      <c r="R135" s="4"/>
      <c r="S135" s="4"/>
      <c r="T135" s="4"/>
      <c r="U135" s="4"/>
      <c r="V135" s="4"/>
    </row>
    <row r="136" spans="1:22" ht="15.75" customHeight="1">
      <c r="A136" s="4"/>
      <c r="B136" s="4"/>
      <c r="C136" s="4"/>
      <c r="D136" s="4"/>
      <c r="E136" s="4"/>
      <c r="F136" s="8"/>
      <c r="G136" s="4"/>
      <c r="H136" s="4"/>
      <c r="I136" s="4"/>
      <c r="J136" s="4"/>
      <c r="K136" s="4"/>
      <c r="L136" s="4"/>
      <c r="M136" s="4"/>
      <c r="N136" s="4"/>
      <c r="O136" s="4"/>
      <c r="P136" s="4"/>
      <c r="Q136" s="4"/>
      <c r="R136" s="4"/>
      <c r="S136" s="4"/>
      <c r="T136" s="4"/>
      <c r="U136" s="4"/>
      <c r="V136" s="4"/>
    </row>
    <row r="137" spans="1:22" ht="15.75" customHeight="1">
      <c r="A137" s="4"/>
      <c r="B137" s="4"/>
      <c r="C137" s="4"/>
      <c r="D137" s="4"/>
      <c r="E137" s="4"/>
      <c r="F137" s="8"/>
      <c r="G137" s="4"/>
      <c r="H137" s="4"/>
      <c r="I137" s="4"/>
      <c r="J137" s="4"/>
      <c r="K137" s="4"/>
      <c r="L137" s="4"/>
      <c r="M137" s="4"/>
      <c r="N137" s="4"/>
      <c r="O137" s="4"/>
      <c r="P137" s="4"/>
      <c r="Q137" s="4"/>
      <c r="R137" s="4"/>
      <c r="S137" s="4"/>
      <c r="T137" s="4"/>
      <c r="U137" s="4"/>
      <c r="V137" s="4"/>
    </row>
    <row r="138" spans="1:22" ht="15.75" customHeight="1">
      <c r="A138" s="4"/>
      <c r="B138" s="4"/>
      <c r="C138" s="4"/>
      <c r="D138" s="4"/>
      <c r="E138" s="4"/>
      <c r="F138" s="8"/>
      <c r="G138" s="4"/>
      <c r="H138" s="4"/>
      <c r="I138" s="4"/>
      <c r="J138" s="4"/>
      <c r="K138" s="4"/>
      <c r="L138" s="4"/>
      <c r="M138" s="4"/>
      <c r="N138" s="4"/>
      <c r="O138" s="4"/>
      <c r="P138" s="4"/>
      <c r="Q138" s="4"/>
      <c r="R138" s="4"/>
      <c r="S138" s="4"/>
      <c r="T138" s="4"/>
      <c r="U138" s="4"/>
      <c r="V138" s="4"/>
    </row>
    <row r="139" spans="1:22" ht="15.75" customHeight="1">
      <c r="A139" s="4"/>
      <c r="B139" s="4"/>
      <c r="C139" s="4"/>
      <c r="D139" s="4"/>
      <c r="E139" s="4"/>
      <c r="F139" s="8"/>
      <c r="G139" s="4"/>
      <c r="H139" s="4"/>
      <c r="I139" s="4"/>
      <c r="J139" s="4"/>
      <c r="K139" s="4"/>
      <c r="L139" s="4"/>
      <c r="M139" s="4"/>
      <c r="N139" s="4"/>
      <c r="O139" s="4"/>
      <c r="P139" s="4"/>
      <c r="Q139" s="4"/>
      <c r="R139" s="4"/>
      <c r="S139" s="4"/>
      <c r="T139" s="4"/>
      <c r="U139" s="4"/>
      <c r="V139" s="4"/>
    </row>
    <row r="140" spans="1:22" ht="15.75" customHeight="1">
      <c r="A140" s="4"/>
      <c r="B140" s="4"/>
      <c r="C140" s="4"/>
      <c r="D140" s="4"/>
      <c r="E140" s="4"/>
      <c r="F140" s="8"/>
      <c r="G140" s="4"/>
      <c r="H140" s="4"/>
      <c r="I140" s="4"/>
      <c r="J140" s="4"/>
      <c r="K140" s="4"/>
      <c r="L140" s="4"/>
      <c r="M140" s="4"/>
      <c r="N140" s="4"/>
      <c r="O140" s="4"/>
      <c r="P140" s="4"/>
      <c r="Q140" s="4"/>
      <c r="R140" s="4"/>
      <c r="S140" s="4"/>
      <c r="T140" s="4"/>
      <c r="U140" s="4"/>
      <c r="V140" s="4"/>
    </row>
    <row r="141" spans="1:22" ht="15.75" customHeight="1">
      <c r="A141" s="4"/>
      <c r="B141" s="4"/>
      <c r="C141" s="4"/>
      <c r="D141" s="4"/>
      <c r="E141" s="4"/>
      <c r="F141" s="8"/>
      <c r="G141" s="4"/>
      <c r="H141" s="4"/>
      <c r="I141" s="4"/>
      <c r="J141" s="4"/>
      <c r="K141" s="4"/>
      <c r="L141" s="4"/>
      <c r="M141" s="4"/>
      <c r="N141" s="4"/>
      <c r="O141" s="4"/>
      <c r="P141" s="4"/>
      <c r="Q141" s="4"/>
      <c r="R141" s="4"/>
      <c r="S141" s="4"/>
      <c r="T141" s="4"/>
      <c r="U141" s="4"/>
      <c r="V141" s="4"/>
    </row>
    <row r="142" spans="1:22" ht="15.75" customHeight="1">
      <c r="A142" s="4"/>
      <c r="B142" s="4"/>
      <c r="C142" s="4"/>
      <c r="D142" s="4"/>
      <c r="E142" s="4"/>
      <c r="F142" s="8"/>
      <c r="G142" s="4"/>
      <c r="H142" s="4"/>
      <c r="I142" s="4"/>
      <c r="J142" s="4"/>
      <c r="K142" s="4"/>
      <c r="L142" s="4"/>
      <c r="M142" s="4"/>
      <c r="N142" s="4"/>
      <c r="O142" s="4"/>
      <c r="P142" s="4"/>
      <c r="Q142" s="4"/>
      <c r="R142" s="4"/>
      <c r="S142" s="4"/>
      <c r="T142" s="4"/>
      <c r="U142" s="4"/>
      <c r="V142" s="4"/>
    </row>
    <row r="143" spans="1:22" ht="15.75" customHeight="1">
      <c r="A143" s="4"/>
      <c r="B143" s="4"/>
      <c r="C143" s="4"/>
      <c r="D143" s="4"/>
      <c r="E143" s="4"/>
      <c r="F143" s="8"/>
      <c r="G143" s="4"/>
      <c r="H143" s="4"/>
      <c r="I143" s="4"/>
      <c r="J143" s="4"/>
      <c r="K143" s="4"/>
      <c r="L143" s="4"/>
      <c r="M143" s="4"/>
      <c r="N143" s="4"/>
      <c r="O143" s="4"/>
      <c r="P143" s="4"/>
      <c r="Q143" s="4"/>
      <c r="R143" s="4"/>
      <c r="S143" s="4"/>
      <c r="T143" s="4"/>
      <c r="U143" s="4"/>
      <c r="V143" s="4"/>
    </row>
    <row r="144" spans="1:22" ht="15.75" customHeight="1">
      <c r="A144" s="4"/>
      <c r="B144" s="4"/>
      <c r="C144" s="4"/>
      <c r="D144" s="4"/>
      <c r="E144" s="4"/>
      <c r="F144" s="8"/>
      <c r="G144" s="4"/>
      <c r="H144" s="4"/>
      <c r="I144" s="4"/>
      <c r="J144" s="4"/>
      <c r="K144" s="4"/>
      <c r="L144" s="4"/>
      <c r="M144" s="4"/>
      <c r="N144" s="4"/>
      <c r="O144" s="4"/>
      <c r="P144" s="4"/>
      <c r="Q144" s="4"/>
      <c r="R144" s="4"/>
      <c r="S144" s="4"/>
      <c r="T144" s="4"/>
      <c r="U144" s="4"/>
      <c r="V144" s="4"/>
    </row>
    <row r="145" spans="1:22" ht="15.75" customHeight="1">
      <c r="A145" s="4"/>
      <c r="B145" s="4"/>
      <c r="C145" s="4"/>
      <c r="D145" s="4"/>
      <c r="E145" s="4"/>
      <c r="F145" s="8"/>
      <c r="G145" s="4"/>
      <c r="H145" s="4"/>
      <c r="I145" s="4"/>
      <c r="J145" s="4"/>
      <c r="K145" s="4"/>
      <c r="L145" s="4"/>
      <c r="M145" s="4"/>
      <c r="N145" s="4"/>
      <c r="O145" s="4"/>
      <c r="P145" s="4"/>
      <c r="Q145" s="4"/>
      <c r="R145" s="4"/>
      <c r="S145" s="4"/>
      <c r="T145" s="4"/>
      <c r="U145" s="4"/>
      <c r="V145" s="4"/>
    </row>
    <row r="146" spans="1:22" ht="15.75" customHeight="1">
      <c r="F146" s="8"/>
    </row>
    <row r="147" spans="1:22" ht="15.75" customHeight="1">
      <c r="F147" s="8"/>
    </row>
    <row r="148" spans="1:22" ht="15.75" customHeight="1">
      <c r="F148" s="8"/>
    </row>
    <row r="149" spans="1:22" ht="15.75" customHeight="1">
      <c r="F149" s="8"/>
    </row>
    <row r="150" spans="1:22" ht="15.75" customHeight="1">
      <c r="F150" s="8"/>
    </row>
    <row r="151" spans="1:22" ht="15.75" customHeight="1">
      <c r="F151" s="8"/>
    </row>
    <row r="152" spans="1:22" ht="15.75" customHeight="1">
      <c r="F152" s="8"/>
    </row>
    <row r="153" spans="1:22" ht="15.75" customHeight="1">
      <c r="F153" s="8"/>
    </row>
    <row r="154" spans="1:22" ht="15.75" customHeight="1">
      <c r="F154" s="8"/>
    </row>
    <row r="155" spans="1:22" ht="15.75" customHeight="1">
      <c r="F155" s="8"/>
    </row>
    <row r="156" spans="1:22" ht="15.75" customHeight="1">
      <c r="F156" s="8"/>
    </row>
    <row r="157" spans="1:22" ht="15.75" customHeight="1">
      <c r="F157" s="8"/>
    </row>
    <row r="158" spans="1:22" ht="15.75" customHeight="1">
      <c r="F158" s="8"/>
    </row>
    <row r="159" spans="1:22" ht="15.75" customHeight="1">
      <c r="F159" s="8"/>
    </row>
    <row r="160" spans="1:22" ht="15.75" customHeight="1">
      <c r="F160" s="8"/>
    </row>
    <row r="161" spans="6:6" ht="15.75" customHeight="1">
      <c r="F161" s="8"/>
    </row>
    <row r="162" spans="6:6" ht="15.75" customHeight="1">
      <c r="F162" s="8"/>
    </row>
    <row r="163" spans="6:6" ht="15.75" customHeight="1">
      <c r="F163" s="8"/>
    </row>
    <row r="164" spans="6:6" ht="15.75" customHeight="1">
      <c r="F164" s="8"/>
    </row>
    <row r="165" spans="6:6" ht="15.75" customHeight="1">
      <c r="F165" s="8"/>
    </row>
    <row r="166" spans="6:6" ht="15.75" customHeight="1">
      <c r="F166" s="8"/>
    </row>
    <row r="167" spans="6:6" ht="15.75" customHeight="1">
      <c r="F167" s="8"/>
    </row>
    <row r="168" spans="6:6" ht="15.75" customHeight="1">
      <c r="F168" s="8"/>
    </row>
    <row r="169" spans="6:6" ht="15.75" customHeight="1">
      <c r="F169" s="8"/>
    </row>
    <row r="170" spans="6:6" ht="15.75" customHeight="1">
      <c r="F170" s="8"/>
    </row>
    <row r="171" spans="6:6" ht="15.75" customHeight="1">
      <c r="F171" s="8"/>
    </row>
    <row r="172" spans="6:6" ht="15.75" customHeight="1">
      <c r="F172" s="8"/>
    </row>
    <row r="173" spans="6:6" ht="15.75" customHeight="1">
      <c r="F173" s="8"/>
    </row>
    <row r="174" spans="6:6" ht="15.75" customHeight="1">
      <c r="F174" s="8"/>
    </row>
    <row r="175" spans="6:6" ht="15.75" customHeight="1">
      <c r="F175" s="8"/>
    </row>
    <row r="176" spans="6:6" ht="15.75" customHeight="1">
      <c r="F176" s="8"/>
    </row>
    <row r="177" spans="6:6" ht="15.75" customHeight="1">
      <c r="F177" s="8"/>
    </row>
    <row r="178" spans="6:6" ht="15.75" customHeight="1">
      <c r="F178" s="8"/>
    </row>
    <row r="179" spans="6:6" ht="15.75" customHeight="1">
      <c r="F179" s="8"/>
    </row>
    <row r="180" spans="6:6" ht="15.75" customHeight="1">
      <c r="F180" s="8"/>
    </row>
    <row r="181" spans="6:6" ht="15.75" customHeight="1">
      <c r="F181" s="8"/>
    </row>
    <row r="182" spans="6:6" ht="15.75" customHeight="1">
      <c r="F182" s="8"/>
    </row>
    <row r="183" spans="6:6" ht="15.75" customHeight="1">
      <c r="F183" s="8"/>
    </row>
    <row r="184" spans="6:6" ht="15.75" customHeight="1">
      <c r="F184" s="8"/>
    </row>
    <row r="185" spans="6:6" ht="15.75" customHeight="1">
      <c r="F185" s="8"/>
    </row>
    <row r="186" spans="6:6" ht="15.75" customHeight="1">
      <c r="F186" s="8"/>
    </row>
    <row r="187" spans="6:6" ht="15.75" customHeight="1">
      <c r="F187" s="8"/>
    </row>
    <row r="188" spans="6:6" ht="15.75" customHeight="1">
      <c r="F188" s="8"/>
    </row>
    <row r="189" spans="6:6" ht="15.75" customHeight="1">
      <c r="F189" s="8"/>
    </row>
    <row r="190" spans="6:6" ht="15.75" customHeight="1">
      <c r="F190" s="8"/>
    </row>
    <row r="191" spans="6:6" ht="15.75" customHeight="1">
      <c r="F191" s="8"/>
    </row>
    <row r="192" spans="6:6" ht="15.75" customHeight="1">
      <c r="F192" s="8"/>
    </row>
    <row r="193" spans="6:6" ht="15.75" customHeight="1">
      <c r="F193" s="8"/>
    </row>
    <row r="194" spans="6:6" ht="15.75" customHeight="1">
      <c r="F194" s="8"/>
    </row>
    <row r="195" spans="6:6" ht="15.75" customHeight="1">
      <c r="F195" s="8"/>
    </row>
    <row r="196" spans="6:6" ht="15.75" customHeight="1">
      <c r="F196" s="8"/>
    </row>
    <row r="197" spans="6:6" ht="15.75" customHeight="1">
      <c r="F197" s="8"/>
    </row>
    <row r="198" spans="6:6" ht="15.75" customHeight="1">
      <c r="F198" s="8"/>
    </row>
    <row r="199" spans="6:6" ht="15.75" customHeight="1">
      <c r="F199" s="8"/>
    </row>
    <row r="200" spans="6:6" ht="15.75" customHeight="1">
      <c r="F200" s="8"/>
    </row>
    <row r="201" spans="6:6" ht="15.75" customHeight="1">
      <c r="F201" s="8"/>
    </row>
    <row r="202" spans="6:6" ht="15.75" customHeight="1">
      <c r="F202" s="8"/>
    </row>
    <row r="203" spans="6:6" ht="15.75" customHeight="1">
      <c r="F203" s="8"/>
    </row>
    <row r="204" spans="6:6" ht="15.75" customHeight="1">
      <c r="F204" s="8"/>
    </row>
    <row r="205" spans="6:6" ht="15.75" customHeight="1">
      <c r="F205" s="8"/>
    </row>
    <row r="206" spans="6:6" ht="15.75" customHeight="1">
      <c r="F206" s="8"/>
    </row>
    <row r="207" spans="6:6" ht="15.75" customHeight="1">
      <c r="F207" s="8"/>
    </row>
    <row r="208" spans="6:6" ht="15.75" customHeight="1">
      <c r="F208" s="8"/>
    </row>
    <row r="209" spans="6:6" ht="15.75" customHeight="1">
      <c r="F209" s="8"/>
    </row>
    <row r="210" spans="6:6" ht="15.75" customHeight="1">
      <c r="F210" s="8"/>
    </row>
    <row r="211" spans="6:6" ht="15.75" customHeight="1">
      <c r="F211" s="8"/>
    </row>
    <row r="212" spans="6:6" ht="15.75" customHeight="1">
      <c r="F212" s="8"/>
    </row>
    <row r="213" spans="6:6" ht="15.75" customHeight="1">
      <c r="F213" s="8"/>
    </row>
    <row r="214" spans="6:6" ht="15.75" customHeight="1">
      <c r="F214" s="8"/>
    </row>
    <row r="215" spans="6:6" ht="15.75" customHeight="1">
      <c r="F215" s="8"/>
    </row>
    <row r="216" spans="6:6" ht="15.75" customHeight="1">
      <c r="F216" s="8"/>
    </row>
    <row r="217" spans="6:6" ht="15.75" customHeight="1">
      <c r="F217" s="8"/>
    </row>
    <row r="218" spans="6:6" ht="15.75" customHeight="1">
      <c r="F218" s="8"/>
    </row>
    <row r="219" spans="6:6" ht="15.75" customHeight="1">
      <c r="F219" s="8"/>
    </row>
    <row r="220" spans="6:6" ht="15.75" customHeight="1">
      <c r="F220" s="8"/>
    </row>
    <row r="221" spans="6:6" ht="15.75" customHeight="1">
      <c r="F221" s="8"/>
    </row>
    <row r="222" spans="6:6" ht="15.75" customHeight="1">
      <c r="F222" s="8"/>
    </row>
    <row r="223" spans="6:6" ht="15.75" customHeight="1">
      <c r="F223" s="8"/>
    </row>
    <row r="224" spans="6:6" ht="15.75" customHeight="1">
      <c r="F224" s="8"/>
    </row>
    <row r="225" spans="6:6" ht="15.75" customHeight="1">
      <c r="F225" s="8"/>
    </row>
    <row r="226" spans="6:6" ht="15.75" customHeight="1">
      <c r="F226" s="8"/>
    </row>
    <row r="227" spans="6:6" ht="15.75" customHeight="1">
      <c r="F227" s="8"/>
    </row>
    <row r="228" spans="6:6" ht="15.75" customHeight="1">
      <c r="F228" s="8"/>
    </row>
    <row r="229" spans="6:6" ht="15.75" customHeight="1">
      <c r="F229" s="8"/>
    </row>
    <row r="230" spans="6:6" ht="15.75" customHeight="1">
      <c r="F230" s="8"/>
    </row>
    <row r="231" spans="6:6" ht="15.75" customHeight="1">
      <c r="F231" s="8"/>
    </row>
    <row r="232" spans="6:6" ht="15.75" customHeight="1">
      <c r="F232" s="8"/>
    </row>
    <row r="233" spans="6:6" ht="15.75" customHeight="1">
      <c r="F233" s="8"/>
    </row>
    <row r="234" spans="6:6" ht="15.75" customHeight="1">
      <c r="F234" s="8"/>
    </row>
    <row r="235" spans="6:6" ht="15.75" customHeight="1">
      <c r="F235" s="8"/>
    </row>
    <row r="236" spans="6:6" ht="15.75" customHeight="1">
      <c r="F236" s="8"/>
    </row>
    <row r="237" spans="6:6" ht="15.75" customHeight="1">
      <c r="F237" s="8"/>
    </row>
    <row r="238" spans="6:6" ht="15.75" customHeight="1">
      <c r="F238" s="8"/>
    </row>
    <row r="239" spans="6:6" ht="15.75" customHeight="1">
      <c r="F239" s="8"/>
    </row>
    <row r="240" spans="6:6" ht="15.75" customHeight="1">
      <c r="F240" s="8"/>
    </row>
    <row r="241" spans="6:6" ht="15.75" customHeight="1">
      <c r="F241" s="8"/>
    </row>
    <row r="242" spans="6:6" ht="15.75" customHeight="1">
      <c r="F242" s="8"/>
    </row>
    <row r="243" spans="6:6" ht="15.75" customHeight="1">
      <c r="F243" s="8"/>
    </row>
    <row r="244" spans="6:6" ht="15.75" customHeight="1">
      <c r="F244" s="8"/>
    </row>
    <row r="245" spans="6:6" ht="15.75" customHeight="1">
      <c r="F245" s="8"/>
    </row>
    <row r="246" spans="6:6" ht="15.75" customHeight="1">
      <c r="F246" s="8"/>
    </row>
    <row r="247" spans="6:6" ht="15.75" customHeight="1">
      <c r="F247" s="8"/>
    </row>
    <row r="248" spans="6:6" ht="15.75" customHeight="1">
      <c r="F248" s="8"/>
    </row>
    <row r="249" spans="6:6" ht="15.75" customHeight="1">
      <c r="F249" s="8"/>
    </row>
    <row r="250" spans="6:6" ht="15.75" customHeight="1">
      <c r="F250" s="8"/>
    </row>
    <row r="251" spans="6:6" ht="15.75" customHeight="1">
      <c r="F251" s="8"/>
    </row>
    <row r="252" spans="6:6" ht="15.75" customHeight="1">
      <c r="F252" s="8"/>
    </row>
    <row r="253" spans="6:6" ht="15.75" customHeight="1">
      <c r="F253" s="8"/>
    </row>
    <row r="254" spans="6:6" ht="15.75" customHeight="1">
      <c r="F254" s="8"/>
    </row>
    <row r="255" spans="6:6" ht="15.75" customHeight="1">
      <c r="F255" s="8"/>
    </row>
    <row r="256" spans="6:6" ht="15.75" customHeight="1">
      <c r="F256" s="8"/>
    </row>
    <row r="257" spans="6:6" ht="15.75" customHeight="1">
      <c r="F257" s="8"/>
    </row>
    <row r="258" spans="6:6" ht="15.75" customHeight="1">
      <c r="F258" s="8"/>
    </row>
    <row r="259" spans="6:6" ht="15.75" customHeight="1">
      <c r="F259" s="8"/>
    </row>
    <row r="260" spans="6:6" ht="15.75" customHeight="1">
      <c r="F260" s="8"/>
    </row>
    <row r="261" spans="6:6" ht="15.75" customHeight="1">
      <c r="F261" s="8"/>
    </row>
    <row r="262" spans="6:6" ht="15.75" customHeight="1">
      <c r="F262" s="8"/>
    </row>
    <row r="263" spans="6:6" ht="15.75" customHeight="1">
      <c r="F263" s="8"/>
    </row>
    <row r="264" spans="6:6" ht="15.75" customHeight="1">
      <c r="F264" s="8"/>
    </row>
    <row r="265" spans="6:6" ht="15.75" customHeight="1">
      <c r="F265" s="8"/>
    </row>
    <row r="266" spans="6:6" ht="15.75" customHeight="1">
      <c r="F266" s="8"/>
    </row>
    <row r="267" spans="6:6" ht="15.75" customHeight="1">
      <c r="F267" s="8"/>
    </row>
    <row r="268" spans="6:6" ht="15.75" customHeight="1">
      <c r="F268" s="8"/>
    </row>
    <row r="269" spans="6:6" ht="15.75" customHeight="1">
      <c r="F269" s="8"/>
    </row>
    <row r="270" spans="6:6" ht="15.75" customHeight="1">
      <c r="F270" s="8"/>
    </row>
    <row r="271" spans="6:6" ht="15.75" customHeight="1">
      <c r="F271" s="8"/>
    </row>
    <row r="272" spans="6:6" ht="15.75" customHeight="1">
      <c r="F272" s="8"/>
    </row>
    <row r="273" spans="6:6" ht="15.75" customHeight="1">
      <c r="F273" s="8"/>
    </row>
    <row r="274" spans="6:6" ht="15.75" customHeight="1">
      <c r="F274" s="8"/>
    </row>
    <row r="275" spans="6:6" ht="15.75" customHeight="1">
      <c r="F275" s="8"/>
    </row>
    <row r="276" spans="6:6" ht="15.75" customHeight="1">
      <c r="F276" s="8"/>
    </row>
    <row r="277" spans="6:6" ht="15.75" customHeight="1">
      <c r="F277" s="8"/>
    </row>
    <row r="278" spans="6:6" ht="15.75" customHeight="1">
      <c r="F278" s="8"/>
    </row>
    <row r="279" spans="6:6" ht="15.75" customHeight="1">
      <c r="F279" s="8"/>
    </row>
    <row r="280" spans="6:6" ht="15.75" customHeight="1">
      <c r="F280" s="8"/>
    </row>
    <row r="281" spans="6:6" ht="15.75" customHeight="1">
      <c r="F281" s="8"/>
    </row>
    <row r="282" spans="6:6" ht="15.75" customHeight="1">
      <c r="F282" s="8"/>
    </row>
    <row r="283" spans="6:6" ht="15.75" customHeight="1">
      <c r="F283" s="8"/>
    </row>
    <row r="284" spans="6:6" ht="15.75" customHeight="1">
      <c r="F284" s="8"/>
    </row>
    <row r="285" spans="6:6" ht="15.75" customHeight="1">
      <c r="F285" s="8"/>
    </row>
    <row r="286" spans="6:6" ht="15.75" customHeight="1">
      <c r="F286" s="8"/>
    </row>
    <row r="287" spans="6:6" ht="15.75" customHeight="1">
      <c r="F287" s="8"/>
    </row>
    <row r="288" spans="6:6" ht="15.75" customHeight="1">
      <c r="F288" s="8"/>
    </row>
    <row r="289" spans="6:6" ht="15.75" customHeight="1">
      <c r="F289" s="8"/>
    </row>
    <row r="290" spans="6:6" ht="15.75" customHeight="1">
      <c r="F290" s="8"/>
    </row>
    <row r="291" spans="6:6" ht="15.75" customHeight="1">
      <c r="F291" s="8"/>
    </row>
    <row r="292" spans="6:6" ht="15.75" customHeight="1">
      <c r="F292" s="8"/>
    </row>
    <row r="293" spans="6:6" ht="15.75" customHeight="1">
      <c r="F293" s="8"/>
    </row>
    <row r="294" spans="6:6" ht="15.75" customHeight="1">
      <c r="F294" s="8"/>
    </row>
    <row r="295" spans="6:6" ht="15.75" customHeight="1">
      <c r="F295" s="8"/>
    </row>
    <row r="296" spans="6:6" ht="15.75" customHeight="1">
      <c r="F296" s="8"/>
    </row>
    <row r="297" spans="6:6" ht="15.75" customHeight="1">
      <c r="F297" s="8"/>
    </row>
    <row r="298" spans="6:6" ht="15.75" customHeight="1">
      <c r="F298" s="8"/>
    </row>
    <row r="299" spans="6:6" ht="15.75" customHeight="1">
      <c r="F299" s="8"/>
    </row>
    <row r="300" spans="6:6" ht="15.75" customHeight="1">
      <c r="F300" s="8"/>
    </row>
    <row r="301" spans="6:6" ht="15.75" customHeight="1">
      <c r="F301" s="8"/>
    </row>
    <row r="302" spans="6:6" ht="15.75" customHeight="1">
      <c r="F302" s="8"/>
    </row>
    <row r="303" spans="6:6" ht="15.75" customHeight="1">
      <c r="F303" s="8"/>
    </row>
    <row r="304" spans="6:6" ht="15.75" customHeight="1">
      <c r="F304" s="8"/>
    </row>
    <row r="305" spans="6:6" ht="15.75" customHeight="1">
      <c r="F305" s="8"/>
    </row>
    <row r="306" spans="6:6" ht="15.75" customHeight="1">
      <c r="F306" s="8"/>
    </row>
    <row r="307" spans="6:6" ht="15.75" customHeight="1">
      <c r="F307" s="8"/>
    </row>
    <row r="308" spans="6:6" ht="15.75" customHeight="1">
      <c r="F308" s="8"/>
    </row>
    <row r="309" spans="6:6" ht="15.75" customHeight="1">
      <c r="F309" s="8"/>
    </row>
    <row r="310" spans="6:6" ht="15.75" customHeight="1">
      <c r="F310" s="8"/>
    </row>
    <row r="311" spans="6:6" ht="15.75" customHeight="1">
      <c r="F311" s="8"/>
    </row>
    <row r="312" spans="6:6" ht="15.75" customHeight="1">
      <c r="F312" s="8"/>
    </row>
    <row r="313" spans="6:6" ht="15.75" customHeight="1">
      <c r="F313" s="8"/>
    </row>
    <row r="314" spans="6:6" ht="15.75" customHeight="1">
      <c r="F314" s="8"/>
    </row>
    <row r="315" spans="6:6" ht="15.75" customHeight="1">
      <c r="F315" s="8"/>
    </row>
    <row r="316" spans="6:6" ht="15.75" customHeight="1">
      <c r="F316" s="8"/>
    </row>
    <row r="317" spans="6:6" ht="15.75" customHeight="1">
      <c r="F317" s="8"/>
    </row>
    <row r="318" spans="6:6" ht="15.75" customHeight="1">
      <c r="F318" s="8"/>
    </row>
    <row r="319" spans="6:6" ht="15.75" customHeight="1">
      <c r="F319" s="8"/>
    </row>
    <row r="320" spans="6:6" ht="15.75" customHeight="1">
      <c r="F320" s="8"/>
    </row>
    <row r="321" spans="6:6" ht="15.75" customHeight="1">
      <c r="F321" s="8"/>
    </row>
    <row r="322" spans="6:6" ht="15.75" customHeight="1">
      <c r="F322" s="8"/>
    </row>
    <row r="323" spans="6:6" ht="15.75" customHeight="1">
      <c r="F323" s="8"/>
    </row>
    <row r="324" spans="6:6" ht="15.75" customHeight="1">
      <c r="F324" s="8"/>
    </row>
    <row r="325" spans="6:6" ht="15.75" customHeight="1">
      <c r="F325" s="8"/>
    </row>
    <row r="326" spans="6:6" ht="15.75" customHeight="1">
      <c r="F326" s="8"/>
    </row>
    <row r="327" spans="6:6" ht="15.75" customHeight="1">
      <c r="F327" s="8"/>
    </row>
    <row r="328" spans="6:6" ht="15.75" customHeight="1">
      <c r="F328" s="8"/>
    </row>
    <row r="329" spans="6:6" ht="15.75" customHeight="1">
      <c r="F329" s="8"/>
    </row>
    <row r="330" spans="6:6" ht="15.75" customHeight="1">
      <c r="F330" s="8"/>
    </row>
    <row r="331" spans="6:6" ht="15.75" customHeight="1">
      <c r="F331" s="8"/>
    </row>
    <row r="332" spans="6:6" ht="15.75" customHeight="1">
      <c r="F332" s="8"/>
    </row>
    <row r="333" spans="6:6" ht="15.75" customHeight="1">
      <c r="F333" s="8"/>
    </row>
    <row r="334" spans="6:6" ht="15.75" customHeight="1">
      <c r="F334" s="8"/>
    </row>
    <row r="335" spans="6:6" ht="15.75" customHeight="1">
      <c r="F335" s="8"/>
    </row>
    <row r="336" spans="6:6" ht="15.75" customHeight="1">
      <c r="F336" s="8"/>
    </row>
    <row r="337" spans="6:6" ht="15.75" customHeight="1">
      <c r="F337" s="8"/>
    </row>
    <row r="338" spans="6:6" ht="15.75" customHeight="1">
      <c r="F338" s="8"/>
    </row>
    <row r="339" spans="6:6" ht="15.75" customHeight="1">
      <c r="F339" s="8"/>
    </row>
    <row r="340" spans="6:6" ht="15.75" customHeight="1">
      <c r="F340" s="8"/>
    </row>
    <row r="341" spans="6:6" ht="15.75" customHeight="1">
      <c r="F341" s="8"/>
    </row>
    <row r="342" spans="6:6" ht="15.75" customHeight="1">
      <c r="F342" s="8"/>
    </row>
    <row r="343" spans="6:6" ht="15.75" customHeight="1">
      <c r="F343" s="8"/>
    </row>
    <row r="344" spans="6:6" ht="15.75" customHeight="1">
      <c r="F344" s="8"/>
    </row>
    <row r="345" spans="6:6" ht="15.75" customHeight="1">
      <c r="F345" s="8"/>
    </row>
    <row r="346" spans="6:6" ht="15.75" customHeight="1">
      <c r="F346" s="8"/>
    </row>
    <row r="347" spans="6:6" ht="15.75" customHeight="1">
      <c r="F347" s="8"/>
    </row>
    <row r="348" spans="6:6" ht="15.75" customHeight="1">
      <c r="F348" s="8"/>
    </row>
    <row r="349" spans="6:6" ht="15.75" customHeight="1">
      <c r="F349" s="8"/>
    </row>
    <row r="350" spans="6:6" ht="15.75" customHeight="1">
      <c r="F350" s="8"/>
    </row>
    <row r="351" spans="6:6" ht="15.75" customHeight="1">
      <c r="F351" s="8"/>
    </row>
    <row r="352" spans="6:6" ht="15.75" customHeight="1">
      <c r="F352" s="8"/>
    </row>
    <row r="353" spans="6:6" ht="15.75" customHeight="1">
      <c r="F353" s="8"/>
    </row>
    <row r="354" spans="6:6" ht="15.75" customHeight="1">
      <c r="F354" s="8"/>
    </row>
    <row r="355" spans="6:6" ht="15.75" customHeight="1">
      <c r="F355" s="8"/>
    </row>
    <row r="356" spans="6:6" ht="15.75" customHeight="1">
      <c r="F356" s="8"/>
    </row>
    <row r="357" spans="6:6" ht="15.75" customHeight="1">
      <c r="F357" s="8"/>
    </row>
    <row r="358" spans="6:6" ht="15.75" customHeight="1">
      <c r="F358" s="8"/>
    </row>
    <row r="359" spans="6:6" ht="15.75" customHeight="1">
      <c r="F359" s="8"/>
    </row>
    <row r="360" spans="6:6" ht="15.75" customHeight="1">
      <c r="F360" s="8"/>
    </row>
    <row r="361" spans="6:6" ht="15.75" customHeight="1">
      <c r="F361" s="8"/>
    </row>
    <row r="362" spans="6:6" ht="15.75" customHeight="1">
      <c r="F362" s="8"/>
    </row>
    <row r="363" spans="6:6" ht="15.75" customHeight="1">
      <c r="F363" s="8"/>
    </row>
    <row r="364" spans="6:6" ht="15.75" customHeight="1">
      <c r="F364" s="8"/>
    </row>
    <row r="365" spans="6:6" ht="15.75" customHeight="1">
      <c r="F365" s="8"/>
    </row>
    <row r="366" spans="6:6" ht="15.75" customHeight="1">
      <c r="F366" s="8"/>
    </row>
    <row r="367" spans="6:6" ht="15.75" customHeight="1">
      <c r="F367" s="8"/>
    </row>
    <row r="368" spans="6:6" ht="15.75" customHeight="1">
      <c r="F368" s="8"/>
    </row>
    <row r="369" spans="6:6" ht="15.75" customHeight="1">
      <c r="F369" s="8"/>
    </row>
    <row r="370" spans="6:6" ht="15.75" customHeight="1">
      <c r="F370" s="8"/>
    </row>
    <row r="371" spans="6:6" ht="15.75" customHeight="1">
      <c r="F371" s="8"/>
    </row>
    <row r="372" spans="6:6" ht="15.75" customHeight="1">
      <c r="F372" s="8"/>
    </row>
    <row r="373" spans="6:6" ht="15.75" customHeight="1">
      <c r="F373" s="8"/>
    </row>
    <row r="374" spans="6:6" ht="15.75" customHeight="1">
      <c r="F374" s="8"/>
    </row>
    <row r="375" spans="6:6" ht="15.75" customHeight="1">
      <c r="F375" s="8"/>
    </row>
    <row r="376" spans="6:6" ht="15.75" customHeight="1">
      <c r="F376" s="8"/>
    </row>
    <row r="377" spans="6:6" ht="15.75" customHeight="1">
      <c r="F377" s="8"/>
    </row>
    <row r="378" spans="6:6" ht="15.75" customHeight="1">
      <c r="F378" s="8"/>
    </row>
    <row r="379" spans="6:6" ht="15.75" customHeight="1">
      <c r="F379" s="8"/>
    </row>
    <row r="380" spans="6:6" ht="15.75" customHeight="1">
      <c r="F380" s="8"/>
    </row>
    <row r="381" spans="6:6" ht="15.75" customHeight="1">
      <c r="F381" s="8"/>
    </row>
    <row r="382" spans="6:6" ht="15.75" customHeight="1">
      <c r="F382" s="8"/>
    </row>
    <row r="383" spans="6:6" ht="15.75" customHeight="1">
      <c r="F383" s="8"/>
    </row>
    <row r="384" spans="6:6" ht="15.75" customHeight="1">
      <c r="F384" s="8"/>
    </row>
    <row r="385" spans="6:6" ht="15.75" customHeight="1">
      <c r="F385" s="8"/>
    </row>
    <row r="386" spans="6:6" ht="15.75" customHeight="1">
      <c r="F386" s="8"/>
    </row>
    <row r="387" spans="6:6" ht="15.75" customHeight="1">
      <c r="F387" s="8"/>
    </row>
    <row r="388" spans="6:6" ht="15.75" customHeight="1">
      <c r="F388" s="8"/>
    </row>
    <row r="389" spans="6:6" ht="15.75" customHeight="1">
      <c r="F389" s="8"/>
    </row>
    <row r="390" spans="6:6" ht="15.75" customHeight="1">
      <c r="F390" s="8"/>
    </row>
    <row r="391" spans="6:6" ht="15.75" customHeight="1">
      <c r="F391" s="8"/>
    </row>
    <row r="392" spans="6:6" ht="15.75" customHeight="1">
      <c r="F392" s="8"/>
    </row>
    <row r="393" spans="6:6" ht="15.75" customHeight="1">
      <c r="F393" s="8"/>
    </row>
    <row r="394" spans="6:6" ht="15.75" customHeight="1">
      <c r="F394" s="8"/>
    </row>
    <row r="395" spans="6:6" ht="15.75" customHeight="1">
      <c r="F395" s="8"/>
    </row>
    <row r="396" spans="6:6" ht="15.75" customHeight="1">
      <c r="F396" s="8"/>
    </row>
    <row r="397" spans="6:6" ht="15.75" customHeight="1">
      <c r="F397" s="8"/>
    </row>
    <row r="398" spans="6:6" ht="15.75" customHeight="1">
      <c r="F398" s="8"/>
    </row>
    <row r="399" spans="6:6" ht="15.75" customHeight="1">
      <c r="F399" s="8"/>
    </row>
    <row r="400" spans="6:6" ht="15.75" customHeight="1">
      <c r="F400" s="8"/>
    </row>
    <row r="401" spans="6:6" ht="15.75" customHeight="1">
      <c r="F401" s="8"/>
    </row>
    <row r="402" spans="6:6" ht="15.75" customHeight="1">
      <c r="F402" s="8"/>
    </row>
    <row r="403" spans="6:6" ht="15.75" customHeight="1">
      <c r="F403" s="8"/>
    </row>
    <row r="404" spans="6:6" ht="15.75" customHeight="1">
      <c r="F404" s="8"/>
    </row>
    <row r="405" spans="6:6" ht="15.75" customHeight="1">
      <c r="F405" s="8"/>
    </row>
    <row r="406" spans="6:6" ht="15.75" customHeight="1">
      <c r="F406" s="8"/>
    </row>
    <row r="407" spans="6:6" ht="15.75" customHeight="1">
      <c r="F407" s="8"/>
    </row>
    <row r="408" spans="6:6" ht="15.75" customHeight="1">
      <c r="F408" s="8"/>
    </row>
    <row r="409" spans="6:6" ht="15.75" customHeight="1">
      <c r="F409" s="8"/>
    </row>
    <row r="410" spans="6:6" ht="15.75" customHeight="1">
      <c r="F410" s="8"/>
    </row>
    <row r="411" spans="6:6" ht="15.75" customHeight="1">
      <c r="F411" s="8"/>
    </row>
    <row r="412" spans="6:6" ht="15.75" customHeight="1">
      <c r="F412" s="8"/>
    </row>
    <row r="413" spans="6:6" ht="15.75" customHeight="1">
      <c r="F413" s="8"/>
    </row>
    <row r="414" spans="6:6" ht="15.75" customHeight="1">
      <c r="F414" s="8"/>
    </row>
    <row r="415" spans="6:6" ht="15.75" customHeight="1">
      <c r="F415" s="8"/>
    </row>
    <row r="416" spans="6:6" ht="15.75" customHeight="1">
      <c r="F416" s="8"/>
    </row>
    <row r="417" spans="6:6" ht="15.75" customHeight="1">
      <c r="F417" s="8"/>
    </row>
    <row r="418" spans="6:6" ht="15.75" customHeight="1">
      <c r="F418" s="8"/>
    </row>
    <row r="419" spans="6:6" ht="15.75" customHeight="1">
      <c r="F419" s="8"/>
    </row>
    <row r="420" spans="6:6" ht="15.75" customHeight="1">
      <c r="F420" s="8"/>
    </row>
    <row r="421" spans="6:6" ht="15.75" customHeight="1">
      <c r="F421" s="8"/>
    </row>
    <row r="422" spans="6:6" ht="15.75" customHeight="1">
      <c r="F422" s="8"/>
    </row>
    <row r="423" spans="6:6" ht="15.75" customHeight="1">
      <c r="F423" s="8"/>
    </row>
    <row r="424" spans="6:6" ht="15.75" customHeight="1">
      <c r="F424" s="8"/>
    </row>
    <row r="425" spans="6:6" ht="15.75" customHeight="1">
      <c r="F425" s="8"/>
    </row>
    <row r="426" spans="6:6" ht="15.75" customHeight="1">
      <c r="F426" s="8"/>
    </row>
    <row r="427" spans="6:6" ht="15.75" customHeight="1">
      <c r="F427" s="8"/>
    </row>
    <row r="428" spans="6:6" ht="15.75" customHeight="1">
      <c r="F428" s="8"/>
    </row>
    <row r="429" spans="6:6" ht="15.75" customHeight="1">
      <c r="F429" s="8"/>
    </row>
    <row r="430" spans="6:6" ht="15.75" customHeight="1">
      <c r="F430" s="8"/>
    </row>
    <row r="431" spans="6:6" ht="15.75" customHeight="1">
      <c r="F431" s="8"/>
    </row>
    <row r="432" spans="6:6" ht="15.75" customHeight="1">
      <c r="F432" s="8"/>
    </row>
    <row r="433" spans="6:6" ht="15.75" customHeight="1">
      <c r="F433" s="8"/>
    </row>
    <row r="434" spans="6:6" ht="15.75" customHeight="1">
      <c r="F434" s="8"/>
    </row>
    <row r="435" spans="6:6" ht="15.75" customHeight="1">
      <c r="F435" s="8"/>
    </row>
    <row r="436" spans="6:6" ht="15.75" customHeight="1">
      <c r="F436" s="8"/>
    </row>
    <row r="437" spans="6:6" ht="15.75" customHeight="1">
      <c r="F437" s="8"/>
    </row>
    <row r="438" spans="6:6" ht="15.75" customHeight="1">
      <c r="F438" s="8"/>
    </row>
    <row r="439" spans="6:6" ht="15.75" customHeight="1">
      <c r="F439" s="8"/>
    </row>
    <row r="440" spans="6:6" ht="15.75" customHeight="1">
      <c r="F440" s="8"/>
    </row>
    <row r="441" spans="6:6" ht="15.75" customHeight="1">
      <c r="F441" s="8"/>
    </row>
    <row r="442" spans="6:6" ht="15.75" customHeight="1">
      <c r="F442" s="8"/>
    </row>
    <row r="443" spans="6:6" ht="15.75" customHeight="1">
      <c r="F443" s="8"/>
    </row>
    <row r="444" spans="6:6" ht="15.75" customHeight="1">
      <c r="F444" s="8"/>
    </row>
    <row r="445" spans="6:6" ht="15.75" customHeight="1">
      <c r="F445" s="8"/>
    </row>
    <row r="446" spans="6:6" ht="15.75" customHeight="1">
      <c r="F446" s="8"/>
    </row>
    <row r="447" spans="6:6" ht="15.75" customHeight="1">
      <c r="F447" s="8"/>
    </row>
    <row r="448" spans="6:6" ht="15.75" customHeight="1">
      <c r="F448" s="8"/>
    </row>
    <row r="449" spans="6:6" ht="15.75" customHeight="1">
      <c r="F449" s="8"/>
    </row>
    <row r="450" spans="6:6" ht="15.75" customHeight="1">
      <c r="F450" s="8"/>
    </row>
    <row r="451" spans="6:6" ht="15.75" customHeight="1">
      <c r="F451" s="8"/>
    </row>
    <row r="452" spans="6:6" ht="15.75" customHeight="1">
      <c r="F452" s="8"/>
    </row>
    <row r="453" spans="6:6" ht="15.75" customHeight="1">
      <c r="F453" s="8"/>
    </row>
    <row r="454" spans="6:6" ht="15.75" customHeight="1">
      <c r="F454" s="8"/>
    </row>
    <row r="455" spans="6:6" ht="15.75" customHeight="1">
      <c r="F455" s="8"/>
    </row>
    <row r="456" spans="6:6" ht="15.75" customHeight="1">
      <c r="F456" s="8"/>
    </row>
    <row r="457" spans="6:6" ht="15.75" customHeight="1">
      <c r="F457" s="8"/>
    </row>
    <row r="458" spans="6:6" ht="15.75" customHeight="1">
      <c r="F458" s="8"/>
    </row>
    <row r="459" spans="6:6" ht="15.75" customHeight="1">
      <c r="F459" s="8"/>
    </row>
    <row r="460" spans="6:6" ht="15.75" customHeight="1">
      <c r="F460" s="8"/>
    </row>
    <row r="461" spans="6:6" ht="15.75" customHeight="1">
      <c r="F461" s="8"/>
    </row>
    <row r="462" spans="6:6" ht="15.75" customHeight="1">
      <c r="F462" s="8"/>
    </row>
    <row r="463" spans="6:6" ht="15.75" customHeight="1">
      <c r="F463" s="8"/>
    </row>
    <row r="464" spans="6:6" ht="15.75" customHeight="1">
      <c r="F464" s="8"/>
    </row>
    <row r="465" spans="6:6" ht="15.75" customHeight="1">
      <c r="F465" s="8"/>
    </row>
    <row r="466" spans="6:6" ht="15.75" customHeight="1">
      <c r="F466" s="8"/>
    </row>
    <row r="467" spans="6:6" ht="15.75" customHeight="1">
      <c r="F467" s="8"/>
    </row>
    <row r="468" spans="6:6" ht="15.75" customHeight="1">
      <c r="F468" s="8"/>
    </row>
    <row r="469" spans="6:6" ht="15.75" customHeight="1">
      <c r="F469" s="8"/>
    </row>
    <row r="470" spans="6:6" ht="15.75" customHeight="1">
      <c r="F470" s="8"/>
    </row>
    <row r="471" spans="6:6" ht="15.75" customHeight="1">
      <c r="F471" s="8"/>
    </row>
    <row r="472" spans="6:6" ht="15.75" customHeight="1">
      <c r="F472" s="8"/>
    </row>
    <row r="473" spans="6:6" ht="15.75" customHeight="1">
      <c r="F473" s="8"/>
    </row>
    <row r="474" spans="6:6" ht="15.75" customHeight="1">
      <c r="F474" s="8"/>
    </row>
    <row r="475" spans="6:6" ht="15.75" customHeight="1">
      <c r="F475" s="8"/>
    </row>
    <row r="476" spans="6:6" ht="15.75" customHeight="1">
      <c r="F476" s="8"/>
    </row>
    <row r="477" spans="6:6" ht="15.75" customHeight="1">
      <c r="F477" s="8"/>
    </row>
    <row r="478" spans="6:6" ht="15.75" customHeight="1">
      <c r="F478" s="8"/>
    </row>
    <row r="479" spans="6:6" ht="15.75" customHeight="1">
      <c r="F479" s="8"/>
    </row>
    <row r="480" spans="6:6" ht="15.75" customHeight="1">
      <c r="F480" s="8"/>
    </row>
    <row r="481" spans="6:6" ht="15.75" customHeight="1">
      <c r="F481" s="8"/>
    </row>
    <row r="482" spans="6:6" ht="15.75" customHeight="1">
      <c r="F482" s="8"/>
    </row>
    <row r="483" spans="6:6" ht="15.75" customHeight="1">
      <c r="F483" s="8"/>
    </row>
    <row r="484" spans="6:6" ht="15.75" customHeight="1">
      <c r="F484" s="8"/>
    </row>
    <row r="485" spans="6:6" ht="15.75" customHeight="1">
      <c r="F485" s="8"/>
    </row>
    <row r="486" spans="6:6" ht="15.75" customHeight="1">
      <c r="F486" s="8"/>
    </row>
    <row r="487" spans="6:6" ht="15.75" customHeight="1">
      <c r="F487" s="8"/>
    </row>
    <row r="488" spans="6:6" ht="15.75" customHeight="1">
      <c r="F488" s="8"/>
    </row>
    <row r="489" spans="6:6" ht="15.75" customHeight="1">
      <c r="F489" s="8"/>
    </row>
    <row r="490" spans="6:6" ht="15.75" customHeight="1">
      <c r="F490" s="8"/>
    </row>
    <row r="491" spans="6:6" ht="15.75" customHeight="1">
      <c r="F491" s="8"/>
    </row>
    <row r="492" spans="6:6" ht="15.75" customHeight="1">
      <c r="F492" s="8"/>
    </row>
    <row r="493" spans="6:6" ht="15.75" customHeight="1">
      <c r="F493" s="8"/>
    </row>
    <row r="494" spans="6:6" ht="15.75" customHeight="1">
      <c r="F494" s="8"/>
    </row>
    <row r="495" spans="6:6" ht="15.75" customHeight="1">
      <c r="F495" s="8"/>
    </row>
    <row r="496" spans="6:6" ht="15.75" customHeight="1">
      <c r="F496" s="8"/>
    </row>
    <row r="497" spans="6:6" ht="15.75" customHeight="1">
      <c r="F497" s="8"/>
    </row>
    <row r="498" spans="6:6" ht="15.75" customHeight="1">
      <c r="F498" s="8"/>
    </row>
    <row r="499" spans="6:6" ht="15.75" customHeight="1">
      <c r="F499" s="8"/>
    </row>
    <row r="500" spans="6:6" ht="15.75" customHeight="1">
      <c r="F500" s="8"/>
    </row>
    <row r="501" spans="6:6" ht="15.75" customHeight="1">
      <c r="F501" s="8"/>
    </row>
    <row r="502" spans="6:6" ht="15.75" customHeight="1">
      <c r="F502" s="8"/>
    </row>
    <row r="503" spans="6:6" ht="15.75" customHeight="1">
      <c r="F503" s="8"/>
    </row>
    <row r="504" spans="6:6" ht="15.75" customHeight="1">
      <c r="F504" s="8"/>
    </row>
    <row r="505" spans="6:6" ht="15.75" customHeight="1">
      <c r="F505" s="8"/>
    </row>
    <row r="506" spans="6:6" ht="15.75" customHeight="1">
      <c r="F506" s="8"/>
    </row>
    <row r="507" spans="6:6" ht="15.75" customHeight="1">
      <c r="F507" s="8"/>
    </row>
    <row r="508" spans="6:6" ht="15.75" customHeight="1">
      <c r="F508" s="8"/>
    </row>
    <row r="509" spans="6:6" ht="15.75" customHeight="1">
      <c r="F509" s="8"/>
    </row>
    <row r="510" spans="6:6" ht="15.75" customHeight="1">
      <c r="F510" s="8"/>
    </row>
    <row r="511" spans="6:6" ht="15.75" customHeight="1">
      <c r="F511" s="8"/>
    </row>
    <row r="512" spans="6:6" ht="15.75" customHeight="1">
      <c r="F512" s="8"/>
    </row>
    <row r="513" spans="6:6" ht="15.75" customHeight="1">
      <c r="F513" s="8"/>
    </row>
    <row r="514" spans="6:6" ht="15.75" customHeight="1">
      <c r="F514" s="8"/>
    </row>
    <row r="515" spans="6:6" ht="15.75" customHeight="1">
      <c r="F515" s="8"/>
    </row>
    <row r="516" spans="6:6" ht="15.75" customHeight="1">
      <c r="F516" s="8"/>
    </row>
    <row r="517" spans="6:6" ht="15.75" customHeight="1">
      <c r="F517" s="8"/>
    </row>
    <row r="518" spans="6:6" ht="15.75" customHeight="1">
      <c r="F518" s="8"/>
    </row>
    <row r="519" spans="6:6" ht="15.75" customHeight="1">
      <c r="F519" s="8"/>
    </row>
    <row r="520" spans="6:6" ht="15.75" customHeight="1">
      <c r="F520" s="8"/>
    </row>
    <row r="521" spans="6:6" ht="15.75" customHeight="1">
      <c r="F521" s="8"/>
    </row>
    <row r="522" spans="6:6" ht="15.75" customHeight="1">
      <c r="F522" s="8"/>
    </row>
    <row r="523" spans="6:6" ht="15.75" customHeight="1">
      <c r="F523" s="8"/>
    </row>
    <row r="524" spans="6:6" ht="15.75" customHeight="1">
      <c r="F524" s="8"/>
    </row>
    <row r="525" spans="6:6" ht="15.75" customHeight="1">
      <c r="F525" s="8"/>
    </row>
    <row r="526" spans="6:6" ht="15.75" customHeight="1">
      <c r="F526" s="8"/>
    </row>
    <row r="527" spans="6:6" ht="15.75" customHeight="1">
      <c r="F527" s="8"/>
    </row>
    <row r="528" spans="6:6" ht="15.75" customHeight="1">
      <c r="F528" s="8"/>
    </row>
    <row r="529" spans="6:6" ht="15.75" customHeight="1">
      <c r="F529" s="8"/>
    </row>
    <row r="530" spans="6:6" ht="15.75" customHeight="1">
      <c r="F530" s="8"/>
    </row>
    <row r="531" spans="6:6" ht="15.75" customHeight="1">
      <c r="F531" s="8"/>
    </row>
    <row r="532" spans="6:6" ht="15.75" customHeight="1">
      <c r="F532" s="8"/>
    </row>
    <row r="533" spans="6:6" ht="15.75" customHeight="1">
      <c r="F533" s="8"/>
    </row>
    <row r="534" spans="6:6" ht="15.75" customHeight="1">
      <c r="F534" s="8"/>
    </row>
    <row r="535" spans="6:6" ht="15.75" customHeight="1">
      <c r="F535" s="8"/>
    </row>
    <row r="536" spans="6:6" ht="15.75" customHeight="1">
      <c r="F536" s="8"/>
    </row>
    <row r="537" spans="6:6" ht="15.75" customHeight="1">
      <c r="F537" s="8"/>
    </row>
    <row r="538" spans="6:6" ht="15.75" customHeight="1">
      <c r="F538" s="8"/>
    </row>
    <row r="539" spans="6:6" ht="15.75" customHeight="1">
      <c r="F539" s="8"/>
    </row>
    <row r="540" spans="6:6" ht="15.75" customHeight="1">
      <c r="F540" s="8"/>
    </row>
    <row r="541" spans="6:6" ht="15.75" customHeight="1">
      <c r="F541" s="8"/>
    </row>
    <row r="542" spans="6:6" ht="15.75" customHeight="1">
      <c r="F542" s="8"/>
    </row>
    <row r="543" spans="6:6" ht="15.75" customHeight="1">
      <c r="F543" s="8"/>
    </row>
    <row r="544" spans="6:6" ht="15.75" customHeight="1">
      <c r="F544" s="8"/>
    </row>
    <row r="545" spans="6:6" ht="15.75" customHeight="1">
      <c r="F545" s="8"/>
    </row>
    <row r="546" spans="6:6" ht="15.75" customHeight="1">
      <c r="F546" s="8"/>
    </row>
    <row r="547" spans="6:6" ht="15.75" customHeight="1">
      <c r="F547" s="8"/>
    </row>
    <row r="548" spans="6:6" ht="15.75" customHeight="1">
      <c r="F548" s="8"/>
    </row>
    <row r="549" spans="6:6" ht="15.75" customHeight="1">
      <c r="F549" s="8"/>
    </row>
    <row r="550" spans="6:6" ht="15.75" customHeight="1">
      <c r="F550" s="8"/>
    </row>
    <row r="551" spans="6:6" ht="15.75" customHeight="1">
      <c r="F551" s="8"/>
    </row>
    <row r="552" spans="6:6" ht="15.75" customHeight="1">
      <c r="F552" s="8"/>
    </row>
    <row r="553" spans="6:6" ht="15.75" customHeight="1">
      <c r="F553" s="8"/>
    </row>
    <row r="554" spans="6:6" ht="15.75" customHeight="1">
      <c r="F554" s="8"/>
    </row>
    <row r="555" spans="6:6" ht="15.75" customHeight="1">
      <c r="F555" s="8"/>
    </row>
    <row r="556" spans="6:6" ht="15.75" customHeight="1">
      <c r="F556" s="8"/>
    </row>
    <row r="557" spans="6:6" ht="15.75" customHeight="1">
      <c r="F557" s="8"/>
    </row>
    <row r="558" spans="6:6" ht="15.75" customHeight="1">
      <c r="F558" s="8"/>
    </row>
    <row r="559" spans="6:6" ht="15.75" customHeight="1">
      <c r="F559" s="8"/>
    </row>
    <row r="560" spans="6:6" ht="15.75" customHeight="1">
      <c r="F560" s="8"/>
    </row>
    <row r="561" spans="6:6" ht="15.75" customHeight="1">
      <c r="F561" s="8"/>
    </row>
    <row r="562" spans="6:6" ht="15.75" customHeight="1">
      <c r="F562" s="8"/>
    </row>
    <row r="563" spans="6:6" ht="15.75" customHeight="1">
      <c r="F563" s="8"/>
    </row>
    <row r="564" spans="6:6" ht="15.75" customHeight="1">
      <c r="F564" s="8"/>
    </row>
    <row r="565" spans="6:6" ht="15.75" customHeight="1">
      <c r="F565" s="8"/>
    </row>
    <row r="566" spans="6:6" ht="15.75" customHeight="1">
      <c r="F566" s="8"/>
    </row>
    <row r="567" spans="6:6" ht="15.75" customHeight="1">
      <c r="F567" s="8"/>
    </row>
    <row r="568" spans="6:6" ht="15.75" customHeight="1">
      <c r="F568" s="8"/>
    </row>
    <row r="569" spans="6:6" ht="15.75" customHeight="1">
      <c r="F569" s="8"/>
    </row>
    <row r="570" spans="6:6" ht="15.75" customHeight="1">
      <c r="F570" s="8"/>
    </row>
    <row r="571" spans="6:6" ht="15.75" customHeight="1">
      <c r="F571" s="8"/>
    </row>
    <row r="572" spans="6:6" ht="15.75" customHeight="1">
      <c r="F572" s="8"/>
    </row>
    <row r="573" spans="6:6" ht="15.75" customHeight="1">
      <c r="F573" s="8"/>
    </row>
    <row r="574" spans="6:6" ht="15.75" customHeight="1">
      <c r="F574" s="8"/>
    </row>
    <row r="575" spans="6:6" ht="15.75" customHeight="1">
      <c r="F575" s="8"/>
    </row>
    <row r="576" spans="6:6" ht="15.75" customHeight="1">
      <c r="F576" s="8"/>
    </row>
    <row r="577" spans="6:6" ht="15.75" customHeight="1">
      <c r="F577" s="8"/>
    </row>
    <row r="578" spans="6:6" ht="15.75" customHeight="1">
      <c r="F578" s="8"/>
    </row>
    <row r="579" spans="6:6" ht="15.75" customHeight="1">
      <c r="F579" s="8"/>
    </row>
    <row r="580" spans="6:6" ht="15.75" customHeight="1">
      <c r="F580" s="8"/>
    </row>
    <row r="581" spans="6:6" ht="15.75" customHeight="1">
      <c r="F581" s="8"/>
    </row>
    <row r="582" spans="6:6" ht="15.75" customHeight="1">
      <c r="F582" s="8"/>
    </row>
    <row r="583" spans="6:6" ht="15.75" customHeight="1">
      <c r="F583" s="8"/>
    </row>
    <row r="584" spans="6:6" ht="15.75" customHeight="1">
      <c r="F584" s="8"/>
    </row>
    <row r="585" spans="6:6" ht="15.75" customHeight="1">
      <c r="F585" s="8"/>
    </row>
    <row r="586" spans="6:6" ht="15.75" customHeight="1">
      <c r="F586" s="8"/>
    </row>
    <row r="587" spans="6:6" ht="15.75" customHeight="1">
      <c r="F587" s="8"/>
    </row>
    <row r="588" spans="6:6" ht="15.75" customHeight="1">
      <c r="F588" s="8"/>
    </row>
    <row r="589" spans="6:6" ht="15.75" customHeight="1">
      <c r="F589" s="8"/>
    </row>
    <row r="590" spans="6:6" ht="15.75" customHeight="1">
      <c r="F590" s="8"/>
    </row>
    <row r="591" spans="6:6" ht="15.75" customHeight="1">
      <c r="F591" s="8"/>
    </row>
    <row r="592" spans="6:6" ht="15.75" customHeight="1">
      <c r="F592" s="8"/>
    </row>
    <row r="593" spans="6:6" ht="15.75" customHeight="1">
      <c r="F593" s="8"/>
    </row>
    <row r="594" spans="6:6" ht="15.75" customHeight="1">
      <c r="F594" s="8"/>
    </row>
    <row r="595" spans="6:6" ht="15.75" customHeight="1">
      <c r="F595" s="8"/>
    </row>
    <row r="596" spans="6:6" ht="15.75" customHeight="1">
      <c r="F596" s="8"/>
    </row>
    <row r="597" spans="6:6" ht="15.75" customHeight="1">
      <c r="F597" s="8"/>
    </row>
    <row r="598" spans="6:6" ht="15.75" customHeight="1">
      <c r="F598" s="8"/>
    </row>
    <row r="599" spans="6:6" ht="15.75" customHeight="1">
      <c r="F599" s="8"/>
    </row>
    <row r="600" spans="6:6" ht="15.75" customHeight="1">
      <c r="F600" s="8"/>
    </row>
    <row r="601" spans="6:6" ht="15.75" customHeight="1">
      <c r="F601" s="8"/>
    </row>
    <row r="602" spans="6:6" ht="15.75" customHeight="1">
      <c r="F602" s="8"/>
    </row>
    <row r="603" spans="6:6" ht="15.75" customHeight="1">
      <c r="F603" s="8"/>
    </row>
    <row r="604" spans="6:6" ht="15.75" customHeight="1">
      <c r="F604" s="8"/>
    </row>
    <row r="605" spans="6:6" ht="15.75" customHeight="1">
      <c r="F605" s="8"/>
    </row>
    <row r="606" spans="6:6" ht="15.75" customHeight="1">
      <c r="F606" s="8"/>
    </row>
    <row r="607" spans="6:6" ht="15.75" customHeight="1">
      <c r="F607" s="8"/>
    </row>
    <row r="608" spans="6:6" ht="15.75" customHeight="1">
      <c r="F608" s="8"/>
    </row>
    <row r="609" spans="6:6" ht="15.75" customHeight="1">
      <c r="F609" s="8"/>
    </row>
    <row r="610" spans="6:6" ht="15.75" customHeight="1">
      <c r="F610" s="8"/>
    </row>
    <row r="611" spans="6:6" ht="15.75" customHeight="1">
      <c r="F611" s="8"/>
    </row>
    <row r="612" spans="6:6" ht="15.75" customHeight="1">
      <c r="F612" s="8"/>
    </row>
    <row r="613" spans="6:6" ht="15.75" customHeight="1">
      <c r="F613" s="8"/>
    </row>
    <row r="614" spans="6:6" ht="15.75" customHeight="1">
      <c r="F614" s="8"/>
    </row>
    <row r="615" spans="6:6" ht="15.75" customHeight="1">
      <c r="F615" s="8"/>
    </row>
    <row r="616" spans="6:6" ht="15.75" customHeight="1">
      <c r="F616" s="8"/>
    </row>
    <row r="617" spans="6:6" ht="15.75" customHeight="1">
      <c r="F617" s="8"/>
    </row>
    <row r="618" spans="6:6" ht="15.75" customHeight="1">
      <c r="F618" s="8"/>
    </row>
    <row r="619" spans="6:6" ht="15.75" customHeight="1">
      <c r="F619" s="8"/>
    </row>
    <row r="620" spans="6:6" ht="15.75" customHeight="1">
      <c r="F620" s="8"/>
    </row>
    <row r="621" spans="6:6" ht="15.75" customHeight="1">
      <c r="F621" s="8"/>
    </row>
    <row r="622" spans="6:6" ht="15.75" customHeight="1">
      <c r="F622" s="8"/>
    </row>
    <row r="623" spans="6:6" ht="15.75" customHeight="1">
      <c r="F623" s="8"/>
    </row>
    <row r="624" spans="6:6" ht="15.75" customHeight="1">
      <c r="F624" s="8"/>
    </row>
    <row r="625" spans="6:6" ht="15.75" customHeight="1">
      <c r="F625" s="8"/>
    </row>
    <row r="626" spans="6:6" ht="15.75" customHeight="1">
      <c r="F626" s="8"/>
    </row>
    <row r="627" spans="6:6" ht="15.75" customHeight="1">
      <c r="F627" s="8"/>
    </row>
    <row r="628" spans="6:6" ht="15.75" customHeight="1">
      <c r="F628" s="8"/>
    </row>
    <row r="629" spans="6:6" ht="15.75" customHeight="1">
      <c r="F629" s="8"/>
    </row>
    <row r="630" spans="6:6" ht="15.75" customHeight="1">
      <c r="F630" s="8"/>
    </row>
    <row r="631" spans="6:6" ht="15.75" customHeight="1">
      <c r="F631" s="8"/>
    </row>
    <row r="632" spans="6:6" ht="15.75" customHeight="1">
      <c r="F632" s="8"/>
    </row>
    <row r="633" spans="6:6" ht="15.75" customHeight="1">
      <c r="F633" s="8"/>
    </row>
    <row r="634" spans="6:6" ht="15.75" customHeight="1">
      <c r="F634" s="8"/>
    </row>
    <row r="635" spans="6:6" ht="15.75" customHeight="1">
      <c r="F635" s="8"/>
    </row>
    <row r="636" spans="6:6" ht="15.75" customHeight="1">
      <c r="F636" s="8"/>
    </row>
    <row r="637" spans="6:6" ht="15.75" customHeight="1">
      <c r="F637" s="8"/>
    </row>
    <row r="638" spans="6:6" ht="15.75" customHeight="1">
      <c r="F638" s="8"/>
    </row>
    <row r="639" spans="6:6" ht="15.75" customHeight="1">
      <c r="F639" s="8"/>
    </row>
    <row r="640" spans="6:6" ht="15.75" customHeight="1">
      <c r="F640" s="8"/>
    </row>
    <row r="641" spans="6:6" ht="15.75" customHeight="1">
      <c r="F641" s="8"/>
    </row>
    <row r="642" spans="6:6" ht="15.75" customHeight="1">
      <c r="F642" s="8"/>
    </row>
    <row r="643" spans="6:6" ht="15.75" customHeight="1">
      <c r="F643" s="8"/>
    </row>
    <row r="644" spans="6:6" ht="15.75" customHeight="1">
      <c r="F644" s="8"/>
    </row>
    <row r="645" spans="6:6" ht="15.75" customHeight="1">
      <c r="F645" s="8"/>
    </row>
    <row r="646" spans="6:6" ht="15.75" customHeight="1">
      <c r="F646" s="8"/>
    </row>
    <row r="647" spans="6:6" ht="15.75" customHeight="1">
      <c r="F647" s="8"/>
    </row>
    <row r="648" spans="6:6" ht="15.75" customHeight="1">
      <c r="F648" s="8"/>
    </row>
    <row r="649" spans="6:6" ht="15.75" customHeight="1">
      <c r="F649" s="8"/>
    </row>
    <row r="650" spans="6:6" ht="15.75" customHeight="1">
      <c r="F650" s="8"/>
    </row>
    <row r="651" spans="6:6" ht="15.75" customHeight="1">
      <c r="F651" s="8"/>
    </row>
    <row r="652" spans="6:6" ht="15.75" customHeight="1">
      <c r="F652" s="8"/>
    </row>
    <row r="653" spans="6:6" ht="15.75" customHeight="1">
      <c r="F653" s="8"/>
    </row>
    <row r="654" spans="6:6" ht="15.75" customHeight="1">
      <c r="F654" s="8"/>
    </row>
    <row r="655" spans="6:6" ht="15.75" customHeight="1">
      <c r="F655" s="8"/>
    </row>
    <row r="656" spans="6:6" ht="15.75" customHeight="1">
      <c r="F656" s="8"/>
    </row>
    <row r="657" spans="6:6" ht="15.75" customHeight="1">
      <c r="F657" s="8"/>
    </row>
    <row r="658" spans="6:6" ht="15.75" customHeight="1">
      <c r="F658" s="8"/>
    </row>
    <row r="659" spans="6:6" ht="15.75" customHeight="1">
      <c r="F659" s="8"/>
    </row>
    <row r="660" spans="6:6" ht="15.75" customHeight="1">
      <c r="F660" s="8"/>
    </row>
    <row r="661" spans="6:6" ht="15.75" customHeight="1">
      <c r="F661" s="8"/>
    </row>
    <row r="662" spans="6:6" ht="15.75" customHeight="1">
      <c r="F662" s="8"/>
    </row>
    <row r="663" spans="6:6" ht="15.75" customHeight="1">
      <c r="F663" s="8"/>
    </row>
    <row r="664" spans="6:6" ht="15.75" customHeight="1">
      <c r="F664" s="8"/>
    </row>
    <row r="665" spans="6:6" ht="15.75" customHeight="1">
      <c r="F665" s="8"/>
    </row>
    <row r="666" spans="6:6" ht="15.75" customHeight="1">
      <c r="F666" s="8"/>
    </row>
    <row r="667" spans="6:6" ht="15.75" customHeight="1">
      <c r="F667" s="8"/>
    </row>
    <row r="668" spans="6:6" ht="15.75" customHeight="1">
      <c r="F668" s="8"/>
    </row>
    <row r="669" spans="6:6" ht="15.75" customHeight="1">
      <c r="F669" s="8"/>
    </row>
    <row r="670" spans="6:6" ht="15.75" customHeight="1">
      <c r="F670" s="8"/>
    </row>
    <row r="671" spans="6:6" ht="15.75" customHeight="1">
      <c r="F671" s="8"/>
    </row>
    <row r="672" spans="6:6" ht="15.75" customHeight="1">
      <c r="F672" s="8"/>
    </row>
    <row r="673" spans="6:6" ht="15.75" customHeight="1">
      <c r="F673" s="8"/>
    </row>
    <row r="674" spans="6:6" ht="15.75" customHeight="1">
      <c r="F674" s="8"/>
    </row>
    <row r="675" spans="6:6" ht="15.75" customHeight="1">
      <c r="F675" s="8"/>
    </row>
    <row r="676" spans="6:6" ht="15.75" customHeight="1">
      <c r="F676" s="8"/>
    </row>
    <row r="677" spans="6:6" ht="15.75" customHeight="1">
      <c r="F677" s="8"/>
    </row>
    <row r="678" spans="6:6" ht="15.75" customHeight="1">
      <c r="F678" s="8"/>
    </row>
    <row r="679" spans="6:6" ht="15.75" customHeight="1">
      <c r="F679" s="8"/>
    </row>
    <row r="680" spans="6:6" ht="15.75" customHeight="1">
      <c r="F680" s="8"/>
    </row>
    <row r="681" spans="6:6" ht="15.75" customHeight="1">
      <c r="F681" s="8"/>
    </row>
    <row r="682" spans="6:6" ht="15.75" customHeight="1">
      <c r="F682" s="8"/>
    </row>
    <row r="683" spans="6:6" ht="15.75" customHeight="1">
      <c r="F683" s="8"/>
    </row>
    <row r="684" spans="6:6" ht="15.75" customHeight="1">
      <c r="F684" s="8"/>
    </row>
    <row r="685" spans="6:6" ht="15.75" customHeight="1">
      <c r="F685" s="8"/>
    </row>
    <row r="686" spans="6:6" ht="15.75" customHeight="1">
      <c r="F686" s="8"/>
    </row>
    <row r="687" spans="6:6" ht="15.75" customHeight="1">
      <c r="F687" s="8"/>
    </row>
    <row r="688" spans="6:6" ht="15.75" customHeight="1">
      <c r="F688" s="8"/>
    </row>
    <row r="689" spans="6:6" ht="15.75" customHeight="1">
      <c r="F689" s="8"/>
    </row>
    <row r="690" spans="6:6" ht="15.75" customHeight="1">
      <c r="F690" s="8"/>
    </row>
    <row r="691" spans="6:6" ht="15.75" customHeight="1">
      <c r="F691" s="8"/>
    </row>
    <row r="692" spans="6:6" ht="15.75" customHeight="1">
      <c r="F692" s="8"/>
    </row>
    <row r="693" spans="6:6" ht="15.75" customHeight="1">
      <c r="F693" s="8"/>
    </row>
    <row r="694" spans="6:6" ht="15.75" customHeight="1">
      <c r="F694" s="8"/>
    </row>
    <row r="695" spans="6:6" ht="15.75" customHeight="1">
      <c r="F695" s="8"/>
    </row>
    <row r="696" spans="6:6" ht="15.75" customHeight="1">
      <c r="F696" s="8"/>
    </row>
    <row r="697" spans="6:6" ht="15.75" customHeight="1">
      <c r="F697" s="8"/>
    </row>
    <row r="698" spans="6:6" ht="15.75" customHeight="1">
      <c r="F698" s="8"/>
    </row>
    <row r="699" spans="6:6" ht="15.75" customHeight="1">
      <c r="F699" s="8"/>
    </row>
    <row r="700" spans="6:6" ht="15.75" customHeight="1">
      <c r="F700" s="8"/>
    </row>
    <row r="701" spans="6:6" ht="15.75" customHeight="1">
      <c r="F701" s="8"/>
    </row>
    <row r="702" spans="6:6" ht="15.75" customHeight="1">
      <c r="F702" s="8"/>
    </row>
    <row r="703" spans="6:6" ht="15.75" customHeight="1">
      <c r="F703" s="8"/>
    </row>
    <row r="704" spans="6:6" ht="15.75" customHeight="1">
      <c r="F704" s="8"/>
    </row>
    <row r="705" spans="6:6" ht="15.75" customHeight="1">
      <c r="F705" s="8"/>
    </row>
    <row r="706" spans="6:6" ht="15.75" customHeight="1">
      <c r="F706" s="8"/>
    </row>
    <row r="707" spans="6:6" ht="15.75" customHeight="1">
      <c r="F707" s="8"/>
    </row>
    <row r="708" spans="6:6" ht="15.75" customHeight="1">
      <c r="F708" s="8"/>
    </row>
    <row r="709" spans="6:6" ht="15.75" customHeight="1">
      <c r="F709" s="8"/>
    </row>
    <row r="710" spans="6:6" ht="15.75" customHeight="1">
      <c r="F710" s="8"/>
    </row>
    <row r="711" spans="6:6" ht="15.75" customHeight="1">
      <c r="F711" s="8"/>
    </row>
    <row r="712" spans="6:6" ht="15.75" customHeight="1">
      <c r="F712" s="8"/>
    </row>
    <row r="713" spans="6:6" ht="15.75" customHeight="1">
      <c r="F713" s="8"/>
    </row>
    <row r="714" spans="6:6" ht="15.75" customHeight="1">
      <c r="F714" s="8"/>
    </row>
    <row r="715" spans="6:6" ht="15.75" customHeight="1">
      <c r="F715" s="8"/>
    </row>
    <row r="716" spans="6:6" ht="15.75" customHeight="1">
      <c r="F716" s="8"/>
    </row>
    <row r="717" spans="6:6" ht="15.75" customHeight="1">
      <c r="F717" s="8"/>
    </row>
    <row r="718" spans="6:6" ht="15.75" customHeight="1">
      <c r="F718" s="8"/>
    </row>
    <row r="719" spans="6:6" ht="15.75" customHeight="1">
      <c r="F719" s="8"/>
    </row>
    <row r="720" spans="6:6" ht="15.75" customHeight="1">
      <c r="F720" s="8"/>
    </row>
    <row r="721" spans="6:6" ht="15.75" customHeight="1">
      <c r="F721" s="8"/>
    </row>
    <row r="722" spans="6:6" ht="15.75" customHeight="1">
      <c r="F722" s="8"/>
    </row>
    <row r="723" spans="6:6" ht="15.75" customHeight="1">
      <c r="F723" s="8"/>
    </row>
    <row r="724" spans="6:6" ht="15.75" customHeight="1">
      <c r="F724" s="8"/>
    </row>
    <row r="725" spans="6:6" ht="15.75" customHeight="1">
      <c r="F725" s="8"/>
    </row>
    <row r="726" spans="6:6" ht="15.75" customHeight="1">
      <c r="F726" s="8"/>
    </row>
    <row r="727" spans="6:6" ht="15.75" customHeight="1">
      <c r="F727" s="8"/>
    </row>
    <row r="728" spans="6:6" ht="15.75" customHeight="1">
      <c r="F728" s="8"/>
    </row>
    <row r="729" spans="6:6" ht="15.75" customHeight="1">
      <c r="F729" s="8"/>
    </row>
    <row r="730" spans="6:6" ht="15.75" customHeight="1">
      <c r="F730" s="8"/>
    </row>
    <row r="731" spans="6:6" ht="15.75" customHeight="1">
      <c r="F731" s="8"/>
    </row>
    <row r="732" spans="6:6" ht="15.75" customHeight="1">
      <c r="F732" s="8"/>
    </row>
    <row r="733" spans="6:6" ht="15.75" customHeight="1">
      <c r="F733" s="8"/>
    </row>
    <row r="734" spans="6:6" ht="15.75" customHeight="1">
      <c r="F734" s="8"/>
    </row>
    <row r="735" spans="6:6" ht="15.75" customHeight="1">
      <c r="F735" s="8"/>
    </row>
    <row r="736" spans="6:6" ht="15.75" customHeight="1">
      <c r="F736" s="8"/>
    </row>
    <row r="737" spans="6:6" ht="15.75" customHeight="1">
      <c r="F737" s="8"/>
    </row>
    <row r="738" spans="6:6" ht="15.75" customHeight="1">
      <c r="F738" s="8"/>
    </row>
    <row r="739" spans="6:6" ht="15.75" customHeight="1">
      <c r="F739" s="8"/>
    </row>
    <row r="740" spans="6:6" ht="15.75" customHeight="1">
      <c r="F740" s="8"/>
    </row>
    <row r="741" spans="6:6" ht="15.75" customHeight="1">
      <c r="F741" s="8"/>
    </row>
    <row r="742" spans="6:6" ht="15.75" customHeight="1">
      <c r="F742" s="8"/>
    </row>
    <row r="743" spans="6:6" ht="15.75" customHeight="1">
      <c r="F743" s="8"/>
    </row>
    <row r="744" spans="6:6" ht="15.75" customHeight="1">
      <c r="F744" s="8"/>
    </row>
    <row r="745" spans="6:6" ht="15.75" customHeight="1">
      <c r="F745" s="8"/>
    </row>
    <row r="746" spans="6:6" ht="15.75" customHeight="1">
      <c r="F746" s="8"/>
    </row>
    <row r="747" spans="6:6" ht="15.75" customHeight="1">
      <c r="F747" s="8"/>
    </row>
    <row r="748" spans="6:6" ht="15.75" customHeight="1">
      <c r="F748" s="8"/>
    </row>
    <row r="749" spans="6:6" ht="15.75" customHeight="1">
      <c r="F749" s="8"/>
    </row>
    <row r="750" spans="6:6" ht="15.75" customHeight="1">
      <c r="F750" s="8"/>
    </row>
    <row r="751" spans="6:6" ht="15.75" customHeight="1">
      <c r="F751" s="8"/>
    </row>
    <row r="752" spans="6:6" ht="15.75" customHeight="1">
      <c r="F752" s="8"/>
    </row>
    <row r="753" spans="6:6" ht="15.75" customHeight="1">
      <c r="F753" s="8"/>
    </row>
    <row r="754" spans="6:6" ht="15.75" customHeight="1">
      <c r="F754" s="8"/>
    </row>
    <row r="755" spans="6:6" ht="15.75" customHeight="1">
      <c r="F755" s="8"/>
    </row>
    <row r="756" spans="6:6" ht="15.75" customHeight="1">
      <c r="F756" s="8"/>
    </row>
    <row r="757" spans="6:6" ht="15.75" customHeight="1">
      <c r="F757" s="8"/>
    </row>
    <row r="758" spans="6:6" ht="15.75" customHeight="1">
      <c r="F758" s="8"/>
    </row>
    <row r="759" spans="6:6" ht="15.75" customHeight="1">
      <c r="F759" s="8"/>
    </row>
    <row r="760" spans="6:6" ht="15.75" customHeight="1">
      <c r="F760" s="8"/>
    </row>
    <row r="761" spans="6:6" ht="15.75" customHeight="1">
      <c r="F761" s="8"/>
    </row>
    <row r="762" spans="6:6" ht="15.75" customHeight="1">
      <c r="F762" s="8"/>
    </row>
    <row r="763" spans="6:6" ht="15.75" customHeight="1">
      <c r="F763" s="8"/>
    </row>
    <row r="764" spans="6:6" ht="15.75" customHeight="1">
      <c r="F764" s="8"/>
    </row>
    <row r="765" spans="6:6" ht="15.75" customHeight="1">
      <c r="F765" s="8"/>
    </row>
    <row r="766" spans="6:6" ht="15.75" customHeight="1">
      <c r="F766" s="8"/>
    </row>
    <row r="767" spans="6:6" ht="15.75" customHeight="1">
      <c r="F767" s="8"/>
    </row>
    <row r="768" spans="6:6" ht="15.75" customHeight="1">
      <c r="F768" s="8"/>
    </row>
    <row r="769" spans="6:6" ht="15.75" customHeight="1">
      <c r="F769" s="8"/>
    </row>
    <row r="770" spans="6:6" ht="15.75" customHeight="1">
      <c r="F770" s="8"/>
    </row>
    <row r="771" spans="6:6" ht="15.75" customHeight="1">
      <c r="F771" s="8"/>
    </row>
    <row r="772" spans="6:6" ht="15.75" customHeight="1">
      <c r="F772" s="8"/>
    </row>
    <row r="773" spans="6:6" ht="15.75" customHeight="1">
      <c r="F773" s="8"/>
    </row>
    <row r="774" spans="6:6" ht="15.75" customHeight="1">
      <c r="F774" s="8"/>
    </row>
    <row r="775" spans="6:6" ht="15.75" customHeight="1">
      <c r="F775" s="8"/>
    </row>
    <row r="776" spans="6:6" ht="15.75" customHeight="1">
      <c r="F776" s="8"/>
    </row>
    <row r="777" spans="6:6" ht="15.75" customHeight="1">
      <c r="F777" s="8"/>
    </row>
    <row r="778" spans="6:6" ht="15.75" customHeight="1">
      <c r="F778" s="8"/>
    </row>
    <row r="779" spans="6:6" ht="15.75" customHeight="1">
      <c r="F779" s="8"/>
    </row>
    <row r="780" spans="6:6" ht="15.75" customHeight="1">
      <c r="F780" s="8"/>
    </row>
    <row r="781" spans="6:6" ht="15.75" customHeight="1">
      <c r="F781" s="8"/>
    </row>
    <row r="782" spans="6:6" ht="15.75" customHeight="1">
      <c r="F782" s="8"/>
    </row>
    <row r="783" spans="6:6" ht="15.75" customHeight="1">
      <c r="F783" s="8"/>
    </row>
    <row r="784" spans="6:6" ht="15.75" customHeight="1">
      <c r="F784" s="8"/>
    </row>
    <row r="785" spans="6:6" ht="15.75" customHeight="1">
      <c r="F785" s="8"/>
    </row>
    <row r="786" spans="6:6" ht="15.75" customHeight="1">
      <c r="F786" s="8"/>
    </row>
    <row r="787" spans="6:6" ht="15.75" customHeight="1">
      <c r="F787" s="8"/>
    </row>
    <row r="788" spans="6:6" ht="15.75" customHeight="1">
      <c r="F788" s="8"/>
    </row>
    <row r="789" spans="6:6" ht="15.75" customHeight="1">
      <c r="F789" s="8"/>
    </row>
    <row r="790" spans="6:6" ht="15.75" customHeight="1">
      <c r="F790" s="8"/>
    </row>
    <row r="791" spans="6:6" ht="15.75" customHeight="1">
      <c r="F791" s="8"/>
    </row>
    <row r="792" spans="6:6" ht="15.75" customHeight="1">
      <c r="F792" s="8"/>
    </row>
    <row r="793" spans="6:6" ht="15.75" customHeight="1">
      <c r="F793" s="8"/>
    </row>
    <row r="794" spans="6:6" ht="15.75" customHeight="1">
      <c r="F794" s="8"/>
    </row>
    <row r="795" spans="6:6" ht="15.75" customHeight="1">
      <c r="F795" s="8"/>
    </row>
    <row r="796" spans="6:6" ht="15.75" customHeight="1">
      <c r="F796" s="8"/>
    </row>
    <row r="797" spans="6:6" ht="15.75" customHeight="1">
      <c r="F797" s="8"/>
    </row>
    <row r="798" spans="6:6" ht="15.75" customHeight="1">
      <c r="F798" s="8"/>
    </row>
    <row r="799" spans="6:6" ht="15.75" customHeight="1">
      <c r="F799" s="8"/>
    </row>
    <row r="800" spans="6:6" ht="15.75" customHeight="1">
      <c r="F800" s="8"/>
    </row>
    <row r="801" spans="6:6" ht="15.75" customHeight="1">
      <c r="F801" s="8"/>
    </row>
    <row r="802" spans="6:6" ht="15.75" customHeight="1">
      <c r="F802" s="8"/>
    </row>
    <row r="803" spans="6:6" ht="15.75" customHeight="1">
      <c r="F803" s="8"/>
    </row>
    <row r="804" spans="6:6" ht="15.75" customHeight="1">
      <c r="F804" s="8"/>
    </row>
    <row r="805" spans="6:6" ht="15.75" customHeight="1">
      <c r="F805" s="8"/>
    </row>
    <row r="806" spans="6:6" ht="15.75" customHeight="1">
      <c r="F806" s="8"/>
    </row>
    <row r="807" spans="6:6" ht="15.75" customHeight="1">
      <c r="F807" s="8"/>
    </row>
    <row r="808" spans="6:6" ht="15.75" customHeight="1">
      <c r="F808" s="8"/>
    </row>
    <row r="809" spans="6:6" ht="15.75" customHeight="1">
      <c r="F809" s="8"/>
    </row>
    <row r="810" spans="6:6" ht="15.75" customHeight="1">
      <c r="F810" s="8"/>
    </row>
    <row r="811" spans="6:6" ht="15.75" customHeight="1">
      <c r="F811" s="8"/>
    </row>
    <row r="812" spans="6:6" ht="15.75" customHeight="1">
      <c r="F812" s="8"/>
    </row>
    <row r="813" spans="6:6" ht="15.75" customHeight="1">
      <c r="F813" s="8"/>
    </row>
    <row r="814" spans="6:6" ht="15.75" customHeight="1">
      <c r="F814" s="8"/>
    </row>
    <row r="815" spans="6:6" ht="15.75" customHeight="1">
      <c r="F815" s="8"/>
    </row>
    <row r="816" spans="6:6" ht="15.75" customHeight="1">
      <c r="F816" s="8"/>
    </row>
    <row r="817" spans="6:6" ht="15.75" customHeight="1">
      <c r="F817" s="8"/>
    </row>
    <row r="818" spans="6:6" ht="15.75" customHeight="1">
      <c r="F818" s="8"/>
    </row>
    <row r="819" spans="6:6" ht="15.75" customHeight="1">
      <c r="F819" s="8"/>
    </row>
    <row r="820" spans="6:6" ht="15.75" customHeight="1">
      <c r="F820" s="8"/>
    </row>
    <row r="821" spans="6:6" ht="15.75" customHeight="1">
      <c r="F821" s="8"/>
    </row>
    <row r="822" spans="6:6" ht="15.75" customHeight="1">
      <c r="F822" s="8"/>
    </row>
    <row r="823" spans="6:6" ht="15.75" customHeight="1">
      <c r="F823" s="8"/>
    </row>
    <row r="824" spans="6:6" ht="15.75" customHeight="1">
      <c r="F824" s="8"/>
    </row>
    <row r="825" spans="6:6" ht="15.75" customHeight="1">
      <c r="F825" s="8"/>
    </row>
    <row r="826" spans="6:6" ht="15.75" customHeight="1">
      <c r="F826" s="8"/>
    </row>
    <row r="827" spans="6:6" ht="15.75" customHeight="1">
      <c r="F827" s="8"/>
    </row>
    <row r="828" spans="6:6" ht="15.75" customHeight="1">
      <c r="F828" s="8"/>
    </row>
    <row r="829" spans="6:6" ht="15.75" customHeight="1">
      <c r="F829" s="8"/>
    </row>
    <row r="830" spans="6:6" ht="15.75" customHeight="1">
      <c r="F830" s="8"/>
    </row>
    <row r="831" spans="6:6" ht="15.75" customHeight="1">
      <c r="F831" s="8"/>
    </row>
    <row r="832" spans="6:6" ht="15.75" customHeight="1">
      <c r="F832" s="8"/>
    </row>
    <row r="833" spans="6:6" ht="15.75" customHeight="1">
      <c r="F833" s="8"/>
    </row>
    <row r="834" spans="6:6" ht="15.75" customHeight="1">
      <c r="F834" s="8"/>
    </row>
    <row r="835" spans="6:6" ht="15.75" customHeight="1">
      <c r="F835" s="8"/>
    </row>
    <row r="836" spans="6:6" ht="15.75" customHeight="1">
      <c r="F836" s="8"/>
    </row>
    <row r="837" spans="6:6" ht="15.75" customHeight="1">
      <c r="F837" s="8"/>
    </row>
    <row r="838" spans="6:6" ht="15.75" customHeight="1">
      <c r="F838" s="8"/>
    </row>
    <row r="839" spans="6:6" ht="15.75" customHeight="1">
      <c r="F839" s="8"/>
    </row>
    <row r="840" spans="6:6" ht="15.75" customHeight="1">
      <c r="F840" s="8"/>
    </row>
    <row r="841" spans="6:6" ht="15.75" customHeight="1">
      <c r="F841" s="8"/>
    </row>
    <row r="842" spans="6:6" ht="15.75" customHeight="1">
      <c r="F842" s="8"/>
    </row>
    <row r="843" spans="6:6" ht="15.75" customHeight="1">
      <c r="F843" s="8"/>
    </row>
    <row r="844" spans="6:6" ht="15.75" customHeight="1">
      <c r="F844" s="8"/>
    </row>
    <row r="845" spans="6:6" ht="15.75" customHeight="1">
      <c r="F845" s="8"/>
    </row>
    <row r="846" spans="6:6" ht="15.75" customHeight="1">
      <c r="F846" s="8"/>
    </row>
    <row r="847" spans="6:6" ht="15.75" customHeight="1">
      <c r="F847" s="8"/>
    </row>
    <row r="848" spans="6:6" ht="15.75" customHeight="1">
      <c r="F848" s="8"/>
    </row>
    <row r="849" spans="6:6" ht="15.75" customHeight="1">
      <c r="F849" s="8"/>
    </row>
    <row r="850" spans="6:6" ht="15.75" customHeight="1">
      <c r="F850" s="8"/>
    </row>
    <row r="851" spans="6:6" ht="15.75" customHeight="1">
      <c r="F851" s="8"/>
    </row>
    <row r="852" spans="6:6" ht="15.75" customHeight="1">
      <c r="F852" s="8"/>
    </row>
    <row r="853" spans="6:6" ht="15.75" customHeight="1">
      <c r="F853" s="8"/>
    </row>
    <row r="854" spans="6:6" ht="15.75" customHeight="1">
      <c r="F854" s="8"/>
    </row>
    <row r="855" spans="6:6" ht="15.75" customHeight="1">
      <c r="F855" s="8"/>
    </row>
    <row r="856" spans="6:6" ht="15.75" customHeight="1">
      <c r="F856" s="8"/>
    </row>
    <row r="857" spans="6:6" ht="15.75" customHeight="1">
      <c r="F857" s="8"/>
    </row>
    <row r="858" spans="6:6" ht="15.75" customHeight="1">
      <c r="F858" s="8"/>
    </row>
    <row r="859" spans="6:6" ht="15.75" customHeight="1">
      <c r="F859" s="8"/>
    </row>
    <row r="860" spans="6:6" ht="15.75" customHeight="1">
      <c r="F860" s="8"/>
    </row>
    <row r="861" spans="6:6" ht="15.75" customHeight="1">
      <c r="F861" s="8"/>
    </row>
    <row r="862" spans="6:6" ht="15.75" customHeight="1">
      <c r="F862" s="8"/>
    </row>
    <row r="863" spans="6:6" ht="15.75" customHeight="1">
      <c r="F863" s="8"/>
    </row>
    <row r="864" spans="6:6" ht="15.75" customHeight="1">
      <c r="F864" s="8"/>
    </row>
    <row r="865" spans="6:6" ht="15.75" customHeight="1">
      <c r="F865" s="8"/>
    </row>
    <row r="866" spans="6:6" ht="15.75" customHeight="1">
      <c r="F866" s="8"/>
    </row>
    <row r="867" spans="6:6" ht="15.75" customHeight="1">
      <c r="F867" s="8"/>
    </row>
    <row r="868" spans="6:6" ht="15.75" customHeight="1">
      <c r="F868" s="8"/>
    </row>
    <row r="869" spans="6:6" ht="15.75" customHeight="1">
      <c r="F869" s="8"/>
    </row>
    <row r="870" spans="6:6" ht="15.75" customHeight="1">
      <c r="F870" s="8"/>
    </row>
    <row r="871" spans="6:6" ht="15.75" customHeight="1">
      <c r="F871" s="8"/>
    </row>
    <row r="872" spans="6:6" ht="15.75" customHeight="1">
      <c r="F872" s="8"/>
    </row>
    <row r="873" spans="6:6" ht="15.75" customHeight="1">
      <c r="F873" s="8"/>
    </row>
    <row r="874" spans="6:6" ht="15.75" customHeight="1">
      <c r="F874" s="8"/>
    </row>
    <row r="875" spans="6:6" ht="15.75" customHeight="1">
      <c r="F875" s="8"/>
    </row>
    <row r="876" spans="6:6" ht="15.75" customHeight="1">
      <c r="F876" s="8"/>
    </row>
    <row r="877" spans="6:6" ht="15.75" customHeight="1">
      <c r="F877" s="8"/>
    </row>
    <row r="878" spans="6:6" ht="15.75" customHeight="1">
      <c r="F878" s="8"/>
    </row>
    <row r="879" spans="6:6" ht="15.75" customHeight="1">
      <c r="F879" s="8"/>
    </row>
    <row r="880" spans="6:6" ht="15.75" customHeight="1">
      <c r="F880" s="8"/>
    </row>
    <row r="881" spans="6:6" ht="15.75" customHeight="1">
      <c r="F881" s="8"/>
    </row>
    <row r="882" spans="6:6" ht="15.75" customHeight="1">
      <c r="F882" s="8"/>
    </row>
    <row r="883" spans="6:6" ht="15.75" customHeight="1">
      <c r="F883" s="8"/>
    </row>
    <row r="884" spans="6:6" ht="15.75" customHeight="1">
      <c r="F884" s="8"/>
    </row>
    <row r="885" spans="6:6" ht="15.75" customHeight="1">
      <c r="F885" s="8"/>
    </row>
    <row r="886" spans="6:6" ht="15.75" customHeight="1">
      <c r="F886" s="8"/>
    </row>
    <row r="887" spans="6:6" ht="15.75" customHeight="1">
      <c r="F887" s="8"/>
    </row>
    <row r="888" spans="6:6" ht="15.75" customHeight="1">
      <c r="F888" s="8"/>
    </row>
    <row r="889" spans="6:6" ht="15.75" customHeight="1">
      <c r="F889" s="8"/>
    </row>
    <row r="890" spans="6:6" ht="15.75" customHeight="1">
      <c r="F890" s="8"/>
    </row>
    <row r="891" spans="6:6" ht="15.75" customHeight="1">
      <c r="F891" s="8"/>
    </row>
    <row r="892" spans="6:6" ht="15.75" customHeight="1">
      <c r="F892" s="8"/>
    </row>
    <row r="893" spans="6:6" ht="15.75" customHeight="1">
      <c r="F893" s="8"/>
    </row>
    <row r="894" spans="6:6" ht="15.75" customHeight="1">
      <c r="F894" s="8"/>
    </row>
    <row r="895" spans="6:6" ht="15.75" customHeight="1">
      <c r="F895" s="8"/>
    </row>
    <row r="896" spans="6:6" ht="15.75" customHeight="1">
      <c r="F896" s="8"/>
    </row>
    <row r="897" spans="6:6" ht="15.75" customHeight="1">
      <c r="F897" s="8"/>
    </row>
    <row r="898" spans="6:6" ht="15.75" customHeight="1">
      <c r="F898" s="8"/>
    </row>
    <row r="899" spans="6:6" ht="15.75" customHeight="1">
      <c r="F899" s="8"/>
    </row>
    <row r="900" spans="6:6" ht="15.75" customHeight="1">
      <c r="F900" s="8"/>
    </row>
    <row r="901" spans="6:6" ht="15.75" customHeight="1">
      <c r="F901" s="8"/>
    </row>
    <row r="902" spans="6:6" ht="15.75" customHeight="1">
      <c r="F902" s="8"/>
    </row>
    <row r="903" spans="6:6" ht="15.75" customHeight="1">
      <c r="F903" s="8"/>
    </row>
    <row r="904" spans="6:6" ht="15.75" customHeight="1">
      <c r="F904" s="8"/>
    </row>
    <row r="905" spans="6:6" ht="15.75" customHeight="1">
      <c r="F905" s="8"/>
    </row>
    <row r="906" spans="6:6" ht="15.75" customHeight="1">
      <c r="F906" s="8"/>
    </row>
    <row r="907" spans="6:6" ht="15.75" customHeight="1">
      <c r="F907" s="8"/>
    </row>
    <row r="908" spans="6:6" ht="15.75" customHeight="1">
      <c r="F908" s="8"/>
    </row>
    <row r="909" spans="6:6" ht="15.75" customHeight="1">
      <c r="F909" s="8"/>
    </row>
    <row r="910" spans="6:6" ht="15.75" customHeight="1">
      <c r="F910" s="8"/>
    </row>
    <row r="911" spans="6:6" ht="15.75" customHeight="1">
      <c r="F911" s="8"/>
    </row>
    <row r="912" spans="6:6" ht="15.75" customHeight="1">
      <c r="F912" s="8"/>
    </row>
    <row r="913" spans="6:6" ht="15.75" customHeight="1">
      <c r="F913" s="8"/>
    </row>
    <row r="914" spans="6:6" ht="15.75" customHeight="1">
      <c r="F914" s="8"/>
    </row>
    <row r="915" spans="6:6" ht="15.75" customHeight="1">
      <c r="F915" s="8"/>
    </row>
    <row r="916" spans="6:6" ht="15.75" customHeight="1">
      <c r="F916" s="8"/>
    </row>
    <row r="917" spans="6:6" ht="15.75" customHeight="1">
      <c r="F917" s="8"/>
    </row>
    <row r="918" spans="6:6" ht="15.75" customHeight="1">
      <c r="F918" s="8"/>
    </row>
    <row r="919" spans="6:6" ht="15.75" customHeight="1">
      <c r="F919" s="8"/>
    </row>
    <row r="920" spans="6:6" ht="15.75" customHeight="1">
      <c r="F920" s="8"/>
    </row>
    <row r="921" spans="6:6" ht="15.75" customHeight="1">
      <c r="F921" s="8"/>
    </row>
    <row r="922" spans="6:6" ht="15.75" customHeight="1">
      <c r="F922" s="8"/>
    </row>
    <row r="923" spans="6:6" ht="15.75" customHeight="1">
      <c r="F923" s="8"/>
    </row>
    <row r="924" spans="6:6" ht="15.75" customHeight="1">
      <c r="F924" s="8"/>
    </row>
    <row r="925" spans="6:6" ht="15.75" customHeight="1">
      <c r="F925" s="8"/>
    </row>
    <row r="926" spans="6:6" ht="15.75" customHeight="1">
      <c r="F926" s="8"/>
    </row>
    <row r="927" spans="6:6" ht="15.75" customHeight="1">
      <c r="F927" s="8"/>
    </row>
    <row r="928" spans="6:6" ht="15.75" customHeight="1">
      <c r="F928" s="8"/>
    </row>
    <row r="929" spans="6:6" ht="15.75" customHeight="1">
      <c r="F929" s="8"/>
    </row>
    <row r="930" spans="6:6" ht="15.75" customHeight="1">
      <c r="F930" s="8"/>
    </row>
    <row r="931" spans="6:6" ht="15.75" customHeight="1">
      <c r="F931" s="8"/>
    </row>
    <row r="932" spans="6:6" ht="15.75" customHeight="1">
      <c r="F932" s="8"/>
    </row>
    <row r="933" spans="6:6" ht="15.75" customHeight="1">
      <c r="F933" s="8"/>
    </row>
    <row r="934" spans="6:6" ht="15.75" customHeight="1">
      <c r="F934" s="8"/>
    </row>
    <row r="935" spans="6:6" ht="15.75" customHeight="1">
      <c r="F935" s="8"/>
    </row>
    <row r="936" spans="6:6" ht="15.75" customHeight="1">
      <c r="F936" s="8"/>
    </row>
    <row r="937" spans="6:6" ht="15.75" customHeight="1">
      <c r="F937" s="8"/>
    </row>
    <row r="938" spans="6:6" ht="15.75" customHeight="1">
      <c r="F938" s="8"/>
    </row>
    <row r="939" spans="6:6" ht="15.75" customHeight="1">
      <c r="F939" s="8"/>
    </row>
    <row r="940" spans="6:6" ht="15.75" customHeight="1">
      <c r="F940" s="8"/>
    </row>
    <row r="941" spans="6:6" ht="15.75" customHeight="1">
      <c r="F941" s="8"/>
    </row>
    <row r="942" spans="6:6" ht="15.75" customHeight="1">
      <c r="F942" s="8"/>
    </row>
    <row r="943" spans="6:6" ht="15.75" customHeight="1">
      <c r="F943" s="8"/>
    </row>
    <row r="944" spans="6:6" ht="15.75" customHeight="1">
      <c r="F944" s="8"/>
    </row>
    <row r="945" spans="6:6" ht="15.75" customHeight="1">
      <c r="F945" s="8"/>
    </row>
    <row r="946" spans="6:6" ht="15.75" customHeight="1">
      <c r="F946" s="8"/>
    </row>
    <row r="947" spans="6:6" ht="15.75" customHeight="1">
      <c r="F947" s="8"/>
    </row>
    <row r="948" spans="6:6" ht="15.75" customHeight="1">
      <c r="F948" s="8"/>
    </row>
    <row r="949" spans="6:6" ht="15.75" customHeight="1">
      <c r="F949" s="8"/>
    </row>
    <row r="950" spans="6:6" ht="15.75" customHeight="1">
      <c r="F950" s="8"/>
    </row>
    <row r="951" spans="6:6" ht="15.75" customHeight="1">
      <c r="F951" s="8"/>
    </row>
    <row r="952" spans="6:6" ht="15.75" customHeight="1">
      <c r="F952" s="8"/>
    </row>
    <row r="953" spans="6:6" ht="15.75" customHeight="1">
      <c r="F953" s="8"/>
    </row>
    <row r="954" spans="6:6" ht="15.75" customHeight="1">
      <c r="F954" s="8"/>
    </row>
    <row r="955" spans="6:6" ht="15.75" customHeight="1">
      <c r="F955" s="8"/>
    </row>
    <row r="956" spans="6:6" ht="15.75" customHeight="1">
      <c r="F956" s="8"/>
    </row>
    <row r="957" spans="6:6" ht="15.75" customHeight="1">
      <c r="F957" s="8"/>
    </row>
    <row r="958" spans="6:6" ht="15.75" customHeight="1">
      <c r="F958" s="8"/>
    </row>
    <row r="959" spans="6:6" ht="15.75" customHeight="1">
      <c r="F959" s="8"/>
    </row>
    <row r="960" spans="6:6" ht="15.75" customHeight="1">
      <c r="F960" s="8"/>
    </row>
    <row r="961" spans="6:6" ht="15.75" customHeight="1">
      <c r="F961" s="8"/>
    </row>
    <row r="962" spans="6:6" ht="15.75" customHeight="1">
      <c r="F962" s="8"/>
    </row>
    <row r="963" spans="6:6" ht="15.75" customHeight="1">
      <c r="F963" s="8"/>
    </row>
    <row r="964" spans="6:6" ht="15.75" customHeight="1">
      <c r="F964" s="8"/>
    </row>
    <row r="965" spans="6:6" ht="15.75" customHeight="1">
      <c r="F965" s="8"/>
    </row>
    <row r="966" spans="6:6" ht="15.75" customHeight="1">
      <c r="F966" s="8"/>
    </row>
    <row r="967" spans="6:6" ht="15.75" customHeight="1">
      <c r="F967" s="8"/>
    </row>
    <row r="968" spans="6:6" ht="15.75" customHeight="1">
      <c r="F968" s="8"/>
    </row>
    <row r="969" spans="6:6" ht="15.75" customHeight="1">
      <c r="F969" s="8"/>
    </row>
    <row r="970" spans="6:6" ht="15.75" customHeight="1">
      <c r="F970" s="8"/>
    </row>
    <row r="971" spans="6:6" ht="15.75" customHeight="1">
      <c r="F971" s="8"/>
    </row>
    <row r="972" spans="6:6" ht="15.75" customHeight="1">
      <c r="F972" s="8"/>
    </row>
    <row r="973" spans="6:6" ht="15.75" customHeight="1">
      <c r="F973" s="8"/>
    </row>
    <row r="974" spans="6:6" ht="15.75" customHeight="1">
      <c r="F974" s="8"/>
    </row>
    <row r="975" spans="6:6" ht="15.75" customHeight="1">
      <c r="F975" s="8"/>
    </row>
    <row r="976" spans="6:6" ht="15.75" customHeight="1">
      <c r="F976" s="8"/>
    </row>
    <row r="977" spans="6:6" ht="15.75" customHeight="1">
      <c r="F977" s="8"/>
    </row>
    <row r="978" spans="6:6" ht="15.75" customHeight="1">
      <c r="F978" s="8"/>
    </row>
    <row r="979" spans="6:6" ht="15.75" customHeight="1">
      <c r="F979" s="8"/>
    </row>
    <row r="980" spans="6:6" ht="15.75" customHeight="1">
      <c r="F980" s="8"/>
    </row>
    <row r="981" spans="6:6" ht="15.75" customHeight="1">
      <c r="F981" s="8"/>
    </row>
    <row r="982" spans="6:6" ht="15.75" customHeight="1">
      <c r="F982" s="8"/>
    </row>
    <row r="983" spans="6:6" ht="15.75" customHeight="1">
      <c r="F983" s="8"/>
    </row>
    <row r="984" spans="6:6" ht="15.75" customHeight="1">
      <c r="F984" s="8"/>
    </row>
    <row r="985" spans="6:6" ht="15.75" customHeight="1">
      <c r="F985" s="8"/>
    </row>
    <row r="986" spans="6:6" ht="15.75" customHeight="1">
      <c r="F986" s="8"/>
    </row>
    <row r="987" spans="6:6" ht="15.75" customHeight="1">
      <c r="F987" s="8"/>
    </row>
    <row r="988" spans="6:6" ht="15.75" customHeight="1">
      <c r="F988" s="8"/>
    </row>
    <row r="989" spans="6:6" ht="15.75" customHeight="1">
      <c r="F989" s="8"/>
    </row>
    <row r="990" spans="6:6" ht="15.75" customHeight="1">
      <c r="F990" s="8"/>
    </row>
    <row r="991" spans="6:6" ht="15.75" customHeight="1">
      <c r="F991" s="8"/>
    </row>
    <row r="992" spans="6:6" ht="15.75" customHeight="1">
      <c r="F992" s="8"/>
    </row>
    <row r="993" spans="6:6" ht="15.75" customHeight="1">
      <c r="F993" s="8"/>
    </row>
    <row r="994" spans="6:6" ht="15.75" customHeight="1">
      <c r="F994" s="8"/>
    </row>
    <row r="995" spans="6:6" ht="15.75" customHeight="1">
      <c r="F995" s="8"/>
    </row>
    <row r="996" spans="6:6" ht="15.75" customHeight="1">
      <c r="F996" s="8"/>
    </row>
    <row r="997" spans="6:6" ht="15.75" customHeight="1">
      <c r="F997" s="8"/>
    </row>
    <row r="998" spans="6:6" ht="15.75" customHeight="1">
      <c r="F998" s="8"/>
    </row>
    <row r="999" spans="6:6" ht="15.75" customHeight="1">
      <c r="F999" s="8"/>
    </row>
  </sheetData>
  <dataValidations count="1">
    <dataValidation type="list" allowBlank="1" showErrorMessage="1" sqref="C3:C103" xr:uid="{00000000-0002-0000-0100-000000000000}">
      <formula1>"Yes,No"</formula1>
    </dataValidation>
  </dataValidations>
  <hyperlinks>
    <hyperlink ref="B3" r:id="rId1" xr:uid="{00000000-0004-0000-0100-000000000000}"/>
    <hyperlink ref="B4" r:id="rId2" xr:uid="{00000000-0004-0000-0100-000001000000}"/>
    <hyperlink ref="B5" r:id="rId3" xr:uid="{00000000-0004-0000-0100-000002000000}"/>
    <hyperlink ref="B6" r:id="rId4" xr:uid="{00000000-0004-0000-0100-000003000000}"/>
    <hyperlink ref="B7" r:id="rId5" xr:uid="{00000000-0004-0000-0100-000004000000}"/>
    <hyperlink ref="B8" r:id="rId6" xr:uid="{00000000-0004-0000-0100-000005000000}"/>
    <hyperlink ref="B9" r:id="rId7" xr:uid="{00000000-0004-0000-0100-000006000000}"/>
    <hyperlink ref="B10" r:id="rId8" xr:uid="{00000000-0004-0000-0100-000007000000}"/>
    <hyperlink ref="B11" r:id="rId9" xr:uid="{00000000-0004-0000-0100-000008000000}"/>
    <hyperlink ref="B12" r:id="rId10" xr:uid="{00000000-0004-0000-0100-000009000000}"/>
    <hyperlink ref="B13" r:id="rId11" xr:uid="{00000000-0004-0000-0100-00000A000000}"/>
    <hyperlink ref="B14" r:id="rId12" xr:uid="{00000000-0004-0000-0100-00000B000000}"/>
    <hyperlink ref="B15" r:id="rId13" xr:uid="{00000000-0004-0000-0100-00000C000000}"/>
    <hyperlink ref="B16" r:id="rId14" xr:uid="{00000000-0004-0000-0100-00000D000000}"/>
    <hyperlink ref="B17" r:id="rId15" xr:uid="{00000000-0004-0000-0100-00000E000000}"/>
    <hyperlink ref="B18" r:id="rId16" xr:uid="{00000000-0004-0000-0100-00000F000000}"/>
    <hyperlink ref="B19" r:id="rId17" xr:uid="{00000000-0004-0000-0100-000010000000}"/>
    <hyperlink ref="B20" r:id="rId18" xr:uid="{00000000-0004-0000-0100-000011000000}"/>
    <hyperlink ref="B21" r:id="rId19" xr:uid="{00000000-0004-0000-0100-000012000000}"/>
    <hyperlink ref="B22" r:id="rId20" xr:uid="{00000000-0004-0000-0100-000013000000}"/>
    <hyperlink ref="B23" r:id="rId21" xr:uid="{00000000-0004-0000-0100-000014000000}"/>
    <hyperlink ref="B24" r:id="rId22" xr:uid="{00000000-0004-0000-0100-000015000000}"/>
    <hyperlink ref="B25" r:id="rId23" xr:uid="{00000000-0004-0000-0100-000016000000}"/>
    <hyperlink ref="B26" r:id="rId24" xr:uid="{00000000-0004-0000-0100-000017000000}"/>
    <hyperlink ref="B27" r:id="rId25" xr:uid="{00000000-0004-0000-0100-000018000000}"/>
    <hyperlink ref="B28" r:id="rId26" xr:uid="{00000000-0004-0000-0100-000019000000}"/>
    <hyperlink ref="B29" r:id="rId27" xr:uid="{00000000-0004-0000-0100-00001A000000}"/>
    <hyperlink ref="B30" r:id="rId28" xr:uid="{00000000-0004-0000-0100-00001B000000}"/>
    <hyperlink ref="B31" r:id="rId29" xr:uid="{00000000-0004-0000-0100-00001C000000}"/>
    <hyperlink ref="B32" r:id="rId30" xr:uid="{00000000-0004-0000-0100-00001D000000}"/>
    <hyperlink ref="B33" r:id="rId31" xr:uid="{00000000-0004-0000-0100-00001E000000}"/>
    <hyperlink ref="B34" r:id="rId32" xr:uid="{00000000-0004-0000-0100-00001F000000}"/>
    <hyperlink ref="B35" r:id="rId33" xr:uid="{00000000-0004-0000-0100-000020000000}"/>
    <hyperlink ref="B36" r:id="rId34" xr:uid="{00000000-0004-0000-0100-000021000000}"/>
    <hyperlink ref="B37" r:id="rId35" xr:uid="{00000000-0004-0000-0100-000022000000}"/>
    <hyperlink ref="B38" r:id="rId36" xr:uid="{00000000-0004-0000-0100-000023000000}"/>
    <hyperlink ref="B39" r:id="rId37" xr:uid="{00000000-0004-0000-0100-000024000000}"/>
    <hyperlink ref="B40" r:id="rId38" xr:uid="{00000000-0004-0000-0100-000025000000}"/>
    <hyperlink ref="B41" r:id="rId39" xr:uid="{00000000-0004-0000-0100-000026000000}"/>
    <hyperlink ref="B42" r:id="rId40" xr:uid="{00000000-0004-0000-0100-000027000000}"/>
    <hyperlink ref="B43" r:id="rId41" xr:uid="{00000000-0004-0000-0100-000028000000}"/>
    <hyperlink ref="B44" r:id="rId42" xr:uid="{00000000-0004-0000-0100-000029000000}"/>
    <hyperlink ref="B45" r:id="rId43" xr:uid="{00000000-0004-0000-0100-00002A000000}"/>
    <hyperlink ref="B46" r:id="rId44" xr:uid="{00000000-0004-0000-0100-00002B000000}"/>
    <hyperlink ref="B47" r:id="rId45" xr:uid="{00000000-0004-0000-0100-00002C000000}"/>
    <hyperlink ref="B48" r:id="rId46" xr:uid="{00000000-0004-0000-0100-00002D000000}"/>
    <hyperlink ref="B49" r:id="rId47" xr:uid="{00000000-0004-0000-0100-00002E000000}"/>
    <hyperlink ref="B50" r:id="rId48" xr:uid="{00000000-0004-0000-0100-00002F000000}"/>
    <hyperlink ref="B51" r:id="rId49" xr:uid="{00000000-0004-0000-0100-000030000000}"/>
    <hyperlink ref="B52" r:id="rId50" xr:uid="{00000000-0004-0000-0100-000031000000}"/>
    <hyperlink ref="B53" r:id="rId51" xr:uid="{00000000-0004-0000-0100-000032000000}"/>
    <hyperlink ref="B54" r:id="rId52" xr:uid="{00000000-0004-0000-0100-000033000000}"/>
    <hyperlink ref="B55" r:id="rId53" xr:uid="{00000000-0004-0000-0100-000034000000}"/>
    <hyperlink ref="B56" r:id="rId54" xr:uid="{00000000-0004-0000-0100-000035000000}"/>
    <hyperlink ref="B57" r:id="rId55" xr:uid="{00000000-0004-0000-0100-000036000000}"/>
    <hyperlink ref="B58" r:id="rId56" xr:uid="{00000000-0004-0000-0100-000037000000}"/>
    <hyperlink ref="B59" r:id="rId57" xr:uid="{00000000-0004-0000-0100-000038000000}"/>
    <hyperlink ref="B60" r:id="rId58" xr:uid="{00000000-0004-0000-0100-000039000000}"/>
    <hyperlink ref="B61" r:id="rId59" xr:uid="{00000000-0004-0000-0100-00003A000000}"/>
    <hyperlink ref="B62" r:id="rId60" xr:uid="{00000000-0004-0000-0100-00003B000000}"/>
    <hyperlink ref="B63" r:id="rId61" xr:uid="{00000000-0004-0000-0100-00003C000000}"/>
    <hyperlink ref="B64" r:id="rId62" xr:uid="{00000000-0004-0000-0100-00003D000000}"/>
    <hyperlink ref="B65" r:id="rId63" xr:uid="{00000000-0004-0000-0100-00003E000000}"/>
    <hyperlink ref="B66" r:id="rId64" xr:uid="{00000000-0004-0000-0100-00003F000000}"/>
    <hyperlink ref="B67" r:id="rId65" xr:uid="{00000000-0004-0000-0100-000040000000}"/>
    <hyperlink ref="B68" r:id="rId66" xr:uid="{00000000-0004-0000-0100-000041000000}"/>
    <hyperlink ref="B69" r:id="rId67" xr:uid="{00000000-0004-0000-0100-000042000000}"/>
    <hyperlink ref="B70" r:id="rId68" xr:uid="{00000000-0004-0000-0100-000043000000}"/>
    <hyperlink ref="B71" r:id="rId69" xr:uid="{00000000-0004-0000-0100-000044000000}"/>
    <hyperlink ref="B72" r:id="rId70" xr:uid="{00000000-0004-0000-0100-000045000000}"/>
    <hyperlink ref="B73" r:id="rId71" xr:uid="{00000000-0004-0000-0100-000046000000}"/>
    <hyperlink ref="B74" r:id="rId72" xr:uid="{00000000-0004-0000-0100-000047000000}"/>
    <hyperlink ref="B75" r:id="rId73" xr:uid="{00000000-0004-0000-0100-000048000000}"/>
    <hyperlink ref="B76" r:id="rId74" xr:uid="{00000000-0004-0000-0100-000049000000}"/>
    <hyperlink ref="B77" r:id="rId75" xr:uid="{00000000-0004-0000-0100-00004A000000}"/>
    <hyperlink ref="B78" r:id="rId76" xr:uid="{00000000-0004-0000-0100-00004B000000}"/>
    <hyperlink ref="B79" r:id="rId77" xr:uid="{00000000-0004-0000-0100-00004C000000}"/>
    <hyperlink ref="B80" r:id="rId78" xr:uid="{00000000-0004-0000-0100-00004D000000}"/>
    <hyperlink ref="B81" r:id="rId79" xr:uid="{00000000-0004-0000-0100-00004E000000}"/>
    <hyperlink ref="B82" r:id="rId80" xr:uid="{00000000-0004-0000-0100-00004F000000}"/>
    <hyperlink ref="B83" r:id="rId81" xr:uid="{00000000-0004-0000-0100-000050000000}"/>
    <hyperlink ref="B84" r:id="rId82" xr:uid="{00000000-0004-0000-0100-000051000000}"/>
    <hyperlink ref="B85" r:id="rId83" xr:uid="{00000000-0004-0000-0100-000052000000}"/>
    <hyperlink ref="B86" r:id="rId84" xr:uid="{00000000-0004-0000-0100-000053000000}"/>
    <hyperlink ref="B87" r:id="rId85" xr:uid="{00000000-0004-0000-0100-000054000000}"/>
    <hyperlink ref="B88" r:id="rId86" xr:uid="{00000000-0004-0000-0100-000055000000}"/>
    <hyperlink ref="B89" r:id="rId87" xr:uid="{00000000-0004-0000-0100-000056000000}"/>
    <hyperlink ref="B90" r:id="rId88" xr:uid="{00000000-0004-0000-0100-000057000000}"/>
    <hyperlink ref="B91" r:id="rId89" xr:uid="{00000000-0004-0000-0100-000058000000}"/>
    <hyperlink ref="B92" r:id="rId90" xr:uid="{00000000-0004-0000-0100-000059000000}"/>
    <hyperlink ref="B93" r:id="rId91" xr:uid="{00000000-0004-0000-0100-00005A000000}"/>
    <hyperlink ref="B94" r:id="rId92" xr:uid="{00000000-0004-0000-0100-00005B000000}"/>
    <hyperlink ref="B95" r:id="rId93" xr:uid="{00000000-0004-0000-0100-00005C000000}"/>
    <hyperlink ref="B96" r:id="rId94" xr:uid="{00000000-0004-0000-0100-00005D000000}"/>
    <hyperlink ref="B97" r:id="rId95" xr:uid="{00000000-0004-0000-0100-00005E000000}"/>
    <hyperlink ref="B98" r:id="rId96" xr:uid="{00000000-0004-0000-0100-00005F000000}"/>
    <hyperlink ref="B99" r:id="rId97" xr:uid="{00000000-0004-0000-0100-000060000000}"/>
    <hyperlink ref="B100" r:id="rId98" xr:uid="{00000000-0004-0000-0100-000061000000}"/>
    <hyperlink ref="B101" r:id="rId99" xr:uid="{00000000-0004-0000-0100-000062000000}"/>
    <hyperlink ref="B102" r:id="rId100" xr:uid="{00000000-0004-0000-0100-000063000000}"/>
    <hyperlink ref="B103" r:id="rId101" xr:uid="{00000000-0004-0000-0100-000064000000}"/>
  </hyperlinks>
  <pageMargins left="0.7" right="0.7" top="0.75" bottom="0.75" header="0" footer="0"/>
  <pageSetup orientation="landscape"/>
  <drawing r:id="rId102"/>
  <legacyDrawing r:id="rId1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001"/>
  <sheetViews>
    <sheetView topLeftCell="I1" workbookViewId="0">
      <selection activeCell="O10" sqref="O10"/>
    </sheetView>
  </sheetViews>
  <sheetFormatPr baseColWidth="10" defaultColWidth="11.1640625" defaultRowHeight="15" customHeight="1"/>
  <cols>
    <col min="1" max="1" width="26.5" customWidth="1"/>
    <col min="2" max="3" width="17.83203125" customWidth="1"/>
    <col min="4" max="4" width="33.83203125" customWidth="1"/>
    <col min="5" max="8" width="22.1640625" customWidth="1"/>
    <col min="9" max="9" width="86.33203125" customWidth="1"/>
    <col min="10" max="10" width="23.1640625" customWidth="1"/>
    <col min="11" max="11" width="17.33203125" customWidth="1"/>
    <col min="12" max="12" width="18.5" customWidth="1"/>
    <col min="13" max="30" width="10.5" customWidth="1"/>
  </cols>
  <sheetData>
    <row r="1" spans="1:30" ht="15.75" customHeight="1">
      <c r="A1" s="21" t="s">
        <v>8</v>
      </c>
      <c r="B1" s="21" t="s">
        <v>9</v>
      </c>
      <c r="C1" s="21" t="s">
        <v>11</v>
      </c>
      <c r="D1" s="21" t="s">
        <v>12</v>
      </c>
      <c r="E1" s="22" t="s">
        <v>13</v>
      </c>
      <c r="F1" s="21" t="s">
        <v>552</v>
      </c>
      <c r="G1" s="21" t="s">
        <v>553</v>
      </c>
      <c r="H1" s="21" t="s">
        <v>16</v>
      </c>
      <c r="I1" s="23" t="s">
        <v>17</v>
      </c>
      <c r="J1" s="21" t="s">
        <v>18</v>
      </c>
      <c r="K1" s="21" t="s">
        <v>19</v>
      </c>
      <c r="L1" s="21" t="s">
        <v>20</v>
      </c>
      <c r="M1" s="24" t="s">
        <v>554</v>
      </c>
      <c r="N1" s="25"/>
      <c r="O1" s="25"/>
      <c r="P1" s="25"/>
      <c r="Q1" s="25"/>
      <c r="R1" s="25"/>
      <c r="S1" s="25"/>
      <c r="T1" s="25"/>
      <c r="U1" s="25"/>
      <c r="V1" s="25"/>
      <c r="W1" s="25"/>
      <c r="X1" s="25"/>
      <c r="Y1" s="25"/>
      <c r="Z1" s="25"/>
      <c r="AA1" s="25"/>
      <c r="AB1" s="25"/>
      <c r="AC1" s="25"/>
      <c r="AD1" s="25"/>
    </row>
    <row r="2" spans="1:30" ht="15.75" customHeight="1">
      <c r="A2" s="26" t="s">
        <v>21</v>
      </c>
      <c r="B2" s="26"/>
      <c r="C2" s="26"/>
      <c r="D2" s="26"/>
      <c r="E2" s="26"/>
      <c r="F2" s="26"/>
      <c r="G2" s="26"/>
      <c r="H2" s="26"/>
      <c r="I2" s="27"/>
      <c r="J2" s="26"/>
      <c r="K2" s="26"/>
      <c r="L2" s="26"/>
      <c r="M2" s="26"/>
      <c r="N2" s="25"/>
      <c r="O2" s="25"/>
      <c r="P2" s="25"/>
      <c r="Q2" s="25"/>
      <c r="R2" s="25"/>
      <c r="S2" s="25"/>
      <c r="T2" s="25"/>
      <c r="U2" s="25"/>
      <c r="V2" s="25"/>
      <c r="W2" s="25"/>
      <c r="X2" s="25"/>
      <c r="Y2" s="25"/>
      <c r="Z2" s="25"/>
      <c r="AA2" s="25"/>
      <c r="AB2" s="25"/>
      <c r="AC2" s="25"/>
      <c r="AD2" s="25"/>
    </row>
    <row r="3" spans="1:30" ht="15.75" customHeight="1">
      <c r="A3" s="25" t="s">
        <v>22</v>
      </c>
      <c r="B3" s="28" t="s">
        <v>23</v>
      </c>
      <c r="C3" s="25"/>
      <c r="D3" s="25" t="s">
        <v>555</v>
      </c>
      <c r="E3" s="25" t="s">
        <v>556</v>
      </c>
      <c r="F3" s="25" t="s">
        <v>26</v>
      </c>
      <c r="G3" s="25" t="s">
        <v>27</v>
      </c>
      <c r="H3" s="25" t="s">
        <v>26</v>
      </c>
      <c r="I3" s="25" t="s">
        <v>557</v>
      </c>
      <c r="J3" s="25" t="s">
        <v>558</v>
      </c>
      <c r="K3" s="25" t="s">
        <v>559</v>
      </c>
      <c r="L3" s="25" t="s">
        <v>560</v>
      </c>
      <c r="M3" s="25" t="s">
        <v>27</v>
      </c>
      <c r="N3" s="25"/>
      <c r="O3" s="25"/>
      <c r="P3" s="25"/>
      <c r="Q3" s="25"/>
      <c r="R3" s="25"/>
      <c r="S3" s="25"/>
      <c r="T3" s="25"/>
      <c r="U3" s="25"/>
      <c r="V3" s="25"/>
      <c r="W3" s="25"/>
      <c r="X3" s="25"/>
      <c r="Y3" s="25"/>
      <c r="Z3" s="25"/>
      <c r="AA3" s="25"/>
      <c r="AB3" s="25"/>
      <c r="AC3" s="25"/>
      <c r="AD3" s="25"/>
    </row>
    <row r="4" spans="1:30" ht="15.75" customHeight="1">
      <c r="A4" s="25" t="s">
        <v>32</v>
      </c>
      <c r="B4" s="28" t="s">
        <v>33</v>
      </c>
      <c r="C4" s="25"/>
      <c r="D4" s="25" t="s">
        <v>561</v>
      </c>
      <c r="E4" s="25" t="s">
        <v>562</v>
      </c>
      <c r="F4" s="25" t="s">
        <v>26</v>
      </c>
      <c r="G4" s="25" t="s">
        <v>26</v>
      </c>
      <c r="H4" s="25" t="s">
        <v>26</v>
      </c>
      <c r="I4" s="25" t="s">
        <v>563</v>
      </c>
      <c r="J4" s="25" t="s">
        <v>564</v>
      </c>
      <c r="K4" s="25" t="s">
        <v>559</v>
      </c>
      <c r="L4" s="25" t="s">
        <v>565</v>
      </c>
      <c r="M4" s="25" t="s">
        <v>27</v>
      </c>
      <c r="N4" s="25"/>
      <c r="O4" s="25"/>
      <c r="P4" s="25"/>
      <c r="Q4" s="25"/>
      <c r="R4" s="25"/>
      <c r="S4" s="25"/>
      <c r="T4" s="25"/>
      <c r="U4" s="25"/>
      <c r="V4" s="25"/>
      <c r="W4" s="25"/>
      <c r="X4" s="25"/>
      <c r="Y4" s="25"/>
      <c r="Z4" s="25"/>
      <c r="AA4" s="25"/>
      <c r="AB4" s="25"/>
      <c r="AC4" s="25"/>
      <c r="AD4" s="25"/>
    </row>
    <row r="5" spans="1:30" ht="15.75" customHeight="1">
      <c r="A5" s="25" t="s">
        <v>38</v>
      </c>
      <c r="B5" s="28" t="s">
        <v>39</v>
      </c>
      <c r="C5" s="28"/>
      <c r="D5" s="25" t="s">
        <v>566</v>
      </c>
      <c r="E5" s="25" t="s">
        <v>41</v>
      </c>
      <c r="F5" s="25" t="s">
        <v>27</v>
      </c>
      <c r="G5" s="25" t="s">
        <v>27</v>
      </c>
      <c r="H5" s="25" t="s">
        <v>567</v>
      </c>
      <c r="I5" s="25" t="s">
        <v>568</v>
      </c>
      <c r="J5" s="25" t="s">
        <v>558</v>
      </c>
      <c r="K5" s="25" t="s">
        <v>569</v>
      </c>
      <c r="L5" s="25" t="s">
        <v>570</v>
      </c>
      <c r="M5" s="25" t="s">
        <v>27</v>
      </c>
      <c r="N5" s="25"/>
      <c r="O5" s="25"/>
      <c r="P5" s="25"/>
      <c r="Q5" s="25"/>
      <c r="R5" s="25"/>
      <c r="S5" s="25"/>
      <c r="T5" s="25"/>
      <c r="U5" s="25"/>
      <c r="V5" s="25"/>
      <c r="W5" s="25"/>
      <c r="X5" s="25"/>
      <c r="Y5" s="25"/>
      <c r="Z5" s="25"/>
      <c r="AA5" s="25"/>
      <c r="AB5" s="25"/>
      <c r="AC5" s="25"/>
      <c r="AD5" s="25"/>
    </row>
    <row r="6" spans="1:30" ht="15.75" customHeight="1">
      <c r="A6" s="25" t="s">
        <v>45</v>
      </c>
      <c r="B6" s="28" t="s">
        <v>46</v>
      </c>
      <c r="C6" s="28"/>
      <c r="D6" s="25" t="s">
        <v>571</v>
      </c>
      <c r="E6" s="29" t="s">
        <v>572</v>
      </c>
      <c r="F6" s="25" t="s">
        <v>26</v>
      </c>
      <c r="G6" s="25" t="s">
        <v>26</v>
      </c>
      <c r="H6" s="25" t="s">
        <v>567</v>
      </c>
      <c r="I6" s="25" t="s">
        <v>573</v>
      </c>
      <c r="J6" s="25" t="s">
        <v>558</v>
      </c>
      <c r="K6" s="25" t="s">
        <v>574</v>
      </c>
      <c r="L6" s="25" t="s">
        <v>575</v>
      </c>
      <c r="M6" s="25" t="s">
        <v>27</v>
      </c>
      <c r="N6" s="25"/>
      <c r="O6" s="25"/>
      <c r="P6" s="25"/>
      <c r="Q6" s="25"/>
      <c r="R6" s="25"/>
      <c r="S6" s="25"/>
      <c r="T6" s="25"/>
      <c r="U6" s="25"/>
      <c r="V6" s="25"/>
      <c r="W6" s="25"/>
      <c r="X6" s="25"/>
      <c r="Y6" s="25"/>
      <c r="Z6" s="25"/>
      <c r="AA6" s="25"/>
      <c r="AB6" s="25"/>
      <c r="AC6" s="25"/>
      <c r="AD6" s="25"/>
    </row>
    <row r="7" spans="1:30" ht="15.75" customHeight="1">
      <c r="A7" s="30" t="s">
        <v>51</v>
      </c>
      <c r="B7" s="28" t="s">
        <v>52</v>
      </c>
      <c r="C7" s="28"/>
      <c r="D7" s="25" t="s">
        <v>576</v>
      </c>
      <c r="E7" s="30" t="s">
        <v>577</v>
      </c>
      <c r="F7" s="25" t="s">
        <v>26</v>
      </c>
      <c r="G7" s="25" t="s">
        <v>27</v>
      </c>
      <c r="H7" s="25" t="s">
        <v>26</v>
      </c>
      <c r="I7" s="25" t="s">
        <v>578</v>
      </c>
      <c r="J7" s="25" t="s">
        <v>558</v>
      </c>
      <c r="K7" s="25" t="s">
        <v>579</v>
      </c>
      <c r="L7" s="25" t="s">
        <v>580</v>
      </c>
      <c r="M7" s="25" t="s">
        <v>27</v>
      </c>
      <c r="N7" s="25"/>
      <c r="O7" s="25"/>
      <c r="P7" s="25"/>
      <c r="Q7" s="25"/>
      <c r="R7" s="25"/>
      <c r="S7" s="25"/>
      <c r="T7" s="25"/>
      <c r="U7" s="25"/>
      <c r="V7" s="25"/>
      <c r="W7" s="25"/>
      <c r="X7" s="25"/>
      <c r="Y7" s="25"/>
      <c r="Z7" s="25"/>
      <c r="AA7" s="25"/>
      <c r="AB7" s="25"/>
      <c r="AC7" s="25"/>
      <c r="AD7" s="25"/>
    </row>
    <row r="8" spans="1:30" ht="15.75" customHeight="1">
      <c r="A8" s="25" t="s">
        <v>57</v>
      </c>
      <c r="B8" s="28" t="s">
        <v>58</v>
      </c>
      <c r="C8" s="25"/>
      <c r="D8" s="25" t="s">
        <v>581</v>
      </c>
      <c r="E8" s="25" t="s">
        <v>582</v>
      </c>
      <c r="F8" s="25" t="s">
        <v>583</v>
      </c>
      <c r="G8" s="25" t="s">
        <v>26</v>
      </c>
      <c r="H8" s="25" t="s">
        <v>567</v>
      </c>
      <c r="I8" s="25" t="s">
        <v>584</v>
      </c>
      <c r="J8" s="25" t="s">
        <v>558</v>
      </c>
      <c r="K8" s="25" t="s">
        <v>574</v>
      </c>
      <c r="L8" s="25" t="s">
        <v>585</v>
      </c>
      <c r="M8" s="25" t="s">
        <v>27</v>
      </c>
      <c r="N8" s="25"/>
      <c r="O8" s="25"/>
      <c r="P8" s="25"/>
      <c r="Q8" s="25"/>
      <c r="R8" s="25"/>
      <c r="S8" s="25"/>
      <c r="T8" s="25"/>
      <c r="U8" s="25"/>
      <c r="V8" s="25"/>
      <c r="W8" s="25"/>
      <c r="X8" s="25"/>
      <c r="Y8" s="25"/>
      <c r="Z8" s="25"/>
      <c r="AA8" s="25"/>
      <c r="AB8" s="25"/>
      <c r="AC8" s="25"/>
      <c r="AD8" s="25"/>
    </row>
    <row r="9" spans="1:30" ht="15.75" customHeight="1">
      <c r="A9" s="25" t="s">
        <v>64</v>
      </c>
      <c r="B9" s="28" t="s">
        <v>65</v>
      </c>
      <c r="C9" s="25"/>
      <c r="D9" s="25" t="s">
        <v>586</v>
      </c>
      <c r="E9" s="25" t="s">
        <v>587</v>
      </c>
      <c r="F9" s="25" t="s">
        <v>27</v>
      </c>
      <c r="G9" s="25" t="s">
        <v>27</v>
      </c>
      <c r="H9" s="25" t="s">
        <v>27</v>
      </c>
      <c r="I9" s="25" t="s">
        <v>588</v>
      </c>
      <c r="J9" s="25" t="s">
        <v>558</v>
      </c>
      <c r="K9" s="25" t="s">
        <v>589</v>
      </c>
      <c r="L9" s="25" t="s">
        <v>590</v>
      </c>
      <c r="M9" s="25" t="s">
        <v>26</v>
      </c>
      <c r="N9" s="25"/>
      <c r="O9" s="25"/>
      <c r="P9" s="25"/>
      <c r="Q9" s="25"/>
      <c r="R9" s="25"/>
      <c r="S9" s="25"/>
      <c r="T9" s="25"/>
      <c r="U9" s="25"/>
      <c r="V9" s="25"/>
      <c r="W9" s="25"/>
      <c r="X9" s="25"/>
      <c r="Y9" s="25"/>
      <c r="Z9" s="25"/>
      <c r="AA9" s="25"/>
      <c r="AB9" s="25"/>
      <c r="AC9" s="25"/>
      <c r="AD9" s="25"/>
    </row>
    <row r="10" spans="1:30" ht="15.75" customHeight="1">
      <c r="A10" s="25" t="s">
        <v>69</v>
      </c>
      <c r="B10" s="28" t="s">
        <v>70</v>
      </c>
      <c r="C10" s="25"/>
      <c r="D10" s="25" t="s">
        <v>591</v>
      </c>
      <c r="E10" s="25" t="s">
        <v>592</v>
      </c>
      <c r="F10" s="25" t="s">
        <v>26</v>
      </c>
      <c r="G10" s="25" t="s">
        <v>26</v>
      </c>
      <c r="H10" s="25" t="s">
        <v>26</v>
      </c>
      <c r="I10" s="25" t="s">
        <v>593</v>
      </c>
      <c r="J10" s="25" t="s">
        <v>558</v>
      </c>
      <c r="K10" s="25" t="s">
        <v>574</v>
      </c>
      <c r="L10" s="25" t="s">
        <v>590</v>
      </c>
      <c r="M10" s="25" t="s">
        <v>27</v>
      </c>
      <c r="N10" s="25"/>
      <c r="O10" s="25"/>
      <c r="P10" s="25"/>
      <c r="Q10" s="25"/>
      <c r="R10" s="25"/>
      <c r="S10" s="25"/>
      <c r="T10" s="25"/>
      <c r="U10" s="25"/>
      <c r="V10" s="25"/>
      <c r="W10" s="25"/>
      <c r="X10" s="25"/>
      <c r="Y10" s="25"/>
      <c r="Z10" s="25"/>
      <c r="AA10" s="25"/>
      <c r="AB10" s="25"/>
      <c r="AC10" s="25"/>
      <c r="AD10" s="25"/>
    </row>
    <row r="11" spans="1:30" ht="15.75" customHeight="1">
      <c r="A11" s="25" t="s">
        <v>76</v>
      </c>
      <c r="B11" s="28" t="s">
        <v>77</v>
      </c>
      <c r="C11" s="25"/>
      <c r="D11" s="25" t="s">
        <v>594</v>
      </c>
      <c r="E11" s="25" t="s">
        <v>79</v>
      </c>
      <c r="F11" s="25" t="s">
        <v>26</v>
      </c>
      <c r="G11" s="25" t="s">
        <v>27</v>
      </c>
      <c r="H11" s="25" t="s">
        <v>26</v>
      </c>
      <c r="I11" s="25" t="s">
        <v>595</v>
      </c>
      <c r="J11" s="25" t="s">
        <v>558</v>
      </c>
      <c r="K11" s="25" t="s">
        <v>574</v>
      </c>
      <c r="L11" s="25" t="s">
        <v>565</v>
      </c>
      <c r="M11" s="25" t="s">
        <v>27</v>
      </c>
      <c r="N11" s="25"/>
      <c r="O11" s="25"/>
      <c r="P11" s="25"/>
      <c r="Q11" s="25"/>
      <c r="R11" s="25"/>
      <c r="S11" s="25"/>
      <c r="T11" s="25"/>
      <c r="U11" s="25"/>
      <c r="V11" s="25"/>
      <c r="W11" s="25"/>
      <c r="X11" s="25"/>
      <c r="Y11" s="25"/>
      <c r="Z11" s="25"/>
      <c r="AA11" s="25"/>
      <c r="AB11" s="25"/>
      <c r="AC11" s="25"/>
      <c r="AD11" s="25"/>
    </row>
    <row r="12" spans="1:30" ht="15.75" customHeight="1">
      <c r="A12" s="25" t="s">
        <v>82</v>
      </c>
      <c r="B12" s="28" t="s">
        <v>83</v>
      </c>
      <c r="C12" s="25"/>
      <c r="D12" s="31" t="s">
        <v>596</v>
      </c>
      <c r="E12" s="25" t="s">
        <v>597</v>
      </c>
      <c r="F12" s="25" t="s">
        <v>27</v>
      </c>
      <c r="G12" s="25" t="s">
        <v>27</v>
      </c>
      <c r="H12" s="25" t="s">
        <v>27</v>
      </c>
      <c r="I12" s="25" t="s">
        <v>598</v>
      </c>
      <c r="J12" s="25" t="s">
        <v>558</v>
      </c>
      <c r="K12" s="25" t="s">
        <v>589</v>
      </c>
      <c r="L12" s="25" t="s">
        <v>590</v>
      </c>
      <c r="M12" s="25" t="s">
        <v>27</v>
      </c>
      <c r="N12" s="25"/>
      <c r="O12" s="25"/>
      <c r="P12" s="25"/>
      <c r="Q12" s="25"/>
      <c r="R12" s="25"/>
      <c r="S12" s="25"/>
      <c r="T12" s="25"/>
      <c r="U12" s="25"/>
      <c r="V12" s="25"/>
      <c r="W12" s="25"/>
      <c r="X12" s="25"/>
      <c r="Y12" s="25"/>
      <c r="Z12" s="25"/>
      <c r="AA12" s="25"/>
      <c r="AB12" s="25"/>
      <c r="AC12" s="25"/>
      <c r="AD12" s="25"/>
    </row>
    <row r="13" spans="1:30" ht="15.75" customHeight="1">
      <c r="A13" s="25" t="s">
        <v>87</v>
      </c>
      <c r="B13" s="28" t="s">
        <v>88</v>
      </c>
      <c r="C13" s="25"/>
      <c r="D13" s="32" t="s">
        <v>599</v>
      </c>
      <c r="E13" s="25" t="s">
        <v>600</v>
      </c>
      <c r="F13" s="25" t="s">
        <v>26</v>
      </c>
      <c r="G13" s="25" t="s">
        <v>26</v>
      </c>
      <c r="H13" s="25" t="s">
        <v>26</v>
      </c>
      <c r="I13" s="25" t="s">
        <v>601</v>
      </c>
      <c r="J13" s="25" t="s">
        <v>564</v>
      </c>
      <c r="K13" s="25" t="s">
        <v>574</v>
      </c>
      <c r="L13" s="25" t="s">
        <v>602</v>
      </c>
      <c r="M13" s="25" t="s">
        <v>27</v>
      </c>
      <c r="N13" s="25"/>
      <c r="O13" s="25"/>
      <c r="P13" s="25"/>
      <c r="Q13" s="25"/>
      <c r="R13" s="25"/>
      <c r="S13" s="25"/>
      <c r="T13" s="25"/>
      <c r="U13" s="25"/>
      <c r="V13" s="25"/>
      <c r="W13" s="25"/>
      <c r="X13" s="25"/>
      <c r="Y13" s="25"/>
      <c r="Z13" s="25"/>
      <c r="AA13" s="25"/>
      <c r="AB13" s="25"/>
      <c r="AC13" s="25"/>
      <c r="AD13" s="25"/>
    </row>
    <row r="14" spans="1:30" ht="15.75" customHeight="1">
      <c r="A14" s="25" t="s">
        <v>92</v>
      </c>
      <c r="B14" s="28" t="s">
        <v>93</v>
      </c>
      <c r="C14" s="25"/>
      <c r="D14" s="33" t="s">
        <v>603</v>
      </c>
      <c r="E14" s="25" t="s">
        <v>604</v>
      </c>
      <c r="F14" s="25" t="s">
        <v>26</v>
      </c>
      <c r="G14" s="25" t="s">
        <v>27</v>
      </c>
      <c r="H14" s="25" t="s">
        <v>26</v>
      </c>
      <c r="I14" s="25" t="s">
        <v>605</v>
      </c>
      <c r="J14" s="25" t="s">
        <v>558</v>
      </c>
      <c r="K14" s="25" t="s">
        <v>574</v>
      </c>
      <c r="L14" s="25" t="s">
        <v>606</v>
      </c>
      <c r="M14" s="25" t="s">
        <v>27</v>
      </c>
      <c r="N14" s="25"/>
      <c r="O14" s="25"/>
      <c r="P14" s="25"/>
      <c r="Q14" s="25"/>
      <c r="R14" s="25"/>
      <c r="S14" s="25"/>
      <c r="T14" s="25"/>
      <c r="U14" s="25"/>
      <c r="V14" s="25"/>
      <c r="W14" s="25"/>
      <c r="X14" s="25"/>
      <c r="Y14" s="25"/>
      <c r="Z14" s="25"/>
      <c r="AA14" s="25"/>
      <c r="AB14" s="25"/>
      <c r="AC14" s="25"/>
      <c r="AD14" s="25"/>
    </row>
    <row r="15" spans="1:30" ht="15.75" customHeight="1">
      <c r="A15" s="25" t="s">
        <v>98</v>
      </c>
      <c r="B15" s="28" t="s">
        <v>99</v>
      </c>
      <c r="C15" s="25"/>
      <c r="D15" s="32" t="s">
        <v>607</v>
      </c>
      <c r="E15" s="25" t="s">
        <v>608</v>
      </c>
      <c r="F15" s="25" t="s">
        <v>27</v>
      </c>
      <c r="G15" s="25" t="s">
        <v>27</v>
      </c>
      <c r="H15" s="25" t="s">
        <v>26</v>
      </c>
      <c r="I15" s="25" t="s">
        <v>609</v>
      </c>
      <c r="J15" s="25" t="s">
        <v>558</v>
      </c>
      <c r="K15" s="25" t="s">
        <v>589</v>
      </c>
      <c r="L15" s="25" t="s">
        <v>590</v>
      </c>
      <c r="M15" s="25" t="s">
        <v>27</v>
      </c>
      <c r="N15" s="25"/>
      <c r="O15" s="25"/>
      <c r="P15" s="25"/>
      <c r="Q15" s="25"/>
      <c r="R15" s="25"/>
      <c r="S15" s="25"/>
      <c r="T15" s="25"/>
      <c r="U15" s="25"/>
      <c r="V15" s="25"/>
      <c r="W15" s="25"/>
      <c r="X15" s="25"/>
      <c r="Y15" s="25"/>
      <c r="Z15" s="25"/>
      <c r="AA15" s="25"/>
      <c r="AB15" s="25"/>
      <c r="AC15" s="25"/>
      <c r="AD15" s="25"/>
    </row>
    <row r="16" spans="1:30" ht="15.75" customHeight="1">
      <c r="A16" s="25" t="s">
        <v>103</v>
      </c>
      <c r="B16" s="28" t="s">
        <v>104</v>
      </c>
      <c r="C16" s="25"/>
      <c r="D16" s="32" t="s">
        <v>610</v>
      </c>
      <c r="E16" s="25" t="s">
        <v>611</v>
      </c>
      <c r="F16" s="25" t="s">
        <v>26</v>
      </c>
      <c r="G16" s="25" t="s">
        <v>26</v>
      </c>
      <c r="H16" s="25" t="s">
        <v>26</v>
      </c>
      <c r="I16" s="25" t="s">
        <v>612</v>
      </c>
      <c r="J16" s="25" t="s">
        <v>558</v>
      </c>
      <c r="K16" s="25" t="s">
        <v>579</v>
      </c>
      <c r="L16" s="25" t="s">
        <v>580</v>
      </c>
      <c r="M16" s="25" t="s">
        <v>27</v>
      </c>
      <c r="N16" s="25"/>
      <c r="O16" s="25"/>
      <c r="P16" s="25"/>
      <c r="Q16" s="25"/>
      <c r="R16" s="25"/>
      <c r="S16" s="25"/>
      <c r="T16" s="25"/>
      <c r="U16" s="25"/>
      <c r="V16" s="25"/>
      <c r="W16" s="25"/>
      <c r="X16" s="25"/>
      <c r="Y16" s="25"/>
      <c r="Z16" s="25"/>
      <c r="AA16" s="25"/>
      <c r="AB16" s="25"/>
      <c r="AC16" s="25"/>
      <c r="AD16" s="25"/>
    </row>
    <row r="17" spans="1:30" ht="15.75" customHeight="1">
      <c r="A17" s="25" t="s">
        <v>108</v>
      </c>
      <c r="B17" s="28" t="s">
        <v>109</v>
      </c>
      <c r="C17" s="25"/>
      <c r="D17" s="29" t="s">
        <v>613</v>
      </c>
      <c r="E17" s="25" t="s">
        <v>614</v>
      </c>
      <c r="F17" s="25" t="s">
        <v>27</v>
      </c>
      <c r="G17" s="25" t="s">
        <v>27</v>
      </c>
      <c r="H17" s="25" t="s">
        <v>27</v>
      </c>
      <c r="I17" s="25" t="s">
        <v>615</v>
      </c>
      <c r="J17" s="25" t="s">
        <v>616</v>
      </c>
      <c r="K17" s="25" t="s">
        <v>589</v>
      </c>
      <c r="L17" s="25" t="s">
        <v>590</v>
      </c>
      <c r="M17" s="25" t="s">
        <v>27</v>
      </c>
      <c r="N17" s="25"/>
      <c r="O17" s="25"/>
      <c r="P17" s="25"/>
      <c r="Q17" s="25"/>
      <c r="R17" s="25"/>
      <c r="S17" s="25"/>
      <c r="T17" s="25"/>
      <c r="U17" s="25"/>
      <c r="V17" s="25"/>
      <c r="W17" s="25"/>
      <c r="X17" s="25"/>
      <c r="Y17" s="25"/>
      <c r="Z17" s="25"/>
      <c r="AA17" s="25"/>
      <c r="AB17" s="25"/>
      <c r="AC17" s="25"/>
      <c r="AD17" s="25"/>
    </row>
    <row r="18" spans="1:30" ht="15.75" customHeight="1">
      <c r="A18" s="25" t="s">
        <v>113</v>
      </c>
      <c r="B18" s="28" t="s">
        <v>114</v>
      </c>
      <c r="C18" s="25"/>
      <c r="D18" s="29" t="s">
        <v>617</v>
      </c>
      <c r="E18" s="25" t="s">
        <v>618</v>
      </c>
      <c r="F18" s="25" t="s">
        <v>26</v>
      </c>
      <c r="G18" s="25" t="s">
        <v>26</v>
      </c>
      <c r="H18" s="25" t="s">
        <v>26</v>
      </c>
      <c r="I18" s="25" t="s">
        <v>619</v>
      </c>
      <c r="J18" s="25" t="s">
        <v>564</v>
      </c>
      <c r="K18" s="25" t="s">
        <v>574</v>
      </c>
      <c r="L18" s="25" t="s">
        <v>565</v>
      </c>
      <c r="M18" s="25" t="s">
        <v>27</v>
      </c>
      <c r="N18" s="25"/>
      <c r="O18" s="25"/>
      <c r="P18" s="25"/>
      <c r="Q18" s="25"/>
      <c r="R18" s="25"/>
      <c r="S18" s="25"/>
      <c r="T18" s="25"/>
      <c r="U18" s="25"/>
      <c r="V18" s="25"/>
      <c r="W18" s="25"/>
      <c r="X18" s="25"/>
      <c r="Y18" s="25"/>
      <c r="Z18" s="25"/>
      <c r="AA18" s="25"/>
      <c r="AB18" s="25"/>
      <c r="AC18" s="25"/>
      <c r="AD18" s="25"/>
    </row>
    <row r="19" spans="1:30" ht="15.75" customHeight="1">
      <c r="A19" s="25" t="s">
        <v>118</v>
      </c>
      <c r="B19" s="28" t="s">
        <v>119</v>
      </c>
      <c r="C19" s="25"/>
      <c r="D19" s="29" t="s">
        <v>620</v>
      </c>
      <c r="E19" s="25" t="s">
        <v>621</v>
      </c>
      <c r="F19" s="25" t="s">
        <v>26</v>
      </c>
      <c r="G19" s="25" t="s">
        <v>26</v>
      </c>
      <c r="H19" s="25" t="s">
        <v>26</v>
      </c>
      <c r="I19" s="25" t="s">
        <v>622</v>
      </c>
      <c r="J19" s="25" t="s">
        <v>616</v>
      </c>
      <c r="K19" s="25" t="s">
        <v>574</v>
      </c>
      <c r="L19" s="25" t="s">
        <v>585</v>
      </c>
      <c r="M19" s="25" t="s">
        <v>27</v>
      </c>
      <c r="N19" s="25"/>
      <c r="O19" s="25"/>
      <c r="P19" s="25"/>
      <c r="Q19" s="25"/>
      <c r="R19" s="25"/>
      <c r="S19" s="25"/>
      <c r="T19" s="25"/>
      <c r="U19" s="25"/>
      <c r="V19" s="25"/>
      <c r="W19" s="25"/>
      <c r="X19" s="25"/>
      <c r="Y19" s="25"/>
      <c r="Z19" s="25"/>
      <c r="AA19" s="25"/>
      <c r="AB19" s="25"/>
      <c r="AC19" s="25"/>
      <c r="AD19" s="25"/>
    </row>
    <row r="20" spans="1:30" ht="15.75" customHeight="1">
      <c r="A20" s="25" t="s">
        <v>124</v>
      </c>
      <c r="B20" s="28" t="s">
        <v>125</v>
      </c>
      <c r="C20" s="25"/>
      <c r="D20" s="29" t="s">
        <v>623</v>
      </c>
      <c r="E20" s="25" t="s">
        <v>127</v>
      </c>
      <c r="F20" s="25" t="s">
        <v>27</v>
      </c>
      <c r="G20" s="25" t="s">
        <v>27</v>
      </c>
      <c r="H20" s="25" t="s">
        <v>26</v>
      </c>
      <c r="I20" s="25" t="s">
        <v>624</v>
      </c>
      <c r="J20" s="25" t="s">
        <v>564</v>
      </c>
      <c r="K20" s="25" t="s">
        <v>589</v>
      </c>
      <c r="L20" s="25" t="s">
        <v>590</v>
      </c>
      <c r="M20" s="25" t="s">
        <v>27</v>
      </c>
      <c r="N20" s="25"/>
      <c r="O20" s="25"/>
      <c r="P20" s="25"/>
      <c r="Q20" s="25"/>
      <c r="R20" s="25"/>
      <c r="S20" s="25"/>
      <c r="T20" s="25"/>
      <c r="U20" s="25"/>
      <c r="V20" s="25"/>
      <c r="W20" s="25"/>
      <c r="X20" s="25"/>
      <c r="Y20" s="25"/>
      <c r="Z20" s="25"/>
      <c r="AA20" s="25"/>
      <c r="AB20" s="25"/>
      <c r="AC20" s="25"/>
      <c r="AD20" s="25"/>
    </row>
    <row r="21" spans="1:30" ht="15.75" customHeight="1">
      <c r="A21" s="25" t="s">
        <v>129</v>
      </c>
      <c r="B21" s="28" t="s">
        <v>130</v>
      </c>
      <c r="C21" s="25"/>
      <c r="D21" s="25" t="s">
        <v>625</v>
      </c>
      <c r="E21" s="25" t="s">
        <v>626</v>
      </c>
      <c r="F21" s="25" t="s">
        <v>26</v>
      </c>
      <c r="G21" s="25" t="s">
        <v>26</v>
      </c>
      <c r="H21" s="25" t="s">
        <v>26</v>
      </c>
      <c r="I21" s="25" t="s">
        <v>627</v>
      </c>
      <c r="J21" s="25" t="s">
        <v>558</v>
      </c>
      <c r="K21" s="25" t="s">
        <v>574</v>
      </c>
      <c r="L21" s="25" t="s">
        <v>565</v>
      </c>
      <c r="M21" s="25" t="s">
        <v>27</v>
      </c>
      <c r="N21" s="25"/>
      <c r="O21" s="25"/>
      <c r="P21" s="25"/>
      <c r="Q21" s="25"/>
      <c r="R21" s="25"/>
      <c r="S21" s="25"/>
      <c r="T21" s="25"/>
      <c r="U21" s="25"/>
      <c r="V21" s="25"/>
      <c r="W21" s="25"/>
      <c r="X21" s="25"/>
      <c r="Y21" s="25"/>
      <c r="Z21" s="25"/>
      <c r="AA21" s="25"/>
      <c r="AB21" s="25"/>
      <c r="AC21" s="25"/>
      <c r="AD21" s="25"/>
    </row>
    <row r="22" spans="1:30" ht="15.75" customHeight="1">
      <c r="A22" s="25" t="s">
        <v>134</v>
      </c>
      <c r="B22" s="28" t="s">
        <v>135</v>
      </c>
      <c r="C22" s="25"/>
      <c r="D22" s="25" t="s">
        <v>628</v>
      </c>
      <c r="E22" s="25" t="s">
        <v>629</v>
      </c>
      <c r="F22" s="25" t="s">
        <v>26</v>
      </c>
      <c r="G22" s="25" t="s">
        <v>26</v>
      </c>
      <c r="H22" s="25" t="s">
        <v>26</v>
      </c>
      <c r="I22" s="25" t="s">
        <v>630</v>
      </c>
      <c r="J22" s="25" t="s">
        <v>564</v>
      </c>
      <c r="K22" s="25" t="s">
        <v>574</v>
      </c>
      <c r="L22" s="25" t="s">
        <v>565</v>
      </c>
      <c r="M22" s="25" t="s">
        <v>27</v>
      </c>
      <c r="N22" s="25"/>
      <c r="O22" s="25"/>
      <c r="P22" s="25"/>
      <c r="Q22" s="25"/>
      <c r="R22" s="25"/>
      <c r="S22" s="25"/>
      <c r="T22" s="25"/>
      <c r="U22" s="25"/>
      <c r="V22" s="25"/>
      <c r="W22" s="25"/>
      <c r="X22" s="25"/>
      <c r="Y22" s="25"/>
      <c r="Z22" s="25"/>
      <c r="AA22" s="25"/>
      <c r="AB22" s="25"/>
      <c r="AC22" s="25"/>
      <c r="AD22" s="25"/>
    </row>
    <row r="23" spans="1:30" ht="15.75" customHeight="1">
      <c r="A23" s="25" t="s">
        <v>140</v>
      </c>
      <c r="B23" s="28" t="s">
        <v>141</v>
      </c>
      <c r="C23" s="25"/>
      <c r="D23" s="25" t="s">
        <v>631</v>
      </c>
      <c r="E23" s="25" t="s">
        <v>632</v>
      </c>
      <c r="F23" s="25" t="s">
        <v>27</v>
      </c>
      <c r="G23" s="25" t="s">
        <v>27</v>
      </c>
      <c r="H23" s="25" t="s">
        <v>27</v>
      </c>
      <c r="I23" s="25" t="s">
        <v>633</v>
      </c>
      <c r="J23" s="25" t="s">
        <v>616</v>
      </c>
      <c r="K23" s="25" t="s">
        <v>589</v>
      </c>
      <c r="L23" s="25" t="s">
        <v>590</v>
      </c>
      <c r="M23" s="25" t="s">
        <v>27</v>
      </c>
      <c r="N23" s="25"/>
      <c r="O23" s="25"/>
      <c r="P23" s="25"/>
      <c r="Q23" s="25"/>
      <c r="R23" s="25"/>
      <c r="S23" s="25"/>
      <c r="T23" s="25"/>
      <c r="U23" s="25"/>
      <c r="V23" s="25"/>
      <c r="W23" s="25"/>
      <c r="X23" s="25"/>
      <c r="Y23" s="25"/>
      <c r="Z23" s="25"/>
      <c r="AA23" s="25"/>
      <c r="AB23" s="25"/>
      <c r="AC23" s="25"/>
      <c r="AD23" s="25"/>
    </row>
    <row r="24" spans="1:30" ht="15.75" customHeight="1">
      <c r="A24" s="25" t="s">
        <v>145</v>
      </c>
      <c r="B24" s="28" t="s">
        <v>146</v>
      </c>
      <c r="C24" s="25"/>
      <c r="D24" s="25" t="s">
        <v>634</v>
      </c>
      <c r="E24" s="25" t="s">
        <v>148</v>
      </c>
      <c r="F24" s="25" t="s">
        <v>26</v>
      </c>
      <c r="G24" s="25" t="s">
        <v>27</v>
      </c>
      <c r="H24" s="25" t="s">
        <v>26</v>
      </c>
      <c r="I24" s="25" t="s">
        <v>635</v>
      </c>
      <c r="J24" s="25" t="s">
        <v>564</v>
      </c>
      <c r="K24" s="25" t="s">
        <v>559</v>
      </c>
      <c r="L24" s="25" t="s">
        <v>565</v>
      </c>
      <c r="M24" s="25" t="s">
        <v>27</v>
      </c>
      <c r="N24" s="25"/>
      <c r="O24" s="25"/>
      <c r="P24" s="25"/>
      <c r="Q24" s="25"/>
      <c r="R24" s="25"/>
      <c r="S24" s="25"/>
      <c r="T24" s="25"/>
      <c r="U24" s="25"/>
      <c r="V24" s="25"/>
      <c r="W24" s="25"/>
      <c r="X24" s="25"/>
      <c r="Y24" s="25"/>
      <c r="Z24" s="25"/>
      <c r="AA24" s="25"/>
      <c r="AB24" s="25"/>
      <c r="AC24" s="25"/>
      <c r="AD24" s="25"/>
    </row>
    <row r="25" spans="1:30" ht="15.75" customHeight="1">
      <c r="A25" s="25" t="s">
        <v>150</v>
      </c>
      <c r="B25" s="28" t="s">
        <v>151</v>
      </c>
      <c r="C25" s="25"/>
      <c r="D25" s="25" t="s">
        <v>636</v>
      </c>
      <c r="E25" s="25" t="s">
        <v>637</v>
      </c>
      <c r="F25" s="25" t="s">
        <v>26</v>
      </c>
      <c r="G25" s="25" t="s">
        <v>26</v>
      </c>
      <c r="H25" s="25" t="s">
        <v>26</v>
      </c>
      <c r="I25" s="25" t="s">
        <v>638</v>
      </c>
      <c r="J25" s="25" t="s">
        <v>564</v>
      </c>
      <c r="K25" s="25" t="s">
        <v>574</v>
      </c>
      <c r="L25" s="25" t="s">
        <v>565</v>
      </c>
      <c r="M25" s="25" t="s">
        <v>27</v>
      </c>
      <c r="N25" s="25"/>
      <c r="O25" s="25"/>
      <c r="P25" s="25"/>
      <c r="Q25" s="25"/>
      <c r="R25" s="25"/>
      <c r="S25" s="25"/>
      <c r="T25" s="25"/>
      <c r="U25" s="25"/>
      <c r="V25" s="25"/>
      <c r="W25" s="25"/>
      <c r="X25" s="25"/>
      <c r="Y25" s="25"/>
      <c r="Z25" s="25"/>
      <c r="AA25" s="25"/>
      <c r="AB25" s="25"/>
      <c r="AC25" s="25"/>
      <c r="AD25" s="25"/>
    </row>
    <row r="26" spans="1:30" ht="15.75" customHeight="1">
      <c r="A26" s="25" t="s">
        <v>155</v>
      </c>
      <c r="B26" s="28" t="s">
        <v>156</v>
      </c>
      <c r="C26" s="25"/>
      <c r="D26" s="25" t="s">
        <v>639</v>
      </c>
      <c r="E26" s="25" t="s">
        <v>640</v>
      </c>
      <c r="F26" s="25" t="s">
        <v>27</v>
      </c>
      <c r="G26" s="25" t="s">
        <v>27</v>
      </c>
      <c r="H26" s="25" t="s">
        <v>26</v>
      </c>
      <c r="I26" s="25" t="s">
        <v>641</v>
      </c>
      <c r="J26" s="25" t="s">
        <v>558</v>
      </c>
      <c r="K26" s="25" t="s">
        <v>589</v>
      </c>
      <c r="L26" s="25" t="s">
        <v>590</v>
      </c>
      <c r="M26" s="25" t="s">
        <v>27</v>
      </c>
      <c r="N26" s="25"/>
      <c r="O26" s="25"/>
      <c r="P26" s="25"/>
      <c r="Q26" s="25"/>
      <c r="R26" s="25"/>
      <c r="S26" s="25"/>
      <c r="T26" s="25"/>
      <c r="U26" s="25"/>
      <c r="V26" s="25"/>
      <c r="W26" s="25"/>
      <c r="X26" s="25"/>
      <c r="Y26" s="25"/>
      <c r="Z26" s="25"/>
      <c r="AA26" s="25"/>
      <c r="AB26" s="25"/>
      <c r="AC26" s="25"/>
      <c r="AD26" s="25"/>
    </row>
    <row r="27" spans="1:30" ht="15.75" customHeight="1">
      <c r="A27" s="25" t="s">
        <v>160</v>
      </c>
      <c r="B27" s="28" t="s">
        <v>161</v>
      </c>
      <c r="C27" s="25"/>
      <c r="D27" s="25" t="s">
        <v>642</v>
      </c>
      <c r="E27" s="25" t="s">
        <v>643</v>
      </c>
      <c r="F27" s="25" t="s">
        <v>26</v>
      </c>
      <c r="G27" s="25" t="s">
        <v>644</v>
      </c>
      <c r="H27" s="25" t="s">
        <v>26</v>
      </c>
      <c r="I27" s="25" t="s">
        <v>645</v>
      </c>
      <c r="J27" s="25" t="s">
        <v>564</v>
      </c>
      <c r="K27" s="25" t="s">
        <v>574</v>
      </c>
      <c r="L27" s="25" t="s">
        <v>565</v>
      </c>
      <c r="M27" s="25" t="s">
        <v>27</v>
      </c>
      <c r="N27" s="25"/>
      <c r="O27" s="25"/>
      <c r="P27" s="25"/>
      <c r="Q27" s="25"/>
      <c r="R27" s="25"/>
      <c r="S27" s="25"/>
      <c r="T27" s="25"/>
      <c r="U27" s="25"/>
      <c r="V27" s="25"/>
      <c r="W27" s="25"/>
      <c r="X27" s="25"/>
      <c r="Y27" s="25"/>
      <c r="Z27" s="25"/>
      <c r="AA27" s="25"/>
      <c r="AB27" s="25"/>
      <c r="AC27" s="25"/>
      <c r="AD27" s="25"/>
    </row>
    <row r="28" spans="1:30" ht="15.75" customHeight="1">
      <c r="A28" s="25" t="s">
        <v>646</v>
      </c>
      <c r="B28" s="28" t="s">
        <v>166</v>
      </c>
      <c r="C28" s="25"/>
      <c r="D28" s="25" t="s">
        <v>647</v>
      </c>
      <c r="E28" s="25" t="s">
        <v>648</v>
      </c>
      <c r="F28" s="25" t="s">
        <v>27</v>
      </c>
      <c r="G28" s="25" t="s">
        <v>27</v>
      </c>
      <c r="H28" s="25" t="s">
        <v>26</v>
      </c>
      <c r="I28" s="25" t="s">
        <v>649</v>
      </c>
      <c r="J28" s="25" t="s">
        <v>558</v>
      </c>
      <c r="K28" s="25" t="s">
        <v>589</v>
      </c>
      <c r="L28" s="25" t="s">
        <v>590</v>
      </c>
      <c r="M28" s="25" t="s">
        <v>27</v>
      </c>
      <c r="N28" s="25"/>
      <c r="O28" s="25"/>
      <c r="P28" s="25"/>
      <c r="Q28" s="25"/>
      <c r="R28" s="25"/>
      <c r="S28" s="25"/>
      <c r="T28" s="25"/>
      <c r="U28" s="25"/>
      <c r="V28" s="25"/>
      <c r="W28" s="25"/>
      <c r="X28" s="25"/>
      <c r="Y28" s="25"/>
      <c r="Z28" s="25"/>
      <c r="AA28" s="25"/>
      <c r="AB28" s="25"/>
      <c r="AC28" s="25"/>
      <c r="AD28" s="25"/>
    </row>
    <row r="29" spans="1:30" ht="15.75" customHeight="1">
      <c r="A29" s="25" t="s">
        <v>170</v>
      </c>
      <c r="B29" s="28" t="s">
        <v>171</v>
      </c>
      <c r="C29" s="25"/>
      <c r="D29" s="25" t="s">
        <v>650</v>
      </c>
      <c r="E29" s="25" t="s">
        <v>173</v>
      </c>
      <c r="F29" s="25" t="s">
        <v>26</v>
      </c>
      <c r="G29" s="25" t="s">
        <v>26</v>
      </c>
      <c r="H29" s="25" t="s">
        <v>26</v>
      </c>
      <c r="I29" s="25" t="s">
        <v>651</v>
      </c>
      <c r="J29" s="25" t="s">
        <v>564</v>
      </c>
      <c r="K29" s="25" t="s">
        <v>574</v>
      </c>
      <c r="L29" s="25" t="s">
        <v>565</v>
      </c>
      <c r="M29" s="25" t="s">
        <v>27</v>
      </c>
      <c r="N29" s="25"/>
      <c r="O29" s="25"/>
      <c r="P29" s="25"/>
      <c r="Q29" s="25"/>
      <c r="R29" s="25"/>
      <c r="S29" s="25"/>
      <c r="T29" s="25"/>
      <c r="U29" s="25"/>
      <c r="V29" s="25"/>
      <c r="W29" s="25"/>
      <c r="X29" s="25"/>
      <c r="Y29" s="25"/>
      <c r="Z29" s="25"/>
      <c r="AA29" s="25"/>
      <c r="AB29" s="25"/>
      <c r="AC29" s="25"/>
      <c r="AD29" s="25"/>
    </row>
    <row r="30" spans="1:30" ht="15.75" customHeight="1">
      <c r="A30" s="25" t="s">
        <v>175</v>
      </c>
      <c r="B30" s="28" t="s">
        <v>176</v>
      </c>
      <c r="C30" s="25"/>
      <c r="D30" s="25" t="s">
        <v>652</v>
      </c>
      <c r="E30" s="25" t="s">
        <v>653</v>
      </c>
      <c r="F30" s="25" t="s">
        <v>26</v>
      </c>
      <c r="G30" s="25" t="s">
        <v>27</v>
      </c>
      <c r="H30" s="25" t="s">
        <v>26</v>
      </c>
      <c r="I30" s="25" t="s">
        <v>654</v>
      </c>
      <c r="J30" s="25" t="s">
        <v>564</v>
      </c>
      <c r="K30" s="25" t="s">
        <v>579</v>
      </c>
      <c r="L30" s="25" t="s">
        <v>585</v>
      </c>
      <c r="M30" s="25" t="s">
        <v>27</v>
      </c>
      <c r="N30" s="25"/>
      <c r="O30" s="25"/>
      <c r="P30" s="25"/>
      <c r="Q30" s="25"/>
      <c r="R30" s="25"/>
      <c r="S30" s="25"/>
      <c r="T30" s="25"/>
      <c r="U30" s="25"/>
      <c r="V30" s="25"/>
      <c r="W30" s="25"/>
      <c r="X30" s="25"/>
      <c r="Y30" s="25"/>
      <c r="Z30" s="25"/>
      <c r="AA30" s="25"/>
      <c r="AB30" s="25"/>
      <c r="AC30" s="25"/>
      <c r="AD30" s="25"/>
    </row>
    <row r="31" spans="1:30" ht="15.75" customHeight="1">
      <c r="A31" s="25" t="s">
        <v>180</v>
      </c>
      <c r="B31" s="28" t="s">
        <v>181</v>
      </c>
      <c r="C31" s="25"/>
      <c r="D31" s="25" t="s">
        <v>655</v>
      </c>
      <c r="E31" s="25" t="s">
        <v>183</v>
      </c>
      <c r="F31" s="25" t="s">
        <v>26</v>
      </c>
      <c r="G31" s="25" t="s">
        <v>27</v>
      </c>
      <c r="H31" s="25" t="s">
        <v>26</v>
      </c>
      <c r="I31" s="25" t="s">
        <v>656</v>
      </c>
      <c r="J31" s="25" t="s">
        <v>564</v>
      </c>
      <c r="K31" s="25" t="s">
        <v>574</v>
      </c>
      <c r="L31" s="25" t="s">
        <v>565</v>
      </c>
      <c r="M31" s="25" t="s">
        <v>27</v>
      </c>
      <c r="N31" s="25"/>
      <c r="O31" s="25"/>
      <c r="P31" s="25"/>
      <c r="Q31" s="25"/>
      <c r="R31" s="25"/>
      <c r="S31" s="25"/>
      <c r="T31" s="25"/>
      <c r="U31" s="25"/>
      <c r="V31" s="25"/>
      <c r="W31" s="25"/>
      <c r="X31" s="25"/>
      <c r="Y31" s="25"/>
      <c r="Z31" s="25"/>
      <c r="AA31" s="25"/>
      <c r="AB31" s="25"/>
      <c r="AC31" s="25"/>
      <c r="AD31" s="25"/>
    </row>
    <row r="32" spans="1:30" ht="15.75" customHeight="1">
      <c r="A32" s="25" t="s">
        <v>185</v>
      </c>
      <c r="B32" s="28" t="s">
        <v>186</v>
      </c>
      <c r="C32" s="25"/>
      <c r="D32" s="25" t="s">
        <v>657</v>
      </c>
      <c r="E32" s="25" t="s">
        <v>658</v>
      </c>
      <c r="F32" s="25" t="s">
        <v>27</v>
      </c>
      <c r="G32" s="25" t="s">
        <v>27</v>
      </c>
      <c r="H32" s="25" t="s">
        <v>27</v>
      </c>
      <c r="I32" s="25" t="s">
        <v>659</v>
      </c>
      <c r="J32" s="25" t="s">
        <v>564</v>
      </c>
      <c r="K32" s="25" t="s">
        <v>660</v>
      </c>
      <c r="L32" s="25" t="s">
        <v>590</v>
      </c>
      <c r="M32" s="25" t="s">
        <v>27</v>
      </c>
      <c r="N32" s="25"/>
      <c r="O32" s="25"/>
      <c r="P32" s="25"/>
      <c r="Q32" s="25"/>
      <c r="R32" s="25"/>
      <c r="S32" s="25"/>
      <c r="T32" s="25"/>
      <c r="U32" s="25"/>
      <c r="V32" s="25"/>
      <c r="W32" s="25"/>
      <c r="X32" s="25"/>
      <c r="Y32" s="25"/>
      <c r="Z32" s="25"/>
      <c r="AA32" s="25"/>
      <c r="AB32" s="25"/>
      <c r="AC32" s="25"/>
      <c r="AD32" s="25"/>
    </row>
    <row r="33" spans="1:30" ht="15.75" customHeight="1">
      <c r="A33" s="25" t="s">
        <v>190</v>
      </c>
      <c r="B33" s="28" t="s">
        <v>191</v>
      </c>
      <c r="C33" s="25"/>
      <c r="D33" s="25" t="s">
        <v>661</v>
      </c>
      <c r="E33" s="25" t="s">
        <v>662</v>
      </c>
      <c r="F33" s="25" t="s">
        <v>26</v>
      </c>
      <c r="G33" s="25" t="s">
        <v>26</v>
      </c>
      <c r="H33" s="25" t="s">
        <v>26</v>
      </c>
      <c r="I33" s="25" t="s">
        <v>663</v>
      </c>
      <c r="J33" s="25" t="s">
        <v>558</v>
      </c>
      <c r="K33" s="25" t="s">
        <v>574</v>
      </c>
      <c r="L33" s="25" t="s">
        <v>585</v>
      </c>
      <c r="M33" s="25" t="s">
        <v>27</v>
      </c>
      <c r="N33" s="25"/>
      <c r="O33" s="25"/>
      <c r="P33" s="25"/>
      <c r="Q33" s="25"/>
      <c r="R33" s="25"/>
      <c r="S33" s="25"/>
      <c r="T33" s="25"/>
      <c r="U33" s="25"/>
      <c r="V33" s="25"/>
      <c r="W33" s="25"/>
      <c r="X33" s="25"/>
      <c r="Y33" s="25"/>
      <c r="Z33" s="25"/>
      <c r="AA33" s="25"/>
      <c r="AB33" s="25"/>
      <c r="AC33" s="25"/>
      <c r="AD33" s="25"/>
    </row>
    <row r="34" spans="1:30" ht="15.75" customHeight="1">
      <c r="A34" s="25" t="s">
        <v>195</v>
      </c>
      <c r="B34" s="28" t="s">
        <v>196</v>
      </c>
      <c r="C34" s="25"/>
      <c r="D34" s="25" t="s">
        <v>664</v>
      </c>
      <c r="E34" s="25" t="s">
        <v>665</v>
      </c>
      <c r="F34" s="25" t="s">
        <v>26</v>
      </c>
      <c r="G34" s="25" t="s">
        <v>27</v>
      </c>
      <c r="H34" s="25" t="s">
        <v>26</v>
      </c>
      <c r="I34" s="25" t="s">
        <v>666</v>
      </c>
      <c r="J34" s="25" t="s">
        <v>564</v>
      </c>
      <c r="K34" s="25" t="s">
        <v>579</v>
      </c>
      <c r="L34" s="25" t="s">
        <v>565</v>
      </c>
      <c r="M34" s="25" t="s">
        <v>27</v>
      </c>
      <c r="N34" s="25"/>
      <c r="O34" s="25"/>
      <c r="P34" s="25"/>
      <c r="Q34" s="25"/>
      <c r="R34" s="25"/>
      <c r="S34" s="25"/>
      <c r="T34" s="25"/>
      <c r="U34" s="25"/>
      <c r="V34" s="25"/>
      <c r="W34" s="25"/>
      <c r="X34" s="25"/>
      <c r="Y34" s="25"/>
      <c r="Z34" s="25"/>
      <c r="AA34" s="25"/>
      <c r="AB34" s="25"/>
      <c r="AC34" s="25"/>
      <c r="AD34" s="25"/>
    </row>
    <row r="35" spans="1:30" ht="15.75" customHeight="1">
      <c r="A35" s="25" t="s">
        <v>200</v>
      </c>
      <c r="B35" s="28" t="s">
        <v>201</v>
      </c>
      <c r="C35" s="25"/>
      <c r="D35" s="25" t="s">
        <v>667</v>
      </c>
      <c r="E35" s="25" t="s">
        <v>668</v>
      </c>
      <c r="F35" s="25" t="s">
        <v>26</v>
      </c>
      <c r="G35" s="25" t="s">
        <v>26</v>
      </c>
      <c r="H35" s="25" t="s">
        <v>26</v>
      </c>
      <c r="I35" s="25" t="s">
        <v>669</v>
      </c>
      <c r="J35" s="25" t="s">
        <v>564</v>
      </c>
      <c r="K35" s="25" t="s">
        <v>579</v>
      </c>
      <c r="L35" s="25" t="s">
        <v>565</v>
      </c>
      <c r="M35" s="25" t="s">
        <v>27</v>
      </c>
      <c r="N35" s="25"/>
      <c r="O35" s="25"/>
      <c r="P35" s="25"/>
      <c r="Q35" s="25"/>
      <c r="R35" s="25"/>
      <c r="S35" s="25"/>
      <c r="T35" s="25"/>
      <c r="U35" s="25"/>
      <c r="V35" s="25"/>
      <c r="W35" s="25"/>
      <c r="X35" s="25"/>
      <c r="Y35" s="25"/>
      <c r="Z35" s="25"/>
      <c r="AA35" s="25"/>
      <c r="AB35" s="25"/>
      <c r="AC35" s="25"/>
      <c r="AD35" s="25"/>
    </row>
    <row r="36" spans="1:30" ht="15.75" customHeight="1">
      <c r="A36" s="25" t="s">
        <v>205</v>
      </c>
      <c r="B36" s="28" t="s">
        <v>206</v>
      </c>
      <c r="C36" s="25"/>
      <c r="D36" s="25" t="s">
        <v>670</v>
      </c>
      <c r="E36" s="25" t="s">
        <v>208</v>
      </c>
      <c r="F36" s="25" t="s">
        <v>26</v>
      </c>
      <c r="G36" s="25" t="s">
        <v>26</v>
      </c>
      <c r="H36" s="25" t="s">
        <v>26</v>
      </c>
      <c r="I36" s="25" t="s">
        <v>671</v>
      </c>
      <c r="J36" s="25" t="s">
        <v>564</v>
      </c>
      <c r="K36" s="25" t="s">
        <v>579</v>
      </c>
      <c r="L36" s="25" t="s">
        <v>565</v>
      </c>
      <c r="M36" s="25" t="s">
        <v>27</v>
      </c>
      <c r="N36" s="25"/>
      <c r="O36" s="25"/>
      <c r="P36" s="25"/>
      <c r="Q36" s="25"/>
      <c r="R36" s="25"/>
      <c r="S36" s="25"/>
      <c r="T36" s="25"/>
      <c r="U36" s="25"/>
      <c r="V36" s="25"/>
      <c r="W36" s="25"/>
      <c r="X36" s="25"/>
      <c r="Y36" s="25"/>
      <c r="Z36" s="25"/>
      <c r="AA36" s="25"/>
      <c r="AB36" s="25"/>
      <c r="AC36" s="25"/>
      <c r="AD36" s="25"/>
    </row>
    <row r="37" spans="1:30" ht="15.75" customHeight="1">
      <c r="A37" s="25" t="s">
        <v>210</v>
      </c>
      <c r="B37" s="28" t="s">
        <v>211</v>
      </c>
      <c r="C37" s="25"/>
      <c r="D37" s="25" t="s">
        <v>672</v>
      </c>
      <c r="E37" s="25" t="s">
        <v>673</v>
      </c>
      <c r="F37" s="25" t="s">
        <v>26</v>
      </c>
      <c r="G37" s="25" t="s">
        <v>27</v>
      </c>
      <c r="H37" s="25" t="s">
        <v>26</v>
      </c>
      <c r="I37" s="25" t="s">
        <v>674</v>
      </c>
      <c r="J37" s="25" t="s">
        <v>558</v>
      </c>
      <c r="K37" s="25" t="s">
        <v>574</v>
      </c>
      <c r="L37" s="25" t="s">
        <v>565</v>
      </c>
      <c r="M37" s="25" t="s">
        <v>27</v>
      </c>
      <c r="N37" s="25"/>
      <c r="O37" s="25"/>
      <c r="P37" s="25"/>
      <c r="Q37" s="25"/>
      <c r="R37" s="25"/>
      <c r="S37" s="25"/>
      <c r="T37" s="25"/>
      <c r="U37" s="25"/>
      <c r="V37" s="25"/>
      <c r="W37" s="25"/>
      <c r="X37" s="25"/>
      <c r="Y37" s="25"/>
      <c r="Z37" s="25"/>
      <c r="AA37" s="25"/>
      <c r="AB37" s="25"/>
      <c r="AC37" s="25"/>
      <c r="AD37" s="25"/>
    </row>
    <row r="38" spans="1:30" ht="15.75" customHeight="1">
      <c r="A38" s="25" t="s">
        <v>215</v>
      </c>
      <c r="B38" s="28" t="s">
        <v>216</v>
      </c>
      <c r="C38" s="25"/>
      <c r="D38" s="25" t="s">
        <v>675</v>
      </c>
      <c r="E38" s="25" t="s">
        <v>676</v>
      </c>
      <c r="F38" s="25" t="s">
        <v>26</v>
      </c>
      <c r="G38" s="25" t="s">
        <v>26</v>
      </c>
      <c r="H38" s="25" t="s">
        <v>26</v>
      </c>
      <c r="I38" s="25" t="s">
        <v>677</v>
      </c>
      <c r="J38" s="25" t="s">
        <v>616</v>
      </c>
      <c r="K38" s="25" t="s">
        <v>574</v>
      </c>
      <c r="L38" s="25" t="s">
        <v>585</v>
      </c>
      <c r="M38" s="25" t="s">
        <v>27</v>
      </c>
      <c r="N38" s="25"/>
      <c r="O38" s="25"/>
      <c r="P38" s="25"/>
      <c r="Q38" s="25"/>
      <c r="R38" s="25"/>
      <c r="S38" s="25"/>
      <c r="T38" s="25"/>
      <c r="U38" s="25"/>
      <c r="V38" s="25"/>
      <c r="W38" s="25"/>
      <c r="X38" s="25"/>
      <c r="Y38" s="25"/>
      <c r="Z38" s="25"/>
      <c r="AA38" s="25"/>
      <c r="AB38" s="25"/>
      <c r="AC38" s="25"/>
      <c r="AD38" s="25"/>
    </row>
    <row r="39" spans="1:30" ht="15.75" customHeight="1">
      <c r="A39" s="25" t="s">
        <v>221</v>
      </c>
      <c r="B39" s="28" t="s">
        <v>222</v>
      </c>
      <c r="C39" s="25"/>
      <c r="D39" s="25" t="s">
        <v>678</v>
      </c>
      <c r="E39" s="8" t="s">
        <v>679</v>
      </c>
      <c r="F39" s="25" t="s">
        <v>26</v>
      </c>
      <c r="G39" s="25" t="s">
        <v>26</v>
      </c>
      <c r="H39" s="25" t="s">
        <v>26</v>
      </c>
      <c r="I39" s="25" t="s">
        <v>680</v>
      </c>
      <c r="J39" s="25" t="s">
        <v>564</v>
      </c>
      <c r="K39" s="25" t="s">
        <v>574</v>
      </c>
      <c r="L39" s="25" t="s">
        <v>681</v>
      </c>
      <c r="M39" s="25" t="s">
        <v>27</v>
      </c>
      <c r="N39" s="25"/>
      <c r="O39" s="25"/>
      <c r="P39" s="25"/>
      <c r="Q39" s="25"/>
      <c r="R39" s="25"/>
      <c r="S39" s="25"/>
      <c r="T39" s="25"/>
      <c r="U39" s="25"/>
      <c r="V39" s="25"/>
      <c r="W39" s="25"/>
      <c r="X39" s="25"/>
      <c r="Y39" s="25"/>
      <c r="Z39" s="25"/>
      <c r="AA39" s="25"/>
      <c r="AB39" s="25"/>
      <c r="AC39" s="25"/>
      <c r="AD39" s="25"/>
    </row>
    <row r="40" spans="1:30" ht="15.75" customHeight="1">
      <c r="A40" s="25" t="s">
        <v>226</v>
      </c>
      <c r="B40" s="28" t="s">
        <v>227</v>
      </c>
      <c r="C40" s="25"/>
      <c r="D40" s="25" t="s">
        <v>682</v>
      </c>
      <c r="E40" s="25" t="s">
        <v>229</v>
      </c>
      <c r="F40" s="25" t="s">
        <v>26</v>
      </c>
      <c r="G40" s="25" t="s">
        <v>26</v>
      </c>
      <c r="H40" s="25" t="s">
        <v>26</v>
      </c>
      <c r="I40" s="25" t="s">
        <v>683</v>
      </c>
      <c r="J40" s="25" t="s">
        <v>564</v>
      </c>
      <c r="K40" s="25" t="s">
        <v>574</v>
      </c>
      <c r="L40" s="25" t="s">
        <v>565</v>
      </c>
      <c r="M40" s="25" t="s">
        <v>27</v>
      </c>
      <c r="N40" s="25"/>
      <c r="O40" s="25"/>
      <c r="P40" s="25"/>
      <c r="Q40" s="25"/>
      <c r="R40" s="25"/>
      <c r="S40" s="25"/>
      <c r="T40" s="25"/>
      <c r="U40" s="25"/>
      <c r="V40" s="25"/>
      <c r="W40" s="25"/>
      <c r="X40" s="25"/>
      <c r="Y40" s="25"/>
      <c r="Z40" s="25"/>
      <c r="AA40" s="25"/>
      <c r="AB40" s="25"/>
      <c r="AC40" s="25"/>
      <c r="AD40" s="25"/>
    </row>
    <row r="41" spans="1:30" ht="15.75" customHeight="1">
      <c r="A41" s="25" t="s">
        <v>684</v>
      </c>
      <c r="B41" s="28" t="s">
        <v>232</v>
      </c>
      <c r="C41" s="25"/>
      <c r="D41" s="25" t="s">
        <v>685</v>
      </c>
      <c r="E41" s="25" t="s">
        <v>234</v>
      </c>
      <c r="F41" s="25" t="s">
        <v>27</v>
      </c>
      <c r="G41" s="25" t="s">
        <v>26</v>
      </c>
      <c r="H41" s="25" t="s">
        <v>27</v>
      </c>
      <c r="I41" s="25" t="s">
        <v>686</v>
      </c>
      <c r="J41" s="25" t="s">
        <v>564</v>
      </c>
      <c r="K41" s="25" t="s">
        <v>660</v>
      </c>
      <c r="L41" s="25" t="s">
        <v>590</v>
      </c>
      <c r="M41" s="25" t="s">
        <v>27</v>
      </c>
      <c r="N41" s="25"/>
      <c r="O41" s="25"/>
      <c r="P41" s="25"/>
      <c r="Q41" s="25"/>
      <c r="R41" s="25"/>
      <c r="S41" s="25"/>
      <c r="T41" s="25"/>
      <c r="U41" s="25"/>
      <c r="V41" s="25"/>
      <c r="W41" s="25"/>
      <c r="X41" s="25"/>
      <c r="Y41" s="25"/>
      <c r="Z41" s="25"/>
      <c r="AA41" s="25"/>
      <c r="AB41" s="25"/>
      <c r="AC41" s="25"/>
      <c r="AD41" s="25"/>
    </row>
    <row r="42" spans="1:30" ht="15.75" customHeight="1">
      <c r="A42" s="25" t="s">
        <v>236</v>
      </c>
      <c r="B42" s="28" t="s">
        <v>237</v>
      </c>
      <c r="C42" s="25"/>
      <c r="D42" s="25" t="s">
        <v>687</v>
      </c>
      <c r="E42" s="25" t="s">
        <v>688</v>
      </c>
      <c r="F42" s="25" t="s">
        <v>27</v>
      </c>
      <c r="G42" s="25" t="s">
        <v>27</v>
      </c>
      <c r="H42" s="25" t="s">
        <v>26</v>
      </c>
      <c r="I42" s="25" t="s">
        <v>689</v>
      </c>
      <c r="J42" s="25" t="s">
        <v>558</v>
      </c>
      <c r="K42" s="25" t="s">
        <v>589</v>
      </c>
      <c r="L42" s="25" t="s">
        <v>590</v>
      </c>
      <c r="M42" s="25" t="s">
        <v>27</v>
      </c>
      <c r="N42" s="25"/>
      <c r="O42" s="25"/>
      <c r="P42" s="25"/>
      <c r="Q42" s="25"/>
      <c r="R42" s="25"/>
      <c r="S42" s="25"/>
      <c r="T42" s="25"/>
      <c r="U42" s="25"/>
      <c r="V42" s="25"/>
      <c r="W42" s="25"/>
      <c r="X42" s="25"/>
      <c r="Y42" s="25"/>
      <c r="Z42" s="25"/>
      <c r="AA42" s="25"/>
      <c r="AB42" s="25"/>
      <c r="AC42" s="25"/>
      <c r="AD42" s="25"/>
    </row>
    <row r="43" spans="1:30" ht="15.75" customHeight="1">
      <c r="A43" s="25" t="s">
        <v>690</v>
      </c>
      <c r="B43" s="28" t="s">
        <v>242</v>
      </c>
      <c r="C43" s="25"/>
      <c r="D43" s="25" t="s">
        <v>691</v>
      </c>
      <c r="E43" s="30" t="s">
        <v>244</v>
      </c>
      <c r="F43" s="25" t="s">
        <v>26</v>
      </c>
      <c r="G43" s="25" t="s">
        <v>27</v>
      </c>
      <c r="H43" s="25" t="s">
        <v>26</v>
      </c>
      <c r="I43" s="25" t="s">
        <v>692</v>
      </c>
      <c r="J43" s="25" t="s">
        <v>558</v>
      </c>
      <c r="K43" s="25" t="s">
        <v>579</v>
      </c>
      <c r="L43" s="25" t="s">
        <v>565</v>
      </c>
      <c r="M43" s="25" t="s">
        <v>27</v>
      </c>
      <c r="N43" s="25"/>
      <c r="O43" s="25"/>
      <c r="P43" s="25"/>
      <c r="Q43" s="25"/>
      <c r="R43" s="25"/>
      <c r="S43" s="25"/>
      <c r="T43" s="25"/>
      <c r="U43" s="25"/>
      <c r="V43" s="25"/>
      <c r="W43" s="25"/>
      <c r="X43" s="25"/>
      <c r="Y43" s="25"/>
      <c r="Z43" s="25"/>
      <c r="AA43" s="25"/>
      <c r="AB43" s="25"/>
      <c r="AC43" s="25"/>
      <c r="AD43" s="25"/>
    </row>
    <row r="44" spans="1:30" ht="15.75" customHeight="1">
      <c r="A44" s="25" t="s">
        <v>246</v>
      </c>
      <c r="B44" s="11" t="s">
        <v>693</v>
      </c>
      <c r="C44" s="25"/>
      <c r="D44" s="25" t="s">
        <v>694</v>
      </c>
      <c r="E44" s="25" t="s">
        <v>695</v>
      </c>
      <c r="F44" s="25" t="s">
        <v>26</v>
      </c>
      <c r="G44" s="25" t="s">
        <v>26</v>
      </c>
      <c r="H44" s="25" t="s">
        <v>26</v>
      </c>
      <c r="I44" s="25" t="s">
        <v>696</v>
      </c>
      <c r="J44" s="25" t="s">
        <v>558</v>
      </c>
      <c r="K44" s="25" t="s">
        <v>574</v>
      </c>
      <c r="L44" s="25" t="s">
        <v>565</v>
      </c>
      <c r="M44" s="25" t="s">
        <v>27</v>
      </c>
      <c r="N44" s="25"/>
      <c r="O44" s="25"/>
      <c r="P44" s="25"/>
      <c r="Q44" s="25"/>
      <c r="R44" s="25"/>
      <c r="S44" s="25"/>
      <c r="T44" s="25"/>
      <c r="U44" s="25"/>
      <c r="V44" s="25"/>
      <c r="W44" s="25"/>
      <c r="X44" s="25"/>
      <c r="Y44" s="25"/>
      <c r="Z44" s="25"/>
      <c r="AA44" s="25"/>
      <c r="AB44" s="25"/>
      <c r="AC44" s="25"/>
      <c r="AD44" s="25"/>
    </row>
    <row r="45" spans="1:30" ht="15.75" customHeight="1">
      <c r="A45" s="25" t="s">
        <v>251</v>
      </c>
      <c r="B45" s="28" t="s">
        <v>252</v>
      </c>
      <c r="C45" s="25"/>
      <c r="D45" s="25" t="s">
        <v>697</v>
      </c>
      <c r="E45" s="25" t="s">
        <v>254</v>
      </c>
      <c r="F45" s="34" t="s">
        <v>27</v>
      </c>
      <c r="G45" s="25" t="s">
        <v>26</v>
      </c>
      <c r="H45" s="25" t="s">
        <v>27</v>
      </c>
      <c r="I45" s="25" t="s">
        <v>698</v>
      </c>
      <c r="J45" s="25" t="s">
        <v>558</v>
      </c>
      <c r="K45" s="25" t="s">
        <v>589</v>
      </c>
      <c r="L45" s="25" t="s">
        <v>570</v>
      </c>
      <c r="M45" s="25" t="s">
        <v>27</v>
      </c>
      <c r="N45" s="25"/>
      <c r="O45" s="25"/>
      <c r="P45" s="25"/>
      <c r="Q45" s="25"/>
      <c r="R45" s="25"/>
      <c r="S45" s="25"/>
      <c r="T45" s="25"/>
      <c r="U45" s="25"/>
      <c r="V45" s="25"/>
      <c r="W45" s="25"/>
      <c r="X45" s="25"/>
      <c r="Y45" s="25"/>
      <c r="Z45" s="25"/>
      <c r="AA45" s="25"/>
      <c r="AB45" s="25"/>
      <c r="AC45" s="25"/>
      <c r="AD45" s="25"/>
    </row>
    <row r="46" spans="1:30" ht="15.75" customHeight="1">
      <c r="A46" s="25" t="s">
        <v>256</v>
      </c>
      <c r="B46" s="28" t="s">
        <v>257</v>
      </c>
      <c r="C46" s="25"/>
      <c r="D46" s="25" t="s">
        <v>699</v>
      </c>
      <c r="E46" s="35" t="s">
        <v>259</v>
      </c>
      <c r="F46" s="25" t="s">
        <v>27</v>
      </c>
      <c r="G46" s="25" t="s">
        <v>27</v>
      </c>
      <c r="H46" s="25" t="s">
        <v>26</v>
      </c>
      <c r="I46" s="25" t="s">
        <v>700</v>
      </c>
      <c r="J46" s="25" t="s">
        <v>558</v>
      </c>
      <c r="K46" s="25" t="s">
        <v>660</v>
      </c>
      <c r="L46" s="25" t="s">
        <v>570</v>
      </c>
      <c r="M46" s="25" t="s">
        <v>27</v>
      </c>
      <c r="N46" s="25"/>
      <c r="O46" s="25"/>
      <c r="P46" s="25"/>
      <c r="Q46" s="25"/>
      <c r="R46" s="25"/>
      <c r="S46" s="25"/>
      <c r="T46" s="25"/>
      <c r="U46" s="25"/>
      <c r="V46" s="25"/>
      <c r="W46" s="25"/>
      <c r="X46" s="25"/>
      <c r="Y46" s="25"/>
      <c r="Z46" s="25"/>
      <c r="AA46" s="25"/>
      <c r="AB46" s="25"/>
      <c r="AC46" s="25"/>
      <c r="AD46" s="25"/>
    </row>
    <row r="47" spans="1:30" ht="15.75" customHeight="1">
      <c r="A47" s="25" t="s">
        <v>261</v>
      </c>
      <c r="B47" s="28" t="s">
        <v>262</v>
      </c>
      <c r="C47" s="25"/>
      <c r="D47" s="25" t="s">
        <v>701</v>
      </c>
      <c r="E47" s="25" t="s">
        <v>264</v>
      </c>
      <c r="F47" s="25" t="s">
        <v>26</v>
      </c>
      <c r="G47" s="25" t="s">
        <v>26</v>
      </c>
      <c r="H47" s="25" t="s">
        <v>26</v>
      </c>
      <c r="I47" s="25" t="s">
        <v>702</v>
      </c>
      <c r="J47" s="25" t="s">
        <v>564</v>
      </c>
      <c r="K47" s="25" t="s">
        <v>574</v>
      </c>
      <c r="L47" s="25" t="s">
        <v>703</v>
      </c>
      <c r="M47" s="25" t="s">
        <v>27</v>
      </c>
      <c r="N47" s="25"/>
      <c r="O47" s="25"/>
      <c r="P47" s="25"/>
      <c r="Q47" s="25"/>
      <c r="R47" s="25"/>
      <c r="S47" s="25"/>
      <c r="T47" s="25"/>
      <c r="U47" s="25"/>
      <c r="V47" s="25"/>
      <c r="W47" s="25"/>
      <c r="X47" s="25"/>
      <c r="Y47" s="25"/>
      <c r="Z47" s="25"/>
      <c r="AA47" s="25"/>
      <c r="AB47" s="25"/>
      <c r="AC47" s="25"/>
      <c r="AD47" s="25"/>
    </row>
    <row r="48" spans="1:30" ht="15.75" customHeight="1">
      <c r="A48" s="25" t="s">
        <v>266</v>
      </c>
      <c r="B48" s="28" t="s">
        <v>267</v>
      </c>
      <c r="C48" s="25"/>
      <c r="D48" s="25" t="s">
        <v>704</v>
      </c>
      <c r="E48" s="25" t="s">
        <v>269</v>
      </c>
      <c r="F48" s="25" t="s">
        <v>26</v>
      </c>
      <c r="G48" s="25" t="s">
        <v>27</v>
      </c>
      <c r="H48" s="25" t="s">
        <v>26</v>
      </c>
      <c r="I48" s="25" t="s">
        <v>705</v>
      </c>
      <c r="J48" s="25" t="s">
        <v>564</v>
      </c>
      <c r="K48" s="25" t="s">
        <v>574</v>
      </c>
      <c r="L48" s="25" t="s">
        <v>565</v>
      </c>
      <c r="M48" s="25" t="s">
        <v>27</v>
      </c>
      <c r="N48" s="25"/>
      <c r="O48" s="25"/>
      <c r="P48" s="25"/>
      <c r="Q48" s="25"/>
      <c r="R48" s="25"/>
      <c r="S48" s="25"/>
      <c r="T48" s="25"/>
      <c r="U48" s="25"/>
      <c r="V48" s="25"/>
      <c r="W48" s="25"/>
      <c r="X48" s="25"/>
      <c r="Y48" s="25"/>
      <c r="Z48" s="25"/>
      <c r="AA48" s="25"/>
      <c r="AB48" s="25"/>
      <c r="AC48" s="25"/>
      <c r="AD48" s="25"/>
    </row>
    <row r="49" spans="1:30" ht="15.75" customHeight="1">
      <c r="A49" s="25" t="s">
        <v>271</v>
      </c>
      <c r="B49" s="28" t="s">
        <v>272</v>
      </c>
      <c r="C49" s="25"/>
      <c r="D49" s="25" t="s">
        <v>706</v>
      </c>
      <c r="E49" s="25" t="s">
        <v>274</v>
      </c>
      <c r="F49" s="25" t="s">
        <v>26</v>
      </c>
      <c r="G49" s="25" t="s">
        <v>27</v>
      </c>
      <c r="H49" s="25" t="s">
        <v>26</v>
      </c>
      <c r="I49" s="25" t="s">
        <v>707</v>
      </c>
      <c r="J49" s="25" t="s">
        <v>564</v>
      </c>
      <c r="K49" s="25" t="s">
        <v>574</v>
      </c>
      <c r="L49" s="25" t="s">
        <v>681</v>
      </c>
      <c r="M49" s="25" t="s">
        <v>27</v>
      </c>
      <c r="N49" s="25"/>
      <c r="O49" s="25"/>
      <c r="P49" s="25"/>
      <c r="Q49" s="25"/>
      <c r="R49" s="25"/>
      <c r="S49" s="25"/>
      <c r="T49" s="25"/>
      <c r="U49" s="25"/>
      <c r="V49" s="25"/>
      <c r="W49" s="25"/>
      <c r="X49" s="25"/>
      <c r="Y49" s="25"/>
      <c r="Z49" s="25"/>
      <c r="AA49" s="25"/>
      <c r="AB49" s="25"/>
      <c r="AC49" s="25"/>
      <c r="AD49" s="25"/>
    </row>
    <row r="50" spans="1:30" ht="15.75" customHeight="1">
      <c r="A50" s="25" t="s">
        <v>276</v>
      </c>
      <c r="B50" s="28" t="s">
        <v>277</v>
      </c>
      <c r="C50" s="25"/>
      <c r="D50" s="25" t="s">
        <v>708</v>
      </c>
      <c r="E50" s="25" t="s">
        <v>709</v>
      </c>
      <c r="F50" s="25" t="s">
        <v>26</v>
      </c>
      <c r="G50" s="25" t="s">
        <v>26</v>
      </c>
      <c r="H50" s="25" t="s">
        <v>26</v>
      </c>
      <c r="I50" s="25" t="s">
        <v>710</v>
      </c>
      <c r="J50" s="25" t="s">
        <v>564</v>
      </c>
      <c r="K50" s="25" t="s">
        <v>579</v>
      </c>
      <c r="L50" s="25" t="s">
        <v>565</v>
      </c>
      <c r="M50" s="25" t="s">
        <v>27</v>
      </c>
      <c r="N50" s="25"/>
      <c r="O50" s="25"/>
      <c r="P50" s="25"/>
      <c r="Q50" s="25"/>
      <c r="R50" s="25"/>
      <c r="S50" s="25"/>
      <c r="T50" s="25"/>
      <c r="U50" s="25"/>
      <c r="V50" s="25"/>
      <c r="W50" s="25"/>
      <c r="X50" s="25"/>
      <c r="Y50" s="25"/>
      <c r="Z50" s="25"/>
      <c r="AA50" s="25"/>
      <c r="AB50" s="25"/>
      <c r="AC50" s="25"/>
      <c r="AD50" s="25"/>
    </row>
    <row r="51" spans="1:30" ht="15.75" customHeight="1">
      <c r="A51" s="25" t="s">
        <v>281</v>
      </c>
      <c r="B51" s="28" t="s">
        <v>282</v>
      </c>
      <c r="C51" s="25"/>
      <c r="D51" s="25" t="s">
        <v>711</v>
      </c>
      <c r="E51" s="25" t="s">
        <v>712</v>
      </c>
      <c r="F51" s="25" t="s">
        <v>27</v>
      </c>
      <c r="G51" s="25" t="s">
        <v>27</v>
      </c>
      <c r="H51" s="25" t="s">
        <v>26</v>
      </c>
      <c r="I51" s="25" t="s">
        <v>713</v>
      </c>
      <c r="J51" s="25" t="s">
        <v>564</v>
      </c>
      <c r="K51" s="25" t="s">
        <v>589</v>
      </c>
      <c r="L51" s="25" t="s">
        <v>570</v>
      </c>
      <c r="M51" s="25" t="s">
        <v>27</v>
      </c>
      <c r="N51" s="25"/>
      <c r="O51" s="25"/>
      <c r="P51" s="25"/>
      <c r="Q51" s="25"/>
      <c r="R51" s="25"/>
      <c r="S51" s="25"/>
      <c r="T51" s="25"/>
      <c r="U51" s="25"/>
      <c r="V51" s="25"/>
      <c r="W51" s="25"/>
      <c r="X51" s="25"/>
      <c r="Y51" s="25"/>
      <c r="Z51" s="25"/>
      <c r="AA51" s="25"/>
      <c r="AB51" s="25"/>
      <c r="AC51" s="25"/>
      <c r="AD51" s="25"/>
    </row>
    <row r="52" spans="1:30" ht="15.75" customHeight="1">
      <c r="A52" s="25" t="s">
        <v>286</v>
      </c>
      <c r="B52" s="28" t="s">
        <v>287</v>
      </c>
      <c r="C52" s="25"/>
      <c r="D52" s="25" t="s">
        <v>714</v>
      </c>
      <c r="E52" s="25" t="s">
        <v>715</v>
      </c>
      <c r="F52" s="25" t="s">
        <v>26</v>
      </c>
      <c r="G52" s="25" t="s">
        <v>26</v>
      </c>
      <c r="H52" s="25" t="s">
        <v>26</v>
      </c>
      <c r="I52" s="25" t="s">
        <v>716</v>
      </c>
      <c r="J52" s="25" t="s">
        <v>564</v>
      </c>
      <c r="K52" s="25" t="s">
        <v>579</v>
      </c>
      <c r="L52" s="25" t="s">
        <v>681</v>
      </c>
      <c r="M52" s="25" t="s">
        <v>27</v>
      </c>
      <c r="N52" s="25"/>
      <c r="O52" s="25"/>
      <c r="P52" s="25"/>
      <c r="Q52" s="25"/>
      <c r="R52" s="25"/>
      <c r="S52" s="25"/>
      <c r="T52" s="25"/>
      <c r="U52" s="25"/>
      <c r="V52" s="25"/>
      <c r="W52" s="25"/>
      <c r="X52" s="25"/>
      <c r="Y52" s="25"/>
      <c r="Z52" s="25"/>
      <c r="AA52" s="25"/>
      <c r="AB52" s="25"/>
      <c r="AC52" s="25"/>
      <c r="AD52" s="25"/>
    </row>
    <row r="53" spans="1:30" ht="15.75" customHeight="1">
      <c r="A53" s="34" t="s">
        <v>542</v>
      </c>
      <c r="B53" s="36" t="s">
        <v>543</v>
      </c>
      <c r="C53" s="25"/>
      <c r="D53" s="25" t="s">
        <v>717</v>
      </c>
      <c r="E53" s="25" t="s">
        <v>545</v>
      </c>
      <c r="F53" s="25" t="s">
        <v>27</v>
      </c>
      <c r="G53" s="25" t="s">
        <v>27</v>
      </c>
      <c r="H53" s="25" t="s">
        <v>27</v>
      </c>
      <c r="I53" s="25" t="s">
        <v>718</v>
      </c>
      <c r="J53" s="25" t="s">
        <v>564</v>
      </c>
      <c r="K53" s="25" t="s">
        <v>589</v>
      </c>
      <c r="L53" s="25" t="s">
        <v>570</v>
      </c>
      <c r="M53" s="25" t="s">
        <v>27</v>
      </c>
      <c r="N53" s="25"/>
      <c r="O53" s="25"/>
      <c r="P53" s="25"/>
      <c r="Q53" s="25"/>
      <c r="R53" s="25"/>
      <c r="S53" s="25"/>
      <c r="T53" s="25"/>
      <c r="U53" s="25"/>
      <c r="V53" s="25"/>
      <c r="W53" s="25"/>
      <c r="X53" s="25"/>
      <c r="Y53" s="25"/>
      <c r="Z53" s="25"/>
      <c r="AA53" s="25"/>
      <c r="AB53" s="25"/>
      <c r="AC53" s="25"/>
      <c r="AD53" s="25"/>
    </row>
    <row r="54" spans="1:30" ht="15.75" customHeight="1">
      <c r="A54" s="34" t="s">
        <v>547</v>
      </c>
      <c r="B54" s="36" t="s">
        <v>548</v>
      </c>
      <c r="C54" s="25"/>
      <c r="D54" s="25" t="s">
        <v>719</v>
      </c>
      <c r="E54" s="25" t="s">
        <v>550</v>
      </c>
      <c r="F54" s="25" t="s">
        <v>27</v>
      </c>
      <c r="G54" s="25" t="s">
        <v>27</v>
      </c>
      <c r="H54" s="25" t="s">
        <v>26</v>
      </c>
      <c r="I54" s="25" t="s">
        <v>720</v>
      </c>
      <c r="J54" s="25" t="s">
        <v>558</v>
      </c>
      <c r="K54" s="25" t="s">
        <v>589</v>
      </c>
      <c r="L54" s="25" t="s">
        <v>570</v>
      </c>
      <c r="M54" s="25" t="s">
        <v>27</v>
      </c>
      <c r="N54" s="25"/>
      <c r="O54" s="25"/>
      <c r="P54" s="25"/>
      <c r="Q54" s="25"/>
      <c r="R54" s="25"/>
      <c r="S54" s="25"/>
      <c r="T54" s="25"/>
      <c r="U54" s="25"/>
      <c r="V54" s="25"/>
      <c r="W54" s="25"/>
      <c r="X54" s="25"/>
      <c r="Y54" s="25"/>
      <c r="Z54" s="25"/>
      <c r="AA54" s="25"/>
      <c r="AB54" s="25"/>
      <c r="AC54" s="25"/>
      <c r="AD54" s="25"/>
    </row>
    <row r="55" spans="1:30" ht="15.75" customHeight="1">
      <c r="A55" s="34" t="s">
        <v>721</v>
      </c>
      <c r="B55" s="36" t="s">
        <v>722</v>
      </c>
      <c r="C55" s="25"/>
      <c r="D55" s="25" t="s">
        <v>723</v>
      </c>
      <c r="E55" s="25" t="s">
        <v>724</v>
      </c>
      <c r="F55" s="25" t="s">
        <v>27</v>
      </c>
      <c r="G55" s="25" t="s">
        <v>27</v>
      </c>
      <c r="H55" s="25" t="s">
        <v>26</v>
      </c>
      <c r="I55" s="25" t="s">
        <v>725</v>
      </c>
      <c r="J55" s="25" t="s">
        <v>558</v>
      </c>
      <c r="K55" s="25" t="s">
        <v>589</v>
      </c>
      <c r="L55" s="25" t="s">
        <v>570</v>
      </c>
      <c r="M55" s="25" t="s">
        <v>26</v>
      </c>
      <c r="N55" s="25"/>
      <c r="O55" s="25"/>
      <c r="P55" s="25"/>
      <c r="Q55" s="25"/>
      <c r="R55" s="25"/>
      <c r="S55" s="25"/>
      <c r="T55" s="25"/>
      <c r="U55" s="25"/>
      <c r="V55" s="25"/>
      <c r="W55" s="25"/>
      <c r="X55" s="25"/>
      <c r="Y55" s="25"/>
      <c r="Z55" s="25"/>
      <c r="AA55" s="25"/>
      <c r="AB55" s="25"/>
      <c r="AC55" s="25"/>
      <c r="AD55" s="25"/>
    </row>
    <row r="56" spans="1:30" ht="15.75" customHeight="1">
      <c r="A56" s="34" t="s">
        <v>726</v>
      </c>
      <c r="B56" s="36" t="s">
        <v>727</v>
      </c>
      <c r="C56" s="25"/>
      <c r="D56" s="25" t="s">
        <v>728</v>
      </c>
      <c r="E56" s="25" t="s">
        <v>729</v>
      </c>
      <c r="F56" s="25" t="s">
        <v>26</v>
      </c>
      <c r="G56" s="25" t="s">
        <v>26</v>
      </c>
      <c r="H56" s="25" t="s">
        <v>26</v>
      </c>
      <c r="I56" s="25" t="s">
        <v>730</v>
      </c>
      <c r="J56" s="25" t="s">
        <v>564</v>
      </c>
      <c r="K56" s="25" t="s">
        <v>574</v>
      </c>
      <c r="L56" s="25" t="s">
        <v>681</v>
      </c>
      <c r="M56" s="25" t="s">
        <v>27</v>
      </c>
      <c r="N56" s="25"/>
      <c r="O56" s="25"/>
      <c r="P56" s="25"/>
      <c r="Q56" s="25"/>
      <c r="R56" s="25"/>
      <c r="S56" s="25"/>
      <c r="T56" s="25"/>
      <c r="U56" s="25"/>
      <c r="V56" s="25"/>
      <c r="W56" s="25"/>
      <c r="X56" s="25"/>
      <c r="Y56" s="25"/>
      <c r="Z56" s="25"/>
      <c r="AA56" s="25"/>
      <c r="AB56" s="25"/>
      <c r="AC56" s="25"/>
      <c r="AD56" s="25"/>
    </row>
    <row r="57" spans="1:30" ht="15.75" customHeight="1">
      <c r="A57" s="34" t="s">
        <v>731</v>
      </c>
      <c r="B57" s="36" t="s">
        <v>732</v>
      </c>
      <c r="C57" s="25"/>
      <c r="D57" s="25" t="s">
        <v>733</v>
      </c>
      <c r="E57" s="25" t="s">
        <v>734</v>
      </c>
      <c r="F57" s="25" t="s">
        <v>27</v>
      </c>
      <c r="G57" s="25" t="s">
        <v>27</v>
      </c>
      <c r="H57" s="25" t="s">
        <v>26</v>
      </c>
      <c r="I57" s="25" t="s">
        <v>735</v>
      </c>
      <c r="J57" s="25" t="s">
        <v>558</v>
      </c>
      <c r="K57" s="25" t="s">
        <v>589</v>
      </c>
      <c r="L57" s="25" t="s">
        <v>570</v>
      </c>
      <c r="M57" s="25" t="s">
        <v>27</v>
      </c>
      <c r="N57" s="25"/>
      <c r="O57" s="25"/>
      <c r="P57" s="25"/>
      <c r="Q57" s="25"/>
      <c r="R57" s="25"/>
      <c r="S57" s="25"/>
      <c r="T57" s="25"/>
      <c r="U57" s="25"/>
      <c r="V57" s="25"/>
      <c r="W57" s="25"/>
      <c r="X57" s="25"/>
      <c r="Y57" s="25"/>
      <c r="Z57" s="25"/>
      <c r="AA57" s="25"/>
      <c r="AB57" s="25"/>
      <c r="AC57" s="25"/>
      <c r="AD57" s="25"/>
    </row>
    <row r="58" spans="1:30" ht="15.75" customHeight="1">
      <c r="A58" s="34" t="s">
        <v>736</v>
      </c>
      <c r="B58" s="36" t="s">
        <v>737</v>
      </c>
      <c r="C58" s="25"/>
      <c r="D58" s="25" t="s">
        <v>738</v>
      </c>
      <c r="E58" s="25" t="s">
        <v>739</v>
      </c>
      <c r="F58" s="25" t="s">
        <v>26</v>
      </c>
      <c r="G58" s="25" t="s">
        <v>26</v>
      </c>
      <c r="H58" s="25" t="s">
        <v>26</v>
      </c>
      <c r="I58" s="25" t="s">
        <v>740</v>
      </c>
      <c r="J58" s="25" t="s">
        <v>564</v>
      </c>
      <c r="K58" s="25" t="s">
        <v>574</v>
      </c>
      <c r="L58" s="25" t="s">
        <v>681</v>
      </c>
      <c r="M58" s="25" t="s">
        <v>27</v>
      </c>
      <c r="N58" s="25"/>
      <c r="O58" s="25"/>
      <c r="P58" s="25"/>
      <c r="Q58" s="25"/>
      <c r="R58" s="25"/>
      <c r="S58" s="25"/>
      <c r="T58" s="25"/>
      <c r="U58" s="25"/>
      <c r="V58" s="25"/>
      <c r="W58" s="25"/>
      <c r="X58" s="25"/>
      <c r="Y58" s="25"/>
      <c r="Z58" s="25"/>
      <c r="AA58" s="25"/>
      <c r="AB58" s="25"/>
      <c r="AC58" s="25"/>
      <c r="AD58" s="25"/>
    </row>
    <row r="59" spans="1:30" ht="15.75" customHeight="1">
      <c r="A59" s="34" t="s">
        <v>741</v>
      </c>
      <c r="B59" s="36" t="s">
        <v>742</v>
      </c>
      <c r="C59" s="25"/>
      <c r="D59" s="25" t="s">
        <v>743</v>
      </c>
      <c r="E59" s="25" t="s">
        <v>744</v>
      </c>
      <c r="F59" s="25" t="s">
        <v>26</v>
      </c>
      <c r="G59" s="25" t="s">
        <v>26</v>
      </c>
      <c r="H59" s="25" t="s">
        <v>26</v>
      </c>
      <c r="I59" s="25" t="s">
        <v>745</v>
      </c>
      <c r="J59" s="25" t="s">
        <v>564</v>
      </c>
      <c r="K59" s="25" t="s">
        <v>579</v>
      </c>
      <c r="L59" s="25" t="s">
        <v>746</v>
      </c>
      <c r="M59" s="25" t="s">
        <v>27</v>
      </c>
      <c r="N59" s="25"/>
      <c r="O59" s="25"/>
      <c r="P59" s="25"/>
      <c r="Q59" s="25"/>
      <c r="R59" s="25"/>
      <c r="S59" s="25"/>
      <c r="T59" s="25"/>
      <c r="U59" s="25"/>
      <c r="V59" s="25"/>
      <c r="W59" s="25"/>
      <c r="X59" s="25"/>
      <c r="Y59" s="25"/>
      <c r="Z59" s="25"/>
      <c r="AA59" s="25"/>
      <c r="AB59" s="25"/>
      <c r="AC59" s="25"/>
      <c r="AD59" s="25"/>
    </row>
    <row r="60" spans="1:30" ht="15.75" customHeight="1">
      <c r="A60" s="34" t="s">
        <v>747</v>
      </c>
      <c r="B60" s="36" t="s">
        <v>748</v>
      </c>
      <c r="C60" s="25"/>
      <c r="D60" s="25" t="s">
        <v>749</v>
      </c>
      <c r="E60" s="25" t="s">
        <v>750</v>
      </c>
      <c r="F60" s="25" t="s">
        <v>27</v>
      </c>
      <c r="G60" s="25" t="s">
        <v>27</v>
      </c>
      <c r="H60" s="25" t="s">
        <v>27</v>
      </c>
      <c r="I60" s="25" t="s">
        <v>751</v>
      </c>
      <c r="J60" s="25" t="s">
        <v>564</v>
      </c>
      <c r="K60" s="25" t="s">
        <v>589</v>
      </c>
      <c r="L60" s="25" t="s">
        <v>570</v>
      </c>
      <c r="M60" s="25" t="s">
        <v>27</v>
      </c>
      <c r="N60" s="25"/>
      <c r="O60" s="25"/>
      <c r="P60" s="25"/>
      <c r="Q60" s="25"/>
      <c r="R60" s="25"/>
      <c r="S60" s="25"/>
      <c r="T60" s="25"/>
      <c r="U60" s="25"/>
      <c r="V60" s="25"/>
      <c r="W60" s="25"/>
      <c r="X60" s="25"/>
      <c r="Y60" s="25"/>
      <c r="Z60" s="25"/>
      <c r="AA60" s="25"/>
      <c r="AB60" s="25"/>
      <c r="AC60" s="25"/>
      <c r="AD60" s="25"/>
    </row>
    <row r="61" spans="1:30" ht="15.75" customHeight="1">
      <c r="A61" s="34" t="s">
        <v>752</v>
      </c>
      <c r="B61" s="36" t="s">
        <v>753</v>
      </c>
      <c r="C61" s="25"/>
      <c r="D61" s="25" t="s">
        <v>754</v>
      </c>
      <c r="E61" s="25" t="s">
        <v>755</v>
      </c>
      <c r="F61" s="25" t="s">
        <v>27</v>
      </c>
      <c r="G61" s="25" t="s">
        <v>27</v>
      </c>
      <c r="H61" s="25" t="s">
        <v>26</v>
      </c>
      <c r="I61" s="25" t="s">
        <v>756</v>
      </c>
      <c r="J61" s="25" t="s">
        <v>564</v>
      </c>
      <c r="K61" s="25" t="s">
        <v>589</v>
      </c>
      <c r="L61" s="25" t="s">
        <v>570</v>
      </c>
      <c r="M61" s="25" t="s">
        <v>27</v>
      </c>
      <c r="N61" s="25"/>
      <c r="O61" s="25"/>
      <c r="P61" s="25"/>
      <c r="Q61" s="25"/>
      <c r="R61" s="25"/>
      <c r="S61" s="25"/>
      <c r="T61" s="25"/>
      <c r="U61" s="25"/>
      <c r="V61" s="25"/>
      <c r="W61" s="25"/>
      <c r="X61" s="25"/>
      <c r="Y61" s="25"/>
      <c r="Z61" s="25"/>
      <c r="AA61" s="25"/>
      <c r="AB61" s="25"/>
      <c r="AC61" s="25"/>
      <c r="AD61" s="25"/>
    </row>
    <row r="62" spans="1:30" ht="15.75" customHeight="1">
      <c r="A62" s="34" t="s">
        <v>757</v>
      </c>
      <c r="B62" s="36" t="s">
        <v>758</v>
      </c>
      <c r="C62" s="25"/>
      <c r="D62" s="25" t="s">
        <v>759</v>
      </c>
      <c r="E62" s="25" t="s">
        <v>760</v>
      </c>
      <c r="F62" s="25" t="s">
        <v>26</v>
      </c>
      <c r="G62" s="25" t="s">
        <v>27</v>
      </c>
      <c r="H62" s="25" t="s">
        <v>26</v>
      </c>
      <c r="I62" s="25" t="s">
        <v>761</v>
      </c>
      <c r="J62" s="25" t="s">
        <v>564</v>
      </c>
      <c r="K62" s="25" t="s">
        <v>574</v>
      </c>
      <c r="L62" s="25" t="s">
        <v>746</v>
      </c>
      <c r="M62" s="25" t="s">
        <v>26</v>
      </c>
      <c r="N62" s="25"/>
      <c r="O62" s="25"/>
      <c r="P62" s="25"/>
      <c r="Q62" s="25"/>
      <c r="R62" s="25"/>
      <c r="S62" s="25"/>
      <c r="T62" s="25"/>
      <c r="U62" s="25"/>
      <c r="V62" s="25"/>
      <c r="W62" s="25"/>
      <c r="X62" s="25"/>
      <c r="Y62" s="25"/>
      <c r="Z62" s="25"/>
      <c r="AA62" s="25"/>
      <c r="AB62" s="25"/>
      <c r="AC62" s="25"/>
      <c r="AD62" s="25"/>
    </row>
    <row r="63" spans="1:30" ht="15.75" customHeight="1">
      <c r="A63" s="34" t="s">
        <v>762</v>
      </c>
      <c r="B63" s="36" t="s">
        <v>763</v>
      </c>
      <c r="C63" s="25"/>
      <c r="D63" s="25" t="s">
        <v>764</v>
      </c>
      <c r="E63" s="25" t="s">
        <v>765</v>
      </c>
      <c r="F63" s="25" t="s">
        <v>26</v>
      </c>
      <c r="G63" s="25" t="s">
        <v>27</v>
      </c>
      <c r="H63" s="25" t="s">
        <v>26</v>
      </c>
      <c r="I63" s="25" t="s">
        <v>766</v>
      </c>
      <c r="J63" s="25" t="s">
        <v>767</v>
      </c>
      <c r="K63" s="25" t="s">
        <v>579</v>
      </c>
      <c r="L63" s="25" t="s">
        <v>681</v>
      </c>
      <c r="M63" s="25" t="s">
        <v>27</v>
      </c>
      <c r="N63" s="25"/>
      <c r="O63" s="25"/>
      <c r="P63" s="25"/>
      <c r="Q63" s="25"/>
      <c r="R63" s="25"/>
      <c r="S63" s="25"/>
      <c r="T63" s="25"/>
      <c r="U63" s="25"/>
      <c r="V63" s="25"/>
      <c r="W63" s="25"/>
      <c r="X63" s="25"/>
      <c r="Y63" s="25"/>
      <c r="Z63" s="25"/>
      <c r="AA63" s="25"/>
      <c r="AB63" s="25"/>
      <c r="AC63" s="25"/>
      <c r="AD63" s="25"/>
    </row>
    <row r="64" spans="1:30" ht="15.75" customHeight="1">
      <c r="A64" s="34" t="s">
        <v>768</v>
      </c>
      <c r="B64" s="36" t="s">
        <v>769</v>
      </c>
      <c r="C64" s="25"/>
      <c r="D64" s="25" t="s">
        <v>770</v>
      </c>
      <c r="E64" s="25" t="s">
        <v>771</v>
      </c>
      <c r="F64" s="25" t="s">
        <v>27</v>
      </c>
      <c r="G64" s="25" t="s">
        <v>27</v>
      </c>
      <c r="H64" s="25" t="s">
        <v>26</v>
      </c>
      <c r="I64" s="25" t="s">
        <v>772</v>
      </c>
      <c r="J64" s="25" t="s">
        <v>558</v>
      </c>
      <c r="K64" s="25" t="s">
        <v>589</v>
      </c>
      <c r="L64" s="25" t="s">
        <v>570</v>
      </c>
      <c r="M64" s="25" t="s">
        <v>27</v>
      </c>
      <c r="N64" s="25"/>
      <c r="O64" s="25"/>
      <c r="P64" s="25"/>
      <c r="Q64" s="25"/>
      <c r="R64" s="25"/>
      <c r="S64" s="25"/>
      <c r="T64" s="25"/>
      <c r="U64" s="25"/>
      <c r="V64" s="25"/>
      <c r="W64" s="25"/>
      <c r="X64" s="25"/>
      <c r="Y64" s="25"/>
      <c r="Z64" s="25"/>
      <c r="AA64" s="25"/>
      <c r="AB64" s="25"/>
      <c r="AC64" s="25"/>
      <c r="AD64" s="25"/>
    </row>
    <row r="65" spans="1:30" ht="15.75" customHeight="1">
      <c r="A65" s="34" t="s">
        <v>773</v>
      </c>
      <c r="B65" s="36" t="s">
        <v>774</v>
      </c>
      <c r="C65" s="25"/>
      <c r="D65" s="25" t="s">
        <v>775</v>
      </c>
      <c r="E65" s="25" t="s">
        <v>776</v>
      </c>
      <c r="F65" s="25" t="s">
        <v>26</v>
      </c>
      <c r="G65" s="25" t="s">
        <v>26</v>
      </c>
      <c r="H65" s="25" t="s">
        <v>26</v>
      </c>
      <c r="I65" s="25" t="s">
        <v>777</v>
      </c>
      <c r="J65" s="25" t="s">
        <v>558</v>
      </c>
      <c r="K65" s="25" t="s">
        <v>579</v>
      </c>
      <c r="L65" s="25" t="s">
        <v>681</v>
      </c>
      <c r="M65" s="25"/>
      <c r="N65" s="25"/>
      <c r="O65" s="25"/>
      <c r="P65" s="25"/>
      <c r="Q65" s="25"/>
      <c r="R65" s="25"/>
      <c r="S65" s="25"/>
      <c r="T65" s="25"/>
      <c r="U65" s="25"/>
      <c r="V65" s="25"/>
      <c r="W65" s="25"/>
      <c r="X65" s="25"/>
      <c r="Y65" s="25"/>
      <c r="Z65" s="25"/>
      <c r="AA65" s="25"/>
      <c r="AB65" s="25"/>
      <c r="AC65" s="25"/>
      <c r="AD65" s="25"/>
    </row>
    <row r="66" spans="1:30" ht="15.75" customHeight="1">
      <c r="A66" s="34" t="s">
        <v>778</v>
      </c>
      <c r="B66" s="36" t="s">
        <v>779</v>
      </c>
      <c r="C66" s="25"/>
      <c r="D66" s="25" t="s">
        <v>780</v>
      </c>
      <c r="E66" s="25" t="s">
        <v>781</v>
      </c>
      <c r="F66" s="25" t="s">
        <v>27</v>
      </c>
      <c r="G66" s="25" t="s">
        <v>27</v>
      </c>
      <c r="H66" s="25" t="s">
        <v>26</v>
      </c>
      <c r="I66" s="25" t="s">
        <v>782</v>
      </c>
      <c r="J66" s="25" t="s">
        <v>564</v>
      </c>
      <c r="K66" s="25" t="s">
        <v>589</v>
      </c>
      <c r="L66" s="25" t="s">
        <v>570</v>
      </c>
      <c r="M66" s="25" t="s">
        <v>27</v>
      </c>
      <c r="N66" s="25"/>
      <c r="O66" s="25"/>
      <c r="P66" s="25"/>
      <c r="Q66" s="25"/>
      <c r="R66" s="25"/>
      <c r="S66" s="25"/>
      <c r="T66" s="25"/>
      <c r="U66" s="25"/>
      <c r="V66" s="25"/>
      <c r="W66" s="25"/>
      <c r="X66" s="25"/>
      <c r="Y66" s="25"/>
      <c r="Z66" s="25"/>
      <c r="AA66" s="25"/>
      <c r="AB66" s="25"/>
      <c r="AC66" s="25"/>
      <c r="AD66" s="25"/>
    </row>
    <row r="67" spans="1:30" ht="15.75" customHeight="1">
      <c r="A67" s="37" t="s">
        <v>783</v>
      </c>
      <c r="B67" s="36" t="s">
        <v>784</v>
      </c>
      <c r="C67" s="25"/>
      <c r="D67" s="25" t="s">
        <v>785</v>
      </c>
      <c r="E67" s="25" t="s">
        <v>786</v>
      </c>
      <c r="F67" s="25" t="s">
        <v>27</v>
      </c>
      <c r="G67" s="25" t="s">
        <v>27</v>
      </c>
      <c r="H67" s="25" t="s">
        <v>26</v>
      </c>
      <c r="I67" s="25" t="s">
        <v>787</v>
      </c>
      <c r="J67" s="25" t="s">
        <v>558</v>
      </c>
      <c r="K67" s="25" t="s">
        <v>589</v>
      </c>
      <c r="L67" s="25" t="s">
        <v>570</v>
      </c>
      <c r="M67" s="25" t="s">
        <v>27</v>
      </c>
      <c r="N67" s="25"/>
      <c r="O67" s="25"/>
      <c r="P67" s="25"/>
      <c r="Q67" s="25"/>
      <c r="R67" s="25"/>
      <c r="S67" s="25"/>
      <c r="T67" s="25"/>
      <c r="U67" s="25"/>
      <c r="V67" s="25"/>
      <c r="W67" s="25"/>
      <c r="X67" s="25"/>
      <c r="Y67" s="25"/>
      <c r="Z67" s="25"/>
      <c r="AA67" s="25"/>
      <c r="AB67" s="25"/>
      <c r="AC67" s="25"/>
      <c r="AD67" s="25"/>
    </row>
    <row r="68" spans="1:30" ht="15.75" customHeight="1">
      <c r="A68" s="34" t="s">
        <v>788</v>
      </c>
      <c r="B68" s="36" t="s">
        <v>789</v>
      </c>
      <c r="C68" s="25"/>
      <c r="D68" s="25" t="s">
        <v>790</v>
      </c>
      <c r="E68" s="25" t="s">
        <v>791</v>
      </c>
      <c r="F68" s="25" t="s">
        <v>27</v>
      </c>
      <c r="G68" s="25" t="s">
        <v>27</v>
      </c>
      <c r="H68" s="25" t="s">
        <v>26</v>
      </c>
      <c r="I68" s="25" t="s">
        <v>792</v>
      </c>
      <c r="J68" s="25" t="s">
        <v>564</v>
      </c>
      <c r="K68" s="25" t="s">
        <v>589</v>
      </c>
      <c r="L68" s="25" t="s">
        <v>570</v>
      </c>
      <c r="M68" s="25" t="s">
        <v>27</v>
      </c>
      <c r="N68" s="25"/>
      <c r="O68" s="25"/>
      <c r="P68" s="25"/>
      <c r="Q68" s="25"/>
      <c r="R68" s="25"/>
      <c r="S68" s="25"/>
      <c r="T68" s="25"/>
      <c r="U68" s="25"/>
      <c r="V68" s="25"/>
      <c r="W68" s="25"/>
      <c r="X68" s="25"/>
      <c r="Y68" s="25"/>
      <c r="Z68" s="25"/>
      <c r="AA68" s="25"/>
      <c r="AB68" s="25"/>
      <c r="AC68" s="25"/>
      <c r="AD68" s="25"/>
    </row>
    <row r="69" spans="1:30" ht="15.75" customHeight="1">
      <c r="A69" s="34" t="s">
        <v>793</v>
      </c>
      <c r="B69" s="36" t="s">
        <v>794</v>
      </c>
      <c r="C69" s="25"/>
      <c r="D69" s="25" t="s">
        <v>795</v>
      </c>
      <c r="E69" s="25" t="s">
        <v>796</v>
      </c>
      <c r="F69" s="25" t="s">
        <v>26</v>
      </c>
      <c r="G69" s="25" t="s">
        <v>26</v>
      </c>
      <c r="H69" s="25" t="s">
        <v>26</v>
      </c>
      <c r="I69" s="25" t="s">
        <v>797</v>
      </c>
      <c r="J69" s="25" t="s">
        <v>798</v>
      </c>
      <c r="K69" s="25" t="s">
        <v>574</v>
      </c>
      <c r="L69" s="25" t="s">
        <v>681</v>
      </c>
      <c r="M69" s="25" t="s">
        <v>27</v>
      </c>
      <c r="N69" s="25"/>
      <c r="O69" s="25"/>
      <c r="P69" s="25"/>
      <c r="Q69" s="25"/>
      <c r="R69" s="25"/>
      <c r="S69" s="25"/>
      <c r="T69" s="25"/>
      <c r="U69" s="25"/>
      <c r="V69" s="25"/>
      <c r="W69" s="25"/>
      <c r="X69" s="25"/>
      <c r="Y69" s="25"/>
      <c r="Z69" s="25"/>
      <c r="AA69" s="25"/>
      <c r="AB69" s="25"/>
      <c r="AC69" s="25"/>
      <c r="AD69" s="25"/>
    </row>
    <row r="70" spans="1:30" ht="15.75" customHeight="1">
      <c r="A70" s="34" t="s">
        <v>799</v>
      </c>
      <c r="B70" s="36" t="s">
        <v>800</v>
      </c>
      <c r="C70" s="25"/>
      <c r="D70" s="25" t="s">
        <v>801</v>
      </c>
      <c r="E70" s="25" t="s">
        <v>802</v>
      </c>
      <c r="F70" s="25" t="s">
        <v>26</v>
      </c>
      <c r="G70" s="25" t="s">
        <v>27</v>
      </c>
      <c r="H70" s="25" t="s">
        <v>26</v>
      </c>
      <c r="I70" s="25" t="s">
        <v>803</v>
      </c>
      <c r="J70" s="25" t="s">
        <v>798</v>
      </c>
      <c r="K70" s="25" t="s">
        <v>804</v>
      </c>
      <c r="L70" s="25" t="s">
        <v>681</v>
      </c>
      <c r="M70" s="25" t="s">
        <v>27</v>
      </c>
      <c r="N70" s="25"/>
      <c r="O70" s="25"/>
      <c r="P70" s="25"/>
      <c r="Q70" s="25"/>
      <c r="R70" s="25"/>
      <c r="S70" s="25"/>
      <c r="T70" s="25"/>
      <c r="U70" s="25"/>
      <c r="V70" s="25"/>
      <c r="W70" s="25"/>
      <c r="X70" s="25"/>
      <c r="Y70" s="25"/>
      <c r="Z70" s="25"/>
      <c r="AA70" s="25"/>
      <c r="AB70" s="25"/>
      <c r="AC70" s="25"/>
      <c r="AD70" s="25"/>
    </row>
    <row r="71" spans="1:30" ht="15.75" customHeight="1">
      <c r="A71" s="34" t="s">
        <v>805</v>
      </c>
      <c r="B71" s="36" t="s">
        <v>806</v>
      </c>
      <c r="C71" s="25"/>
      <c r="D71" s="25" t="s">
        <v>807</v>
      </c>
      <c r="E71" s="25" t="s">
        <v>808</v>
      </c>
      <c r="F71" s="25" t="s">
        <v>27</v>
      </c>
      <c r="G71" s="25" t="s">
        <v>27</v>
      </c>
      <c r="H71" s="25" t="s">
        <v>27</v>
      </c>
      <c r="I71" s="25" t="s">
        <v>809</v>
      </c>
      <c r="J71" s="25" t="s">
        <v>810</v>
      </c>
      <c r="K71" s="25" t="s">
        <v>589</v>
      </c>
      <c r="L71" s="25" t="s">
        <v>570</v>
      </c>
      <c r="M71" s="25" t="s">
        <v>27</v>
      </c>
      <c r="N71" s="25"/>
      <c r="O71" s="25"/>
      <c r="P71" s="25"/>
      <c r="Q71" s="25"/>
      <c r="R71" s="25"/>
      <c r="S71" s="25"/>
      <c r="T71" s="25"/>
      <c r="U71" s="25"/>
      <c r="V71" s="25"/>
      <c r="W71" s="25"/>
      <c r="X71" s="25"/>
      <c r="Y71" s="25"/>
      <c r="Z71" s="25"/>
      <c r="AA71" s="25"/>
      <c r="AB71" s="25"/>
      <c r="AC71" s="25"/>
      <c r="AD71" s="25"/>
    </row>
    <row r="72" spans="1:30" ht="15.75" customHeight="1">
      <c r="A72" s="34" t="s">
        <v>811</v>
      </c>
      <c r="B72" s="36" t="s">
        <v>812</v>
      </c>
      <c r="C72" s="25"/>
      <c r="D72" s="25" t="s">
        <v>813</v>
      </c>
      <c r="E72" s="25" t="s">
        <v>814</v>
      </c>
      <c r="F72" s="25" t="s">
        <v>27</v>
      </c>
      <c r="G72" s="25" t="s">
        <v>27</v>
      </c>
      <c r="H72" s="25" t="s">
        <v>26</v>
      </c>
      <c r="I72" s="25" t="s">
        <v>815</v>
      </c>
      <c r="J72" s="25" t="s">
        <v>798</v>
      </c>
      <c r="K72" s="25" t="s">
        <v>589</v>
      </c>
      <c r="L72" s="25" t="s">
        <v>570</v>
      </c>
      <c r="M72" s="25" t="s">
        <v>26</v>
      </c>
      <c r="N72" s="25"/>
      <c r="O72" s="25"/>
      <c r="P72" s="25"/>
      <c r="Q72" s="25"/>
      <c r="R72" s="25"/>
      <c r="S72" s="25"/>
      <c r="T72" s="25"/>
      <c r="U72" s="25"/>
      <c r="V72" s="25"/>
      <c r="W72" s="25"/>
      <c r="X72" s="25"/>
      <c r="Y72" s="25"/>
      <c r="Z72" s="25"/>
      <c r="AA72" s="25"/>
      <c r="AB72" s="25"/>
      <c r="AC72" s="25"/>
      <c r="AD72" s="25"/>
    </row>
    <row r="73" spans="1:30" ht="15.75" customHeight="1">
      <c r="A73" s="34" t="s">
        <v>816</v>
      </c>
      <c r="B73" s="36" t="s">
        <v>817</v>
      </c>
      <c r="C73" s="25"/>
      <c r="D73" s="25" t="s">
        <v>818</v>
      </c>
      <c r="E73" s="25" t="s">
        <v>819</v>
      </c>
      <c r="F73" s="25" t="s">
        <v>27</v>
      </c>
      <c r="G73" s="25" t="s">
        <v>26</v>
      </c>
      <c r="H73" s="25" t="s">
        <v>27</v>
      </c>
      <c r="I73" s="25" t="s">
        <v>820</v>
      </c>
      <c r="J73" s="25" t="s">
        <v>798</v>
      </c>
      <c r="K73" s="25" t="s">
        <v>589</v>
      </c>
      <c r="L73" s="25" t="s">
        <v>570</v>
      </c>
      <c r="M73" s="25" t="s">
        <v>27</v>
      </c>
      <c r="N73" s="25"/>
      <c r="O73" s="25"/>
      <c r="P73" s="25"/>
      <c r="Q73" s="25"/>
      <c r="R73" s="25"/>
      <c r="S73" s="25"/>
      <c r="T73" s="25"/>
      <c r="U73" s="25"/>
      <c r="V73" s="25"/>
      <c r="W73" s="25"/>
      <c r="X73" s="25"/>
      <c r="Y73" s="25"/>
      <c r="Z73" s="25"/>
      <c r="AA73" s="25"/>
      <c r="AB73" s="25"/>
      <c r="AC73" s="25"/>
      <c r="AD73" s="25"/>
    </row>
    <row r="74" spans="1:30" ht="15.75" customHeight="1">
      <c r="A74" s="34" t="s">
        <v>821</v>
      </c>
      <c r="B74" s="36" t="s">
        <v>822</v>
      </c>
      <c r="C74" s="25"/>
      <c r="D74" s="25" t="s">
        <v>823</v>
      </c>
      <c r="E74" s="25" t="s">
        <v>824</v>
      </c>
      <c r="F74" s="25" t="s">
        <v>26</v>
      </c>
      <c r="G74" s="25" t="s">
        <v>26</v>
      </c>
      <c r="H74" s="25" t="s">
        <v>26</v>
      </c>
      <c r="I74" s="25" t="s">
        <v>825</v>
      </c>
      <c r="J74" s="25" t="s">
        <v>798</v>
      </c>
      <c r="K74" s="25" t="s">
        <v>804</v>
      </c>
      <c r="L74" s="25" t="s">
        <v>681</v>
      </c>
      <c r="M74" s="25" t="s">
        <v>27</v>
      </c>
      <c r="N74" s="25"/>
      <c r="O74" s="25"/>
      <c r="P74" s="25"/>
      <c r="Q74" s="25"/>
      <c r="R74" s="25"/>
      <c r="S74" s="25"/>
      <c r="T74" s="25"/>
      <c r="U74" s="25"/>
      <c r="V74" s="25"/>
      <c r="W74" s="25"/>
      <c r="X74" s="25"/>
      <c r="Y74" s="25"/>
      <c r="Z74" s="25"/>
      <c r="AA74" s="25"/>
      <c r="AB74" s="25"/>
      <c r="AC74" s="25"/>
      <c r="AD74" s="25"/>
    </row>
    <row r="75" spans="1:30" ht="15.75" customHeight="1">
      <c r="A75" s="34" t="s">
        <v>826</v>
      </c>
      <c r="B75" s="36" t="s">
        <v>827</v>
      </c>
      <c r="C75" s="25"/>
      <c r="D75" s="25" t="s">
        <v>828</v>
      </c>
      <c r="E75" s="25" t="s">
        <v>829</v>
      </c>
      <c r="F75" s="25" t="s">
        <v>27</v>
      </c>
      <c r="G75" s="25" t="s">
        <v>27</v>
      </c>
      <c r="H75" s="25" t="s">
        <v>27</v>
      </c>
      <c r="I75" s="25" t="s">
        <v>830</v>
      </c>
      <c r="J75" s="25" t="s">
        <v>798</v>
      </c>
      <c r="K75" s="25" t="s">
        <v>589</v>
      </c>
      <c r="L75" s="25" t="s">
        <v>570</v>
      </c>
      <c r="M75" s="25" t="s">
        <v>26</v>
      </c>
      <c r="N75" s="25"/>
      <c r="O75" s="25"/>
      <c r="P75" s="25"/>
      <c r="Q75" s="25"/>
      <c r="R75" s="25"/>
      <c r="S75" s="25"/>
      <c r="T75" s="25"/>
      <c r="U75" s="25"/>
      <c r="V75" s="25"/>
      <c r="W75" s="25"/>
      <c r="X75" s="25"/>
      <c r="Y75" s="25"/>
      <c r="Z75" s="25"/>
      <c r="AA75" s="25"/>
      <c r="AB75" s="25"/>
      <c r="AC75" s="25"/>
      <c r="AD75" s="25"/>
    </row>
    <row r="76" spans="1:30" ht="15.75" customHeight="1">
      <c r="A76" s="34" t="s">
        <v>831</v>
      </c>
      <c r="B76" s="36" t="s">
        <v>832</v>
      </c>
      <c r="C76" s="25"/>
      <c r="D76" s="25" t="s">
        <v>833</v>
      </c>
      <c r="E76" s="25" t="s">
        <v>834</v>
      </c>
      <c r="F76" s="25" t="s">
        <v>27</v>
      </c>
      <c r="G76" s="25" t="s">
        <v>27</v>
      </c>
      <c r="H76" s="25" t="s">
        <v>27</v>
      </c>
      <c r="I76" s="25" t="s">
        <v>835</v>
      </c>
      <c r="J76" s="25" t="s">
        <v>798</v>
      </c>
      <c r="K76" s="25" t="s">
        <v>589</v>
      </c>
      <c r="L76" s="25" t="s">
        <v>570</v>
      </c>
      <c r="M76" s="25" t="s">
        <v>27</v>
      </c>
      <c r="N76" s="25"/>
      <c r="O76" s="25"/>
      <c r="P76" s="25"/>
      <c r="Q76" s="25"/>
      <c r="R76" s="25"/>
      <c r="S76" s="25"/>
      <c r="T76" s="25"/>
      <c r="U76" s="25"/>
      <c r="V76" s="25"/>
      <c r="W76" s="25"/>
      <c r="X76" s="25"/>
      <c r="Y76" s="25"/>
      <c r="Z76" s="25"/>
      <c r="AA76" s="25"/>
      <c r="AB76" s="25"/>
      <c r="AC76" s="25"/>
      <c r="AD76" s="25"/>
    </row>
    <row r="77" spans="1:30" ht="15.75" customHeight="1">
      <c r="A77" s="34" t="s">
        <v>836</v>
      </c>
      <c r="B77" s="36" t="s">
        <v>837</v>
      </c>
      <c r="C77" s="25"/>
      <c r="D77" s="25" t="s">
        <v>838</v>
      </c>
      <c r="E77" s="25" t="s">
        <v>839</v>
      </c>
      <c r="F77" s="25" t="s">
        <v>26</v>
      </c>
      <c r="G77" s="25" t="s">
        <v>27</v>
      </c>
      <c r="H77" s="25" t="s">
        <v>26</v>
      </c>
      <c r="I77" s="25" t="s">
        <v>840</v>
      </c>
      <c r="J77" s="25" t="s">
        <v>798</v>
      </c>
      <c r="K77" s="25" t="s">
        <v>579</v>
      </c>
      <c r="L77" s="25" t="s">
        <v>681</v>
      </c>
      <c r="M77" s="25" t="s">
        <v>27</v>
      </c>
      <c r="N77" s="25"/>
      <c r="O77" s="25"/>
      <c r="P77" s="25"/>
      <c r="Q77" s="25"/>
      <c r="R77" s="25"/>
      <c r="S77" s="25"/>
      <c r="T77" s="25"/>
      <c r="U77" s="25"/>
      <c r="V77" s="25"/>
      <c r="W77" s="25"/>
      <c r="X77" s="25"/>
      <c r="Y77" s="25"/>
      <c r="Z77" s="25"/>
      <c r="AA77" s="25"/>
      <c r="AB77" s="25"/>
      <c r="AC77" s="25"/>
      <c r="AD77" s="25"/>
    </row>
    <row r="78" spans="1:30" ht="15.75" customHeight="1">
      <c r="A78" s="34" t="s">
        <v>841</v>
      </c>
      <c r="B78" s="36" t="s">
        <v>842</v>
      </c>
      <c r="C78" s="25"/>
      <c r="D78" s="25" t="s">
        <v>843</v>
      </c>
      <c r="E78" s="25" t="s">
        <v>844</v>
      </c>
      <c r="F78" s="25" t="s">
        <v>27</v>
      </c>
      <c r="G78" s="25" t="s">
        <v>27</v>
      </c>
      <c r="H78" s="25" t="s">
        <v>27</v>
      </c>
      <c r="I78" s="25" t="s">
        <v>845</v>
      </c>
      <c r="J78" s="25" t="s">
        <v>616</v>
      </c>
      <c r="K78" s="25" t="s">
        <v>589</v>
      </c>
      <c r="L78" s="25" t="s">
        <v>570</v>
      </c>
      <c r="M78" s="25" t="s">
        <v>27</v>
      </c>
      <c r="N78" s="25"/>
      <c r="O78" s="25"/>
      <c r="P78" s="25"/>
      <c r="Q78" s="25"/>
      <c r="R78" s="25"/>
      <c r="S78" s="25"/>
      <c r="T78" s="25"/>
      <c r="U78" s="25"/>
      <c r="V78" s="25"/>
      <c r="W78" s="25"/>
      <c r="X78" s="25"/>
      <c r="Y78" s="25"/>
      <c r="Z78" s="25"/>
      <c r="AA78" s="25"/>
      <c r="AB78" s="25"/>
      <c r="AC78" s="25"/>
      <c r="AD78" s="25"/>
    </row>
    <row r="79" spans="1:30" ht="15.75" customHeight="1">
      <c r="A79" s="34" t="s">
        <v>846</v>
      </c>
      <c r="B79" s="36" t="s">
        <v>847</v>
      </c>
      <c r="C79" s="25"/>
      <c r="D79" s="25" t="s">
        <v>848</v>
      </c>
      <c r="E79" s="25" t="s">
        <v>849</v>
      </c>
      <c r="F79" s="25" t="s">
        <v>26</v>
      </c>
      <c r="G79" s="25" t="s">
        <v>26</v>
      </c>
      <c r="H79" s="25" t="s">
        <v>26</v>
      </c>
      <c r="I79" s="25" t="s">
        <v>850</v>
      </c>
      <c r="J79" s="25" t="s">
        <v>564</v>
      </c>
      <c r="K79" s="25" t="s">
        <v>574</v>
      </c>
      <c r="L79" s="25" t="s">
        <v>681</v>
      </c>
      <c r="M79" s="25" t="s">
        <v>27</v>
      </c>
      <c r="N79" s="25"/>
      <c r="O79" s="25"/>
      <c r="P79" s="25"/>
      <c r="Q79" s="25"/>
      <c r="R79" s="25"/>
      <c r="S79" s="25"/>
      <c r="T79" s="25"/>
      <c r="U79" s="25"/>
      <c r="V79" s="25"/>
      <c r="W79" s="25"/>
      <c r="X79" s="25"/>
      <c r="Y79" s="25"/>
      <c r="Z79" s="25"/>
      <c r="AA79" s="25"/>
      <c r="AB79" s="25"/>
      <c r="AC79" s="25"/>
      <c r="AD79" s="25"/>
    </row>
    <row r="80" spans="1:30" ht="15.75" customHeight="1">
      <c r="A80" s="34" t="s">
        <v>851</v>
      </c>
      <c r="B80" s="36" t="s">
        <v>852</v>
      </c>
      <c r="C80" s="25"/>
      <c r="D80" s="25" t="s">
        <v>853</v>
      </c>
      <c r="E80" s="25" t="s">
        <v>854</v>
      </c>
      <c r="F80" s="25" t="s">
        <v>26</v>
      </c>
      <c r="G80" s="25" t="s">
        <v>27</v>
      </c>
      <c r="H80" s="25" t="s">
        <v>26</v>
      </c>
      <c r="I80" s="25" t="s">
        <v>855</v>
      </c>
      <c r="J80" s="25" t="s">
        <v>564</v>
      </c>
      <c r="K80" s="25" t="s">
        <v>574</v>
      </c>
      <c r="L80" s="25" t="s">
        <v>681</v>
      </c>
      <c r="M80" s="25" t="s">
        <v>27</v>
      </c>
      <c r="N80" s="25"/>
      <c r="O80" s="25"/>
      <c r="P80" s="25"/>
      <c r="Q80" s="25"/>
      <c r="R80" s="25"/>
      <c r="S80" s="25"/>
      <c r="T80" s="25"/>
      <c r="U80" s="25"/>
      <c r="V80" s="25"/>
      <c r="W80" s="25"/>
      <c r="X80" s="25"/>
      <c r="Y80" s="25"/>
      <c r="Z80" s="25"/>
      <c r="AA80" s="25"/>
      <c r="AB80" s="25"/>
      <c r="AC80" s="25"/>
      <c r="AD80" s="25"/>
    </row>
    <row r="81" spans="1:30" ht="15.75" customHeight="1">
      <c r="A81" s="34" t="s">
        <v>856</v>
      </c>
      <c r="B81" s="36" t="s">
        <v>857</v>
      </c>
      <c r="C81" s="25"/>
      <c r="D81" s="25" t="s">
        <v>858</v>
      </c>
      <c r="E81" s="25" t="s">
        <v>859</v>
      </c>
      <c r="F81" s="25" t="s">
        <v>27</v>
      </c>
      <c r="G81" s="25" t="s">
        <v>27</v>
      </c>
      <c r="H81" s="25" t="s">
        <v>27</v>
      </c>
      <c r="I81" s="25" t="s">
        <v>860</v>
      </c>
      <c r="J81" s="25" t="s">
        <v>616</v>
      </c>
      <c r="K81" s="25" t="s">
        <v>589</v>
      </c>
      <c r="L81" s="25" t="s">
        <v>570</v>
      </c>
      <c r="M81" s="25" t="s">
        <v>27</v>
      </c>
      <c r="N81" s="25"/>
      <c r="O81" s="25"/>
      <c r="P81" s="25"/>
      <c r="Q81" s="25"/>
      <c r="R81" s="25"/>
      <c r="S81" s="25"/>
      <c r="T81" s="25"/>
      <c r="U81" s="25"/>
      <c r="V81" s="25"/>
      <c r="W81" s="25"/>
      <c r="X81" s="25"/>
      <c r="Y81" s="25"/>
      <c r="Z81" s="25"/>
      <c r="AA81" s="25"/>
      <c r="AB81" s="25"/>
      <c r="AC81" s="25"/>
      <c r="AD81" s="25"/>
    </row>
    <row r="82" spans="1:30" ht="15.75" customHeight="1">
      <c r="A82" s="34" t="s">
        <v>861</v>
      </c>
      <c r="B82" s="36" t="s">
        <v>862</v>
      </c>
      <c r="C82" s="25"/>
      <c r="D82" s="25" t="s">
        <v>863</v>
      </c>
      <c r="E82" s="25" t="s">
        <v>864</v>
      </c>
      <c r="F82" s="25" t="s">
        <v>27</v>
      </c>
      <c r="G82" s="25" t="s">
        <v>27</v>
      </c>
      <c r="H82" s="25" t="s">
        <v>27</v>
      </c>
      <c r="I82" s="25" t="s">
        <v>865</v>
      </c>
      <c r="J82" s="25" t="s">
        <v>810</v>
      </c>
      <c r="K82" s="25" t="s">
        <v>589</v>
      </c>
      <c r="L82" s="25" t="s">
        <v>570</v>
      </c>
      <c r="M82" s="25" t="s">
        <v>27</v>
      </c>
      <c r="N82" s="25"/>
      <c r="O82" s="25"/>
      <c r="P82" s="25"/>
      <c r="Q82" s="25"/>
      <c r="R82" s="25"/>
      <c r="S82" s="25"/>
      <c r="T82" s="25"/>
      <c r="U82" s="25"/>
      <c r="V82" s="25"/>
      <c r="W82" s="25"/>
      <c r="X82" s="25"/>
      <c r="Y82" s="25"/>
      <c r="Z82" s="25"/>
      <c r="AA82" s="25"/>
      <c r="AB82" s="25"/>
      <c r="AC82" s="25"/>
      <c r="AD82" s="25"/>
    </row>
    <row r="83" spans="1:30" ht="15.75" customHeight="1">
      <c r="A83" s="34" t="s">
        <v>866</v>
      </c>
      <c r="B83" s="36" t="s">
        <v>867</v>
      </c>
      <c r="C83" s="25"/>
      <c r="D83" s="25" t="s">
        <v>868</v>
      </c>
      <c r="E83" s="25" t="s">
        <v>869</v>
      </c>
      <c r="F83" s="25" t="s">
        <v>26</v>
      </c>
      <c r="G83" s="25" t="s">
        <v>27</v>
      </c>
      <c r="H83" s="25" t="s">
        <v>26</v>
      </c>
      <c r="I83" s="25" t="s">
        <v>870</v>
      </c>
      <c r="J83" s="25" t="s">
        <v>564</v>
      </c>
      <c r="K83" s="25" t="s">
        <v>574</v>
      </c>
      <c r="L83" s="25" t="s">
        <v>681</v>
      </c>
      <c r="M83" s="25" t="s">
        <v>26</v>
      </c>
      <c r="N83" s="25"/>
      <c r="O83" s="25"/>
      <c r="P83" s="25"/>
      <c r="Q83" s="25"/>
      <c r="R83" s="25"/>
      <c r="S83" s="25"/>
      <c r="T83" s="25"/>
      <c r="U83" s="25"/>
      <c r="V83" s="25"/>
      <c r="W83" s="25"/>
      <c r="X83" s="25"/>
      <c r="Y83" s="25"/>
      <c r="Z83" s="25"/>
      <c r="AA83" s="25"/>
      <c r="AB83" s="25"/>
      <c r="AC83" s="25"/>
      <c r="AD83" s="25"/>
    </row>
    <row r="84" spans="1:30" ht="15.75" customHeight="1">
      <c r="A84" s="38" t="s">
        <v>871</v>
      </c>
      <c r="B84" s="36" t="s">
        <v>872</v>
      </c>
      <c r="C84" s="25"/>
      <c r="D84" s="25" t="s">
        <v>873</v>
      </c>
      <c r="E84" s="25" t="s">
        <v>874</v>
      </c>
      <c r="F84" s="25" t="s">
        <v>26</v>
      </c>
      <c r="G84" s="25" t="s">
        <v>26</v>
      </c>
      <c r="H84" s="25" t="s">
        <v>26</v>
      </c>
      <c r="I84" s="25" t="s">
        <v>875</v>
      </c>
      <c r="J84" s="25" t="s">
        <v>564</v>
      </c>
      <c r="K84" s="25" t="s">
        <v>574</v>
      </c>
      <c r="L84" s="25" t="s">
        <v>746</v>
      </c>
      <c r="M84" s="25" t="s">
        <v>26</v>
      </c>
      <c r="N84" s="25"/>
      <c r="O84" s="25"/>
      <c r="P84" s="25"/>
      <c r="Q84" s="25"/>
      <c r="R84" s="25"/>
      <c r="S84" s="25"/>
      <c r="T84" s="25"/>
      <c r="U84" s="25"/>
      <c r="V84" s="25"/>
      <c r="W84" s="25"/>
      <c r="X84" s="25"/>
      <c r="Y84" s="25"/>
      <c r="Z84" s="25"/>
      <c r="AA84" s="25"/>
      <c r="AB84" s="25"/>
      <c r="AC84" s="25"/>
      <c r="AD84" s="25"/>
    </row>
    <row r="85" spans="1:30" ht="15.75" customHeight="1">
      <c r="A85" s="34" t="s">
        <v>876</v>
      </c>
      <c r="B85" s="36" t="s">
        <v>877</v>
      </c>
      <c r="C85" s="25"/>
      <c r="D85" s="25" t="s">
        <v>878</v>
      </c>
      <c r="E85" s="25" t="s">
        <v>879</v>
      </c>
      <c r="F85" s="25" t="s">
        <v>26</v>
      </c>
      <c r="G85" s="25" t="s">
        <v>26</v>
      </c>
      <c r="H85" s="25" t="s">
        <v>26</v>
      </c>
      <c r="I85" s="25" t="s">
        <v>880</v>
      </c>
      <c r="J85" s="25" t="s">
        <v>564</v>
      </c>
      <c r="K85" s="25" t="s">
        <v>579</v>
      </c>
      <c r="L85" s="25" t="s">
        <v>681</v>
      </c>
      <c r="M85" s="25" t="s">
        <v>27</v>
      </c>
      <c r="N85" s="25"/>
      <c r="O85" s="25"/>
      <c r="P85" s="25"/>
      <c r="Q85" s="25"/>
      <c r="R85" s="25"/>
      <c r="S85" s="25"/>
      <c r="T85" s="25"/>
      <c r="U85" s="25"/>
      <c r="V85" s="25"/>
      <c r="W85" s="25"/>
      <c r="X85" s="25"/>
      <c r="Y85" s="25"/>
      <c r="Z85" s="25"/>
      <c r="AA85" s="25"/>
      <c r="AB85" s="25"/>
      <c r="AC85" s="25"/>
      <c r="AD85" s="25"/>
    </row>
    <row r="86" spans="1:30" ht="15.75" customHeight="1">
      <c r="A86" s="34" t="s">
        <v>881</v>
      </c>
      <c r="B86" s="36" t="s">
        <v>882</v>
      </c>
      <c r="C86" s="25"/>
      <c r="D86" s="25" t="s">
        <v>883</v>
      </c>
      <c r="E86" s="25" t="s">
        <v>884</v>
      </c>
      <c r="F86" s="25" t="s">
        <v>27</v>
      </c>
      <c r="G86" s="25" t="s">
        <v>27</v>
      </c>
      <c r="H86" s="25" t="s">
        <v>26</v>
      </c>
      <c r="I86" s="25" t="s">
        <v>885</v>
      </c>
      <c r="J86" s="25" t="s">
        <v>564</v>
      </c>
      <c r="K86" s="25" t="s">
        <v>589</v>
      </c>
      <c r="L86" s="25" t="s">
        <v>570</v>
      </c>
      <c r="M86" s="25" t="s">
        <v>27</v>
      </c>
      <c r="N86" s="25"/>
      <c r="O86" s="25"/>
      <c r="P86" s="25"/>
      <c r="Q86" s="25"/>
      <c r="R86" s="25"/>
      <c r="S86" s="25"/>
      <c r="T86" s="25"/>
      <c r="U86" s="25"/>
      <c r="V86" s="25"/>
      <c r="W86" s="25"/>
      <c r="X86" s="25"/>
      <c r="Y86" s="25"/>
      <c r="Z86" s="25"/>
      <c r="AA86" s="25"/>
      <c r="AB86" s="25"/>
      <c r="AC86" s="25"/>
      <c r="AD86" s="25"/>
    </row>
    <row r="87" spans="1:30" ht="15.75" customHeight="1">
      <c r="A87" s="34" t="s">
        <v>886</v>
      </c>
      <c r="B87" s="36" t="s">
        <v>887</v>
      </c>
      <c r="C87" s="25"/>
      <c r="D87" s="25" t="s">
        <v>888</v>
      </c>
      <c r="E87" s="25" t="s">
        <v>889</v>
      </c>
      <c r="F87" s="25" t="s">
        <v>26</v>
      </c>
      <c r="G87" s="25" t="s">
        <v>27</v>
      </c>
      <c r="H87" s="25" t="s">
        <v>26</v>
      </c>
      <c r="I87" s="25" t="s">
        <v>890</v>
      </c>
      <c r="J87" s="25" t="s">
        <v>558</v>
      </c>
      <c r="K87" s="25" t="s">
        <v>574</v>
      </c>
      <c r="L87" s="25" t="s">
        <v>681</v>
      </c>
      <c r="M87" s="25" t="s">
        <v>27</v>
      </c>
      <c r="N87" s="25"/>
      <c r="O87" s="25"/>
      <c r="P87" s="25"/>
      <c r="Q87" s="25"/>
      <c r="R87" s="25"/>
      <c r="S87" s="25"/>
      <c r="T87" s="25"/>
      <c r="U87" s="25"/>
      <c r="V87" s="25"/>
      <c r="W87" s="25"/>
      <c r="X87" s="25"/>
      <c r="Y87" s="25"/>
      <c r="Z87" s="25"/>
      <c r="AA87" s="25"/>
      <c r="AB87" s="25"/>
      <c r="AC87" s="25"/>
      <c r="AD87" s="25"/>
    </row>
    <row r="88" spans="1:30" ht="15.75" customHeight="1">
      <c r="A88" s="34" t="s">
        <v>891</v>
      </c>
      <c r="B88" s="36" t="s">
        <v>892</v>
      </c>
      <c r="C88" s="25"/>
      <c r="D88" s="25" t="s">
        <v>893</v>
      </c>
      <c r="E88" s="25" t="s">
        <v>894</v>
      </c>
      <c r="F88" s="25" t="s">
        <v>27</v>
      </c>
      <c r="G88" s="25" t="s">
        <v>27</v>
      </c>
      <c r="H88" s="25" t="s">
        <v>26</v>
      </c>
      <c r="I88" s="25" t="s">
        <v>895</v>
      </c>
      <c r="J88" s="25" t="s">
        <v>564</v>
      </c>
      <c r="K88" s="25" t="s">
        <v>589</v>
      </c>
      <c r="L88" s="25" t="s">
        <v>570</v>
      </c>
      <c r="M88" s="25" t="s">
        <v>27</v>
      </c>
      <c r="N88" s="25"/>
      <c r="O88" s="25"/>
      <c r="P88" s="25"/>
      <c r="Q88" s="25"/>
      <c r="R88" s="25"/>
      <c r="S88" s="25"/>
      <c r="T88" s="25"/>
      <c r="U88" s="25"/>
      <c r="V88" s="25"/>
      <c r="W88" s="25"/>
      <c r="X88" s="25"/>
      <c r="Y88" s="25"/>
      <c r="Z88" s="25"/>
      <c r="AA88" s="25"/>
      <c r="AB88" s="25"/>
      <c r="AC88" s="25"/>
      <c r="AD88" s="25"/>
    </row>
    <row r="89" spans="1:30" ht="15.75" customHeight="1">
      <c r="A89" s="34" t="s">
        <v>896</v>
      </c>
      <c r="B89" s="36" t="s">
        <v>897</v>
      </c>
      <c r="C89" s="25"/>
      <c r="D89" s="25" t="s">
        <v>898</v>
      </c>
      <c r="E89" s="25" t="s">
        <v>899</v>
      </c>
      <c r="F89" s="25" t="s">
        <v>27</v>
      </c>
      <c r="G89" s="25" t="s">
        <v>26</v>
      </c>
      <c r="H89" s="25" t="s">
        <v>27</v>
      </c>
      <c r="I89" s="25" t="s">
        <v>900</v>
      </c>
      <c r="J89" s="25" t="s">
        <v>616</v>
      </c>
      <c r="K89" s="25" t="s">
        <v>589</v>
      </c>
      <c r="L89" s="25" t="s">
        <v>570</v>
      </c>
      <c r="M89" s="25" t="s">
        <v>27</v>
      </c>
      <c r="N89" s="25"/>
      <c r="O89" s="25"/>
      <c r="P89" s="25"/>
      <c r="Q89" s="25"/>
      <c r="R89" s="25"/>
      <c r="S89" s="25"/>
      <c r="T89" s="25"/>
      <c r="U89" s="25"/>
      <c r="V89" s="25"/>
      <c r="W89" s="25"/>
      <c r="X89" s="25"/>
      <c r="Y89" s="25"/>
      <c r="Z89" s="25"/>
      <c r="AA89" s="25"/>
      <c r="AB89" s="25"/>
      <c r="AC89" s="25"/>
      <c r="AD89" s="25"/>
    </row>
    <row r="90" spans="1:30" ht="15.75" customHeight="1">
      <c r="A90" s="34" t="s">
        <v>901</v>
      </c>
      <c r="B90" s="36" t="s">
        <v>902</v>
      </c>
      <c r="C90" s="25"/>
      <c r="D90" s="25" t="s">
        <v>903</v>
      </c>
      <c r="E90" s="25" t="s">
        <v>904</v>
      </c>
      <c r="F90" s="25" t="s">
        <v>27</v>
      </c>
      <c r="G90" s="25" t="s">
        <v>26</v>
      </c>
      <c r="H90" s="25" t="s">
        <v>27</v>
      </c>
      <c r="I90" s="25" t="s">
        <v>905</v>
      </c>
      <c r="J90" s="25" t="s">
        <v>564</v>
      </c>
      <c r="K90" s="25" t="s">
        <v>589</v>
      </c>
      <c r="L90" s="25" t="s">
        <v>570</v>
      </c>
      <c r="M90" s="25" t="s">
        <v>27</v>
      </c>
      <c r="N90" s="25"/>
      <c r="O90" s="25"/>
      <c r="P90" s="25"/>
      <c r="Q90" s="25"/>
      <c r="R90" s="25"/>
      <c r="S90" s="25"/>
      <c r="T90" s="25"/>
      <c r="U90" s="25"/>
      <c r="V90" s="25"/>
      <c r="W90" s="25"/>
      <c r="X90" s="25"/>
      <c r="Y90" s="25"/>
      <c r="Z90" s="25"/>
      <c r="AA90" s="25"/>
      <c r="AB90" s="25"/>
      <c r="AC90" s="25"/>
      <c r="AD90" s="25"/>
    </row>
    <row r="91" spans="1:30" ht="15.75" customHeight="1">
      <c r="A91" s="34" t="s">
        <v>906</v>
      </c>
      <c r="B91" s="36" t="s">
        <v>907</v>
      </c>
      <c r="C91" s="25"/>
      <c r="D91" s="25" t="s">
        <v>908</v>
      </c>
      <c r="E91" s="25" t="s">
        <v>909</v>
      </c>
      <c r="F91" s="25" t="s">
        <v>26</v>
      </c>
      <c r="G91" s="25" t="s">
        <v>26</v>
      </c>
      <c r="H91" s="25" t="s">
        <v>26</v>
      </c>
      <c r="I91" s="25" t="s">
        <v>910</v>
      </c>
      <c r="J91" s="25" t="s">
        <v>558</v>
      </c>
      <c r="K91" s="25" t="s">
        <v>579</v>
      </c>
      <c r="L91" s="25" t="s">
        <v>681</v>
      </c>
      <c r="M91" s="25" t="s">
        <v>27</v>
      </c>
      <c r="N91" s="25"/>
      <c r="O91" s="25"/>
      <c r="P91" s="25"/>
      <c r="Q91" s="25"/>
      <c r="R91" s="25"/>
      <c r="S91" s="25"/>
      <c r="T91" s="25"/>
      <c r="U91" s="25"/>
      <c r="V91" s="25"/>
      <c r="W91" s="25"/>
      <c r="X91" s="25"/>
      <c r="Y91" s="25"/>
      <c r="Z91" s="25"/>
      <c r="AA91" s="25"/>
      <c r="AB91" s="25"/>
      <c r="AC91" s="25"/>
      <c r="AD91" s="25"/>
    </row>
    <row r="92" spans="1:30" ht="15.75" customHeight="1">
      <c r="A92" s="34" t="s">
        <v>911</v>
      </c>
      <c r="B92" s="36" t="s">
        <v>912</v>
      </c>
      <c r="C92" s="25"/>
      <c r="D92" s="25" t="s">
        <v>913</v>
      </c>
      <c r="E92" s="25" t="s">
        <v>914</v>
      </c>
      <c r="F92" s="25" t="s">
        <v>27</v>
      </c>
      <c r="G92" s="25" t="s">
        <v>27</v>
      </c>
      <c r="H92" s="25" t="s">
        <v>26</v>
      </c>
      <c r="I92" s="25" t="s">
        <v>915</v>
      </c>
      <c r="J92" s="34" t="s">
        <v>564</v>
      </c>
      <c r="K92" s="34" t="s">
        <v>589</v>
      </c>
      <c r="L92" s="34" t="s">
        <v>570</v>
      </c>
      <c r="M92" s="34" t="s">
        <v>27</v>
      </c>
      <c r="N92" s="25"/>
      <c r="O92" s="25"/>
      <c r="P92" s="25"/>
      <c r="Q92" s="25"/>
      <c r="R92" s="25"/>
      <c r="S92" s="25"/>
      <c r="T92" s="25"/>
      <c r="U92" s="25"/>
      <c r="V92" s="25"/>
      <c r="W92" s="25"/>
      <c r="X92" s="25"/>
      <c r="Y92" s="25"/>
      <c r="Z92" s="25"/>
      <c r="AA92" s="25"/>
      <c r="AB92" s="25"/>
      <c r="AC92" s="25"/>
      <c r="AD92" s="25"/>
    </row>
    <row r="93" spans="1:30" ht="15.75" customHeight="1">
      <c r="A93" s="34" t="s">
        <v>916</v>
      </c>
      <c r="B93" s="36" t="s">
        <v>917</v>
      </c>
      <c r="C93" s="25"/>
      <c r="D93" s="25" t="s">
        <v>918</v>
      </c>
      <c r="E93" s="25" t="s">
        <v>919</v>
      </c>
      <c r="F93" s="25" t="s">
        <v>27</v>
      </c>
      <c r="G93" s="25" t="s">
        <v>27</v>
      </c>
      <c r="H93" s="25" t="s">
        <v>26</v>
      </c>
      <c r="I93" s="34" t="s">
        <v>920</v>
      </c>
      <c r="J93" s="34" t="s">
        <v>558</v>
      </c>
      <c r="K93" s="34" t="s">
        <v>589</v>
      </c>
      <c r="L93" s="34" t="s">
        <v>570</v>
      </c>
      <c r="M93" s="34" t="s">
        <v>27</v>
      </c>
      <c r="N93" s="25"/>
      <c r="O93" s="25"/>
      <c r="P93" s="25"/>
      <c r="Q93" s="25"/>
      <c r="R93" s="25"/>
      <c r="S93" s="25"/>
      <c r="T93" s="25"/>
      <c r="U93" s="25"/>
      <c r="V93" s="25"/>
      <c r="W93" s="25"/>
      <c r="X93" s="25"/>
      <c r="Y93" s="25"/>
      <c r="Z93" s="25"/>
      <c r="AA93" s="25"/>
      <c r="AB93" s="25"/>
      <c r="AC93" s="25"/>
      <c r="AD93" s="25"/>
    </row>
    <row r="94" spans="1:30" ht="15.75" customHeight="1">
      <c r="A94" s="34" t="s">
        <v>921</v>
      </c>
      <c r="B94" s="36" t="s">
        <v>922</v>
      </c>
      <c r="C94" s="25"/>
      <c r="D94" s="25" t="s">
        <v>923</v>
      </c>
      <c r="E94" s="25" t="s">
        <v>924</v>
      </c>
      <c r="F94" s="25" t="s">
        <v>26</v>
      </c>
      <c r="G94" s="25" t="s">
        <v>27</v>
      </c>
      <c r="H94" s="25" t="s">
        <v>26</v>
      </c>
      <c r="I94" s="25" t="s">
        <v>925</v>
      </c>
      <c r="J94" s="34" t="s">
        <v>558</v>
      </c>
      <c r="K94" s="34" t="s">
        <v>926</v>
      </c>
      <c r="L94" s="34" t="s">
        <v>681</v>
      </c>
      <c r="M94" s="34" t="s">
        <v>27</v>
      </c>
      <c r="N94" s="25"/>
      <c r="O94" s="25"/>
      <c r="P94" s="25"/>
      <c r="Q94" s="25"/>
      <c r="R94" s="25"/>
      <c r="S94" s="25"/>
      <c r="T94" s="25"/>
      <c r="U94" s="25"/>
      <c r="V94" s="25"/>
      <c r="W94" s="25"/>
      <c r="X94" s="25"/>
      <c r="Y94" s="25"/>
      <c r="Z94" s="25"/>
      <c r="AA94" s="25"/>
      <c r="AB94" s="25"/>
      <c r="AC94" s="25"/>
      <c r="AD94" s="25"/>
    </row>
    <row r="95" spans="1:30" ht="15.75" customHeight="1">
      <c r="A95" s="34" t="s">
        <v>927</v>
      </c>
      <c r="B95" s="36" t="s">
        <v>928</v>
      </c>
      <c r="C95" s="25"/>
      <c r="D95" s="25" t="s">
        <v>929</v>
      </c>
      <c r="E95" s="25" t="s">
        <v>930</v>
      </c>
      <c r="F95" s="25" t="s">
        <v>26</v>
      </c>
      <c r="G95" s="25" t="s">
        <v>26</v>
      </c>
      <c r="H95" s="25" t="s">
        <v>26</v>
      </c>
      <c r="I95" s="34" t="s">
        <v>931</v>
      </c>
      <c r="J95" s="34" t="s">
        <v>558</v>
      </c>
      <c r="K95" s="34" t="s">
        <v>804</v>
      </c>
      <c r="L95" s="34" t="s">
        <v>746</v>
      </c>
      <c r="M95" s="34" t="s">
        <v>27</v>
      </c>
      <c r="N95" s="25"/>
      <c r="O95" s="25"/>
      <c r="P95" s="25"/>
      <c r="Q95" s="25"/>
      <c r="R95" s="25"/>
      <c r="S95" s="25"/>
      <c r="T95" s="25"/>
      <c r="U95" s="25"/>
      <c r="V95" s="25"/>
      <c r="W95" s="25"/>
      <c r="X95" s="25"/>
      <c r="Y95" s="25"/>
      <c r="Z95" s="25"/>
      <c r="AA95" s="25"/>
      <c r="AB95" s="25"/>
      <c r="AC95" s="25"/>
      <c r="AD95" s="25"/>
    </row>
    <row r="96" spans="1:30" ht="15.75" customHeight="1">
      <c r="A96" s="39" t="s">
        <v>932</v>
      </c>
      <c r="B96" s="36" t="s">
        <v>933</v>
      </c>
      <c r="C96" s="25"/>
      <c r="D96" s="25" t="s">
        <v>934</v>
      </c>
      <c r="E96" s="25" t="s">
        <v>935</v>
      </c>
      <c r="F96" s="25" t="s">
        <v>26</v>
      </c>
      <c r="G96" s="25" t="s">
        <v>26</v>
      </c>
      <c r="H96" s="25" t="s">
        <v>26</v>
      </c>
      <c r="I96" s="25" t="s">
        <v>936</v>
      </c>
      <c r="J96" s="34" t="s">
        <v>558</v>
      </c>
      <c r="K96" s="34" t="s">
        <v>804</v>
      </c>
      <c r="L96" s="34" t="s">
        <v>746</v>
      </c>
      <c r="M96" s="34" t="s">
        <v>26</v>
      </c>
      <c r="N96" s="25"/>
      <c r="O96" s="25"/>
      <c r="P96" s="25"/>
      <c r="Q96" s="25"/>
      <c r="R96" s="25"/>
      <c r="S96" s="25"/>
      <c r="T96" s="25"/>
      <c r="U96" s="25"/>
      <c r="V96" s="25"/>
      <c r="W96" s="25"/>
      <c r="X96" s="25"/>
      <c r="Y96" s="25"/>
      <c r="Z96" s="25"/>
      <c r="AA96" s="25"/>
      <c r="AB96" s="25"/>
      <c r="AC96" s="25"/>
      <c r="AD96" s="25"/>
    </row>
    <row r="97" spans="1:30" ht="15.75" customHeight="1">
      <c r="A97" s="34" t="s">
        <v>937</v>
      </c>
      <c r="B97" s="36" t="s">
        <v>938</v>
      </c>
      <c r="C97" s="25"/>
      <c r="D97" s="25" t="s">
        <v>939</v>
      </c>
      <c r="E97" s="25" t="s">
        <v>940</v>
      </c>
      <c r="F97" s="25" t="s">
        <v>27</v>
      </c>
      <c r="G97" s="25" t="s">
        <v>27</v>
      </c>
      <c r="H97" s="25" t="s">
        <v>26</v>
      </c>
      <c r="I97" s="25" t="s">
        <v>941</v>
      </c>
      <c r="J97" s="34" t="s">
        <v>558</v>
      </c>
      <c r="K97" s="34" t="s">
        <v>589</v>
      </c>
      <c r="L97" s="34" t="s">
        <v>570</v>
      </c>
      <c r="M97" s="34" t="s">
        <v>26</v>
      </c>
      <c r="N97" s="25"/>
      <c r="O97" s="25"/>
      <c r="P97" s="25"/>
      <c r="Q97" s="25"/>
      <c r="R97" s="25"/>
      <c r="S97" s="25"/>
      <c r="T97" s="25"/>
      <c r="U97" s="25"/>
      <c r="V97" s="25"/>
      <c r="W97" s="25"/>
      <c r="X97" s="25"/>
      <c r="Y97" s="25"/>
      <c r="Z97" s="25"/>
      <c r="AA97" s="25"/>
      <c r="AB97" s="25"/>
      <c r="AC97" s="25"/>
      <c r="AD97" s="25"/>
    </row>
    <row r="98" spans="1:30" ht="15.75" customHeight="1">
      <c r="A98" s="34" t="s">
        <v>942</v>
      </c>
      <c r="B98" s="36" t="s">
        <v>943</v>
      </c>
      <c r="C98" s="25"/>
      <c r="D98" s="25" t="s">
        <v>944</v>
      </c>
      <c r="E98" s="25" t="s">
        <v>945</v>
      </c>
      <c r="F98" s="25" t="s">
        <v>26</v>
      </c>
      <c r="G98" s="25" t="s">
        <v>26</v>
      </c>
      <c r="H98" s="25" t="s">
        <v>26</v>
      </c>
      <c r="I98" s="25" t="s">
        <v>946</v>
      </c>
      <c r="J98" s="34" t="s">
        <v>558</v>
      </c>
      <c r="K98" s="34" t="s">
        <v>804</v>
      </c>
      <c r="L98" s="34" t="s">
        <v>681</v>
      </c>
      <c r="M98" s="34" t="s">
        <v>27</v>
      </c>
      <c r="N98" s="25"/>
      <c r="O98" s="25"/>
      <c r="P98" s="25"/>
      <c r="Q98" s="25"/>
      <c r="R98" s="25"/>
      <c r="S98" s="25"/>
      <c r="T98" s="25"/>
      <c r="U98" s="25"/>
      <c r="V98" s="25"/>
      <c r="W98" s="25"/>
      <c r="X98" s="25"/>
      <c r="Y98" s="25"/>
      <c r="Z98" s="25"/>
      <c r="AA98" s="25"/>
      <c r="AB98" s="25"/>
      <c r="AC98" s="25"/>
      <c r="AD98" s="25"/>
    </row>
    <row r="99" spans="1:30" ht="15.75" customHeight="1">
      <c r="A99" s="34" t="s">
        <v>947</v>
      </c>
      <c r="B99" s="36" t="s">
        <v>948</v>
      </c>
      <c r="C99" s="25"/>
      <c r="D99" s="25" t="s">
        <v>949</v>
      </c>
      <c r="E99" s="25" t="s">
        <v>950</v>
      </c>
      <c r="F99" s="25" t="s">
        <v>26</v>
      </c>
      <c r="G99" s="25" t="s">
        <v>26</v>
      </c>
      <c r="H99" s="25" t="s">
        <v>26</v>
      </c>
      <c r="I99" s="34" t="s">
        <v>951</v>
      </c>
      <c r="J99" s="34" t="s">
        <v>558</v>
      </c>
      <c r="K99" s="34" t="s">
        <v>574</v>
      </c>
      <c r="L99" s="34" t="s">
        <v>681</v>
      </c>
      <c r="M99" s="34" t="s">
        <v>27</v>
      </c>
      <c r="N99" s="25"/>
      <c r="O99" s="25"/>
      <c r="P99" s="25"/>
      <c r="Q99" s="25"/>
      <c r="R99" s="25"/>
      <c r="S99" s="25"/>
      <c r="T99" s="25"/>
      <c r="U99" s="25"/>
      <c r="V99" s="25"/>
      <c r="W99" s="25"/>
      <c r="X99" s="25"/>
      <c r="Y99" s="25"/>
      <c r="Z99" s="25"/>
      <c r="AA99" s="25"/>
      <c r="AB99" s="25"/>
      <c r="AC99" s="25"/>
      <c r="AD99" s="25"/>
    </row>
    <row r="100" spans="1:30" ht="15.75" customHeight="1">
      <c r="A100" s="34" t="s">
        <v>952</v>
      </c>
      <c r="B100" s="36" t="s">
        <v>953</v>
      </c>
      <c r="C100" s="25"/>
      <c r="D100" s="25" t="s">
        <v>954</v>
      </c>
      <c r="E100" s="25" t="s">
        <v>955</v>
      </c>
      <c r="F100" s="25" t="s">
        <v>26</v>
      </c>
      <c r="G100" s="25" t="s">
        <v>26</v>
      </c>
      <c r="H100" s="25" t="s">
        <v>26</v>
      </c>
      <c r="I100" s="25" t="s">
        <v>956</v>
      </c>
      <c r="J100" s="34" t="s">
        <v>616</v>
      </c>
      <c r="K100" s="34" t="s">
        <v>574</v>
      </c>
      <c r="L100" s="34" t="s">
        <v>565</v>
      </c>
      <c r="M100" s="34" t="s">
        <v>27</v>
      </c>
      <c r="N100" s="25"/>
      <c r="O100" s="25"/>
      <c r="P100" s="25"/>
      <c r="Q100" s="25"/>
      <c r="R100" s="25"/>
      <c r="S100" s="25"/>
      <c r="T100" s="25"/>
      <c r="U100" s="25"/>
      <c r="V100" s="25"/>
      <c r="W100" s="25"/>
      <c r="X100" s="25"/>
      <c r="Y100" s="25"/>
      <c r="Z100" s="25"/>
      <c r="AA100" s="25"/>
      <c r="AB100" s="25"/>
      <c r="AC100" s="25"/>
      <c r="AD100" s="25"/>
    </row>
    <row r="101" spans="1:30" ht="15.75" customHeight="1">
      <c r="A101" s="34" t="s">
        <v>957</v>
      </c>
      <c r="B101" s="36" t="s">
        <v>958</v>
      </c>
      <c r="C101" s="25"/>
      <c r="D101" s="25" t="s">
        <v>959</v>
      </c>
      <c r="E101" s="25" t="s">
        <v>629</v>
      </c>
      <c r="F101" s="25" t="s">
        <v>26</v>
      </c>
      <c r="G101" s="25" t="s">
        <v>26</v>
      </c>
      <c r="H101" s="25" t="s">
        <v>26</v>
      </c>
      <c r="I101" s="25" t="s">
        <v>960</v>
      </c>
      <c r="J101" s="34" t="s">
        <v>564</v>
      </c>
      <c r="K101" s="34" t="s">
        <v>574</v>
      </c>
      <c r="L101" s="34" t="s">
        <v>565</v>
      </c>
      <c r="M101" s="34" t="s">
        <v>27</v>
      </c>
      <c r="N101" s="25"/>
      <c r="O101" s="25"/>
      <c r="P101" s="25"/>
      <c r="Q101" s="25"/>
      <c r="R101" s="25"/>
      <c r="S101" s="25"/>
      <c r="T101" s="25"/>
      <c r="U101" s="25"/>
      <c r="V101" s="25"/>
      <c r="W101" s="25"/>
      <c r="X101" s="25"/>
      <c r="Y101" s="25"/>
      <c r="Z101" s="25"/>
      <c r="AA101" s="25"/>
      <c r="AB101" s="25"/>
      <c r="AC101" s="25"/>
      <c r="AD101" s="25"/>
    </row>
    <row r="102" spans="1:30" ht="15.75" customHeight="1">
      <c r="A102" s="34" t="s">
        <v>961</v>
      </c>
      <c r="B102" s="36" t="s">
        <v>962</v>
      </c>
      <c r="C102" s="25"/>
      <c r="D102" s="25" t="s">
        <v>963</v>
      </c>
      <c r="E102" s="25" t="s">
        <v>964</v>
      </c>
      <c r="F102" s="25" t="s">
        <v>27</v>
      </c>
      <c r="G102" s="25" t="s">
        <v>27</v>
      </c>
      <c r="H102" s="25" t="s">
        <v>27</v>
      </c>
      <c r="I102" s="25" t="s">
        <v>965</v>
      </c>
      <c r="J102" s="34" t="s">
        <v>810</v>
      </c>
      <c r="K102" s="34" t="s">
        <v>660</v>
      </c>
      <c r="L102" s="34" t="s">
        <v>570</v>
      </c>
      <c r="M102" s="34" t="s">
        <v>26</v>
      </c>
      <c r="N102" s="25"/>
      <c r="O102" s="25"/>
      <c r="P102" s="25"/>
      <c r="Q102" s="25"/>
      <c r="R102" s="25"/>
      <c r="S102" s="25"/>
      <c r="T102" s="25"/>
      <c r="U102" s="25"/>
      <c r="V102" s="25"/>
      <c r="W102" s="25"/>
      <c r="X102" s="25"/>
      <c r="Y102" s="25"/>
      <c r="Z102" s="25"/>
      <c r="AA102" s="25"/>
      <c r="AB102" s="25"/>
      <c r="AC102" s="25"/>
      <c r="AD102" s="25"/>
    </row>
    <row r="103" spans="1:30" ht="15.75" customHeight="1">
      <c r="A103" s="34" t="s">
        <v>966</v>
      </c>
      <c r="B103" s="36" t="s">
        <v>967</v>
      </c>
      <c r="C103" s="25"/>
      <c r="D103" s="34" t="s">
        <v>968</v>
      </c>
      <c r="E103" s="34" t="s">
        <v>969</v>
      </c>
      <c r="F103" s="37" t="s">
        <v>27</v>
      </c>
      <c r="G103" s="34" t="s">
        <v>27</v>
      </c>
      <c r="H103" s="34" t="s">
        <v>26</v>
      </c>
      <c r="I103" s="34" t="s">
        <v>970</v>
      </c>
      <c r="J103" s="34" t="s">
        <v>564</v>
      </c>
      <c r="K103" s="34" t="s">
        <v>660</v>
      </c>
      <c r="L103" s="34" t="s">
        <v>570</v>
      </c>
      <c r="M103" s="34" t="s">
        <v>27</v>
      </c>
      <c r="N103" s="25"/>
      <c r="O103" s="25"/>
      <c r="P103" s="25"/>
      <c r="Q103" s="25"/>
      <c r="R103" s="25"/>
      <c r="S103" s="25"/>
      <c r="T103" s="25"/>
      <c r="U103" s="25"/>
      <c r="V103" s="25"/>
      <c r="W103" s="25"/>
      <c r="X103" s="25"/>
      <c r="Y103" s="25"/>
      <c r="Z103" s="25"/>
      <c r="AA103" s="25"/>
      <c r="AB103" s="25"/>
      <c r="AC103" s="25"/>
      <c r="AD103" s="25"/>
    </row>
    <row r="104" spans="1:30" ht="15.75" customHeight="1">
      <c r="A104" s="25"/>
      <c r="B104" s="25"/>
      <c r="C104" s="25"/>
      <c r="D104" s="25"/>
      <c r="E104" s="25"/>
      <c r="F104" s="8">
        <f t="shared" ref="F104:H104" si="0">COUNTIF(F3:F103,"yes")</f>
        <v>42</v>
      </c>
      <c r="G104" s="8">
        <f t="shared" si="0"/>
        <v>57</v>
      </c>
      <c r="H104" s="8">
        <f t="shared" si="0"/>
        <v>19</v>
      </c>
      <c r="I104" s="25"/>
      <c r="J104" s="25"/>
      <c r="K104" s="25"/>
      <c r="L104" s="25"/>
      <c r="M104" s="25"/>
      <c r="N104" s="25"/>
      <c r="O104" s="25"/>
      <c r="P104" s="25"/>
      <c r="Q104" s="25"/>
      <c r="R104" s="25"/>
      <c r="S104" s="25"/>
      <c r="T104" s="25"/>
      <c r="U104" s="25"/>
      <c r="V104" s="25"/>
      <c r="W104" s="25"/>
      <c r="X104" s="25"/>
      <c r="Y104" s="25"/>
      <c r="Z104" s="25"/>
      <c r="AA104" s="25"/>
      <c r="AB104" s="25"/>
      <c r="AC104" s="25"/>
      <c r="AD104" s="25"/>
    </row>
    <row r="105" spans="1:30" ht="15.75" customHeight="1">
      <c r="A105" s="25"/>
      <c r="B105" s="25"/>
      <c r="C105" s="25"/>
      <c r="D105" s="25"/>
      <c r="E105" s="25"/>
      <c r="F105" s="8">
        <f t="shared" ref="F105:H105" si="1">COUNTIF(F3:F103,"no")</f>
        <v>58</v>
      </c>
      <c r="G105" s="8">
        <f t="shared" si="1"/>
        <v>43</v>
      </c>
      <c r="H105" s="8">
        <f t="shared" si="1"/>
        <v>79</v>
      </c>
      <c r="I105" s="40"/>
      <c r="J105" s="25"/>
      <c r="K105" s="25"/>
      <c r="L105" s="25"/>
      <c r="M105" s="25"/>
      <c r="N105" s="25"/>
      <c r="O105" s="25"/>
      <c r="P105" s="25"/>
      <c r="Q105" s="25"/>
      <c r="R105" s="25"/>
      <c r="S105" s="25"/>
      <c r="T105" s="25"/>
      <c r="U105" s="25"/>
      <c r="V105" s="25"/>
      <c r="W105" s="25"/>
      <c r="X105" s="25"/>
      <c r="Y105" s="25"/>
      <c r="Z105" s="25"/>
      <c r="AA105" s="25"/>
      <c r="AB105" s="25"/>
      <c r="AC105" s="25"/>
      <c r="AD105" s="25"/>
    </row>
    <row r="106" spans="1:30" ht="15.75" customHeight="1">
      <c r="A106" s="25"/>
      <c r="B106" s="25"/>
      <c r="C106" s="25"/>
      <c r="D106" s="25"/>
      <c r="E106" s="25"/>
      <c r="F106" s="8">
        <f t="shared" ref="F106:H106" si="2">COUNTA(F3:F103)</f>
        <v>101</v>
      </c>
      <c r="G106" s="8">
        <f t="shared" si="2"/>
        <v>101</v>
      </c>
      <c r="H106" s="8">
        <f t="shared" si="2"/>
        <v>101</v>
      </c>
      <c r="I106" s="40"/>
      <c r="J106" s="25"/>
      <c r="K106" s="25"/>
      <c r="L106" s="25"/>
      <c r="M106" s="25"/>
      <c r="N106" s="25"/>
      <c r="O106" s="25"/>
      <c r="P106" s="25"/>
      <c r="Q106" s="25"/>
      <c r="R106" s="25"/>
      <c r="S106" s="25"/>
      <c r="T106" s="25"/>
      <c r="U106" s="25"/>
      <c r="V106" s="25"/>
      <c r="W106" s="25"/>
      <c r="X106" s="25"/>
      <c r="Y106" s="25"/>
      <c r="Z106" s="25"/>
      <c r="AA106" s="25"/>
      <c r="AB106" s="25"/>
      <c r="AC106" s="25"/>
      <c r="AD106" s="25"/>
    </row>
    <row r="107" spans="1:30" ht="15.75" customHeight="1">
      <c r="A107" s="25"/>
      <c r="B107" s="25"/>
      <c r="C107" s="25"/>
      <c r="D107" s="25"/>
      <c r="E107" s="25"/>
      <c r="F107" s="25"/>
      <c r="G107" s="25"/>
      <c r="H107" s="25"/>
      <c r="I107" s="40"/>
      <c r="J107" s="25"/>
      <c r="K107" s="25"/>
      <c r="L107" s="25"/>
      <c r="M107" s="25"/>
      <c r="N107" s="25"/>
      <c r="O107" s="25"/>
      <c r="P107" s="25"/>
      <c r="Q107" s="25"/>
      <c r="R107" s="25"/>
      <c r="S107" s="25"/>
      <c r="T107" s="25"/>
      <c r="U107" s="25"/>
      <c r="V107" s="25"/>
      <c r="W107" s="25"/>
      <c r="X107" s="25"/>
      <c r="Y107" s="25"/>
      <c r="Z107" s="25"/>
      <c r="AA107" s="25"/>
      <c r="AB107" s="25"/>
      <c r="AC107" s="25"/>
      <c r="AD107" s="25"/>
    </row>
    <row r="108" spans="1:30" ht="15.75" customHeight="1">
      <c r="A108" s="25"/>
      <c r="B108" s="25"/>
      <c r="C108" s="25"/>
      <c r="D108" s="25"/>
      <c r="E108" s="25"/>
      <c r="F108" s="2">
        <f>COUNTIF(F53:F103, "yes")</f>
        <v>27</v>
      </c>
      <c r="G108" s="25"/>
      <c r="H108" s="25"/>
      <c r="I108" s="40"/>
      <c r="J108" s="25"/>
      <c r="K108" s="25"/>
      <c r="L108" s="25"/>
      <c r="M108" s="25"/>
      <c r="N108" s="25"/>
      <c r="O108" s="25"/>
      <c r="P108" s="25"/>
      <c r="Q108" s="25"/>
      <c r="R108" s="25"/>
      <c r="S108" s="25"/>
      <c r="T108" s="25"/>
      <c r="U108" s="25"/>
      <c r="V108" s="25"/>
      <c r="W108" s="25"/>
      <c r="X108" s="25"/>
      <c r="Y108" s="25"/>
      <c r="Z108" s="25"/>
      <c r="AA108" s="25"/>
      <c r="AB108" s="25"/>
      <c r="AC108" s="25"/>
      <c r="AD108" s="25"/>
    </row>
    <row r="109" spans="1:30" ht="15.75" customHeight="1">
      <c r="A109" s="25"/>
      <c r="B109" s="25"/>
      <c r="C109" s="25"/>
      <c r="D109" s="25"/>
      <c r="E109" s="25"/>
      <c r="G109" s="25"/>
      <c r="H109" s="25"/>
      <c r="I109" s="40"/>
      <c r="J109" s="25"/>
      <c r="K109" s="25"/>
      <c r="L109" s="25"/>
      <c r="M109" s="25"/>
      <c r="N109" s="25"/>
      <c r="O109" s="25"/>
      <c r="P109" s="25"/>
      <c r="Q109" s="25"/>
      <c r="R109" s="25"/>
      <c r="S109" s="25"/>
      <c r="T109" s="25"/>
      <c r="U109" s="25"/>
      <c r="V109" s="25"/>
      <c r="W109" s="25"/>
      <c r="X109" s="25"/>
      <c r="Y109" s="25"/>
      <c r="Z109" s="25"/>
      <c r="AA109" s="25"/>
      <c r="AB109" s="25"/>
      <c r="AC109" s="25"/>
      <c r="AD109" s="25"/>
    </row>
    <row r="110" spans="1:30" ht="15.75" customHeight="1">
      <c r="A110" s="25"/>
      <c r="B110" s="25"/>
      <c r="C110" s="25"/>
      <c r="D110" s="25"/>
      <c r="E110" s="25"/>
      <c r="F110" s="25"/>
      <c r="G110" s="25"/>
      <c r="H110" s="25"/>
      <c r="I110" s="40"/>
      <c r="J110" s="25"/>
      <c r="K110" s="25"/>
      <c r="L110" s="25"/>
      <c r="M110" s="25"/>
      <c r="N110" s="25"/>
      <c r="O110" s="25"/>
      <c r="P110" s="25"/>
      <c r="Q110" s="25"/>
      <c r="R110" s="25"/>
      <c r="S110" s="25"/>
      <c r="T110" s="25"/>
      <c r="U110" s="25"/>
      <c r="V110" s="25"/>
      <c r="W110" s="25"/>
      <c r="X110" s="25"/>
      <c r="Y110" s="25"/>
      <c r="Z110" s="25"/>
      <c r="AA110" s="25"/>
      <c r="AB110" s="25"/>
      <c r="AC110" s="25"/>
      <c r="AD110" s="25"/>
    </row>
    <row r="111" spans="1:30" ht="15.75" customHeight="1">
      <c r="A111" s="25"/>
      <c r="B111" s="25"/>
      <c r="C111" s="25"/>
      <c r="D111" s="25"/>
      <c r="E111" s="25"/>
      <c r="F111" s="25"/>
      <c r="G111" s="25"/>
      <c r="H111" s="25"/>
      <c r="I111" s="40"/>
      <c r="J111" s="25"/>
      <c r="K111" s="25"/>
      <c r="L111" s="25"/>
      <c r="M111" s="25"/>
      <c r="N111" s="25"/>
      <c r="O111" s="25"/>
      <c r="P111" s="25"/>
      <c r="Q111" s="25"/>
      <c r="R111" s="25"/>
      <c r="S111" s="25"/>
      <c r="T111" s="25"/>
      <c r="U111" s="25"/>
      <c r="V111" s="25"/>
      <c r="W111" s="25"/>
      <c r="X111" s="25"/>
      <c r="Y111" s="25"/>
      <c r="Z111" s="25"/>
      <c r="AA111" s="25"/>
      <c r="AB111" s="25"/>
      <c r="AC111" s="25"/>
      <c r="AD111" s="25"/>
    </row>
    <row r="112" spans="1:30" ht="15.75" customHeight="1">
      <c r="A112" s="25"/>
      <c r="B112" s="25"/>
      <c r="C112" s="25"/>
      <c r="D112" s="25"/>
      <c r="E112" s="25"/>
      <c r="F112" s="25"/>
      <c r="G112" s="25"/>
      <c r="H112" s="25"/>
      <c r="I112" s="40"/>
      <c r="J112" s="25"/>
      <c r="K112" s="25"/>
      <c r="L112" s="25"/>
      <c r="M112" s="25"/>
      <c r="N112" s="25"/>
      <c r="O112" s="25"/>
      <c r="P112" s="25"/>
      <c r="Q112" s="25"/>
      <c r="R112" s="25"/>
      <c r="S112" s="25"/>
      <c r="T112" s="25"/>
      <c r="U112" s="25"/>
      <c r="V112" s="25"/>
      <c r="W112" s="25"/>
      <c r="X112" s="25"/>
      <c r="Y112" s="25"/>
      <c r="Z112" s="25"/>
      <c r="AA112" s="25"/>
      <c r="AB112" s="25"/>
      <c r="AC112" s="25"/>
      <c r="AD112" s="25"/>
    </row>
    <row r="113" spans="1:30" ht="15.75" customHeight="1">
      <c r="A113" s="25"/>
      <c r="B113" s="25"/>
      <c r="C113" s="25"/>
      <c r="D113" s="25"/>
      <c r="E113" s="25"/>
      <c r="F113" s="25"/>
      <c r="G113" s="25"/>
      <c r="H113" s="25"/>
      <c r="I113" s="40"/>
      <c r="J113" s="25"/>
      <c r="K113" s="25"/>
      <c r="L113" s="25"/>
      <c r="M113" s="25"/>
      <c r="N113" s="25"/>
      <c r="O113" s="25"/>
      <c r="P113" s="25"/>
      <c r="Q113" s="25"/>
      <c r="R113" s="25"/>
      <c r="S113" s="25"/>
      <c r="T113" s="25"/>
      <c r="U113" s="25"/>
      <c r="V113" s="25"/>
      <c r="W113" s="25"/>
      <c r="X113" s="25"/>
      <c r="Y113" s="25"/>
      <c r="Z113" s="25"/>
      <c r="AA113" s="25"/>
      <c r="AB113" s="25"/>
      <c r="AC113" s="25"/>
      <c r="AD113" s="25"/>
    </row>
    <row r="114" spans="1:30" ht="15.75" customHeight="1">
      <c r="A114" s="25"/>
      <c r="B114" s="25"/>
      <c r="C114" s="25"/>
      <c r="D114" s="25"/>
      <c r="E114" s="25"/>
      <c r="F114" s="25"/>
      <c r="G114" s="25"/>
      <c r="H114" s="25"/>
      <c r="I114" s="40"/>
      <c r="J114" s="25"/>
      <c r="K114" s="25"/>
      <c r="L114" s="25"/>
      <c r="M114" s="25"/>
      <c r="N114" s="25"/>
      <c r="O114" s="25"/>
      <c r="P114" s="25"/>
      <c r="Q114" s="25"/>
      <c r="R114" s="25"/>
      <c r="S114" s="25"/>
      <c r="T114" s="25"/>
      <c r="U114" s="25"/>
      <c r="V114" s="25"/>
      <c r="W114" s="25"/>
      <c r="X114" s="25"/>
      <c r="Y114" s="25"/>
      <c r="Z114" s="25"/>
      <c r="AA114" s="25"/>
      <c r="AB114" s="25"/>
      <c r="AC114" s="25"/>
      <c r="AD114" s="25"/>
    </row>
    <row r="115" spans="1:30" ht="15.75" customHeight="1">
      <c r="A115" s="25"/>
      <c r="B115" s="25"/>
      <c r="C115" s="25"/>
      <c r="D115" s="25"/>
      <c r="E115" s="25"/>
      <c r="F115" s="25"/>
      <c r="G115" s="25"/>
      <c r="H115" s="25"/>
      <c r="I115" s="40"/>
      <c r="J115" s="25"/>
      <c r="K115" s="25"/>
      <c r="L115" s="25"/>
      <c r="M115" s="25"/>
      <c r="N115" s="25"/>
      <c r="O115" s="25"/>
      <c r="P115" s="25"/>
      <c r="Q115" s="25"/>
      <c r="R115" s="25"/>
      <c r="S115" s="25"/>
      <c r="T115" s="25"/>
      <c r="U115" s="25"/>
      <c r="V115" s="25"/>
      <c r="W115" s="25"/>
      <c r="X115" s="25"/>
      <c r="Y115" s="25"/>
      <c r="Z115" s="25"/>
      <c r="AA115" s="25"/>
      <c r="AB115" s="25"/>
      <c r="AC115" s="25"/>
      <c r="AD115" s="25"/>
    </row>
    <row r="116" spans="1:30" ht="15.75" customHeight="1">
      <c r="A116" s="25"/>
      <c r="B116" s="25"/>
      <c r="C116" s="25"/>
      <c r="D116" s="25"/>
      <c r="E116" s="25"/>
      <c r="F116" s="25"/>
      <c r="G116" s="25"/>
      <c r="H116" s="25"/>
      <c r="I116" s="40"/>
      <c r="J116" s="25"/>
      <c r="K116" s="25"/>
      <c r="L116" s="25"/>
      <c r="M116" s="25"/>
      <c r="N116" s="25"/>
      <c r="O116" s="25"/>
      <c r="P116" s="25"/>
      <c r="Q116" s="25"/>
      <c r="R116" s="25"/>
      <c r="S116" s="25"/>
      <c r="T116" s="25"/>
      <c r="U116" s="25"/>
      <c r="V116" s="25"/>
      <c r="W116" s="25"/>
      <c r="X116" s="25"/>
      <c r="Y116" s="25"/>
      <c r="Z116" s="25"/>
      <c r="AA116" s="25"/>
      <c r="AB116" s="25"/>
      <c r="AC116" s="25"/>
      <c r="AD116" s="25"/>
    </row>
    <row r="117" spans="1:30" ht="15.75" customHeight="1">
      <c r="A117" s="25"/>
      <c r="B117" s="25"/>
      <c r="C117" s="25"/>
      <c r="D117" s="25"/>
      <c r="E117" s="25"/>
      <c r="F117" s="25"/>
      <c r="G117" s="25"/>
      <c r="H117" s="25"/>
      <c r="I117" s="40"/>
      <c r="J117" s="25"/>
      <c r="K117" s="25"/>
      <c r="L117" s="25"/>
      <c r="M117" s="25"/>
      <c r="N117" s="25"/>
      <c r="O117" s="25"/>
      <c r="P117" s="25"/>
      <c r="Q117" s="25"/>
      <c r="R117" s="25"/>
      <c r="S117" s="25"/>
      <c r="T117" s="25"/>
      <c r="U117" s="25"/>
      <c r="V117" s="25"/>
      <c r="W117" s="25"/>
      <c r="X117" s="25"/>
      <c r="Y117" s="25"/>
      <c r="Z117" s="25"/>
      <c r="AA117" s="25"/>
      <c r="AB117" s="25"/>
      <c r="AC117" s="25"/>
      <c r="AD117" s="25"/>
    </row>
    <row r="118" spans="1:30" ht="15.75" customHeight="1">
      <c r="A118" s="25"/>
      <c r="B118" s="25"/>
      <c r="C118" s="25"/>
      <c r="D118" s="25"/>
      <c r="E118" s="25"/>
      <c r="F118" s="25"/>
      <c r="G118" s="25"/>
      <c r="H118" s="25"/>
      <c r="I118" s="40"/>
      <c r="J118" s="25"/>
      <c r="K118" s="25"/>
      <c r="L118" s="25"/>
      <c r="M118" s="25"/>
      <c r="N118" s="25"/>
      <c r="O118" s="25"/>
      <c r="P118" s="25"/>
      <c r="Q118" s="25"/>
      <c r="R118" s="25"/>
      <c r="S118" s="25"/>
      <c r="T118" s="25"/>
      <c r="U118" s="25"/>
      <c r="V118" s="25"/>
      <c r="W118" s="25"/>
      <c r="X118" s="25"/>
      <c r="Y118" s="25"/>
      <c r="Z118" s="25"/>
      <c r="AA118" s="25"/>
      <c r="AB118" s="25"/>
      <c r="AC118" s="25"/>
      <c r="AD118" s="25"/>
    </row>
    <row r="119" spans="1:30" ht="15.75" customHeight="1">
      <c r="A119" s="25"/>
      <c r="B119" s="25"/>
      <c r="C119" s="25"/>
      <c r="D119" s="25"/>
      <c r="E119" s="25"/>
      <c r="F119" s="25"/>
      <c r="G119" s="25"/>
      <c r="H119" s="25"/>
      <c r="I119" s="40"/>
      <c r="J119" s="25"/>
      <c r="K119" s="25"/>
      <c r="L119" s="25"/>
      <c r="M119" s="25"/>
      <c r="N119" s="25"/>
      <c r="O119" s="25"/>
      <c r="P119" s="25"/>
      <c r="Q119" s="25"/>
      <c r="R119" s="25"/>
      <c r="S119" s="25"/>
      <c r="T119" s="25"/>
      <c r="U119" s="25"/>
      <c r="V119" s="25"/>
      <c r="W119" s="25"/>
      <c r="X119" s="25"/>
      <c r="Y119" s="25"/>
      <c r="Z119" s="25"/>
      <c r="AA119" s="25"/>
      <c r="AB119" s="25"/>
      <c r="AC119" s="25"/>
      <c r="AD119" s="25"/>
    </row>
    <row r="120" spans="1:30" ht="15.75" customHeight="1">
      <c r="A120" s="25"/>
      <c r="B120" s="25"/>
      <c r="C120" s="25"/>
      <c r="D120" s="25"/>
      <c r="E120" s="25"/>
      <c r="F120" s="25"/>
      <c r="G120" s="25"/>
      <c r="H120" s="25"/>
      <c r="I120" s="40"/>
      <c r="J120" s="25"/>
      <c r="K120" s="25"/>
      <c r="L120" s="25"/>
      <c r="M120" s="25"/>
      <c r="N120" s="25"/>
      <c r="O120" s="25"/>
      <c r="P120" s="25"/>
      <c r="Q120" s="25"/>
      <c r="R120" s="25"/>
      <c r="S120" s="25"/>
      <c r="T120" s="25"/>
      <c r="U120" s="25"/>
      <c r="V120" s="25"/>
      <c r="W120" s="25"/>
      <c r="X120" s="25"/>
      <c r="Y120" s="25"/>
      <c r="Z120" s="25"/>
      <c r="AA120" s="25"/>
      <c r="AB120" s="25"/>
      <c r="AC120" s="25"/>
      <c r="AD120" s="25"/>
    </row>
    <row r="121" spans="1:30" ht="15.75" customHeight="1">
      <c r="A121" s="25"/>
      <c r="B121" s="25"/>
      <c r="C121" s="25"/>
      <c r="D121" s="25"/>
      <c r="E121" s="25"/>
      <c r="F121" s="25"/>
      <c r="G121" s="25"/>
      <c r="H121" s="25"/>
      <c r="I121" s="40"/>
      <c r="J121" s="25"/>
      <c r="K121" s="25"/>
      <c r="L121" s="25"/>
      <c r="M121" s="25"/>
      <c r="N121" s="25"/>
      <c r="O121" s="25"/>
      <c r="P121" s="25"/>
      <c r="Q121" s="25"/>
      <c r="R121" s="25"/>
      <c r="S121" s="25"/>
      <c r="T121" s="25"/>
      <c r="U121" s="25"/>
      <c r="V121" s="25"/>
      <c r="W121" s="25"/>
      <c r="X121" s="25"/>
      <c r="Y121" s="25"/>
      <c r="Z121" s="25"/>
      <c r="AA121" s="25"/>
      <c r="AB121" s="25"/>
      <c r="AC121" s="25"/>
      <c r="AD121" s="25"/>
    </row>
    <row r="122" spans="1:30" ht="15.75" customHeight="1">
      <c r="A122" s="25"/>
      <c r="B122" s="25"/>
      <c r="C122" s="25"/>
      <c r="D122" s="25"/>
      <c r="E122" s="25"/>
      <c r="F122" s="25"/>
      <c r="G122" s="25"/>
      <c r="H122" s="25"/>
      <c r="I122" s="40"/>
      <c r="J122" s="25"/>
      <c r="K122" s="25"/>
      <c r="L122" s="25"/>
      <c r="M122" s="25"/>
      <c r="N122" s="25"/>
      <c r="O122" s="25"/>
      <c r="P122" s="25"/>
      <c r="Q122" s="25"/>
      <c r="R122" s="25"/>
      <c r="S122" s="25"/>
      <c r="T122" s="25"/>
      <c r="U122" s="25"/>
      <c r="V122" s="25"/>
      <c r="W122" s="25"/>
      <c r="X122" s="25"/>
      <c r="Y122" s="25"/>
      <c r="Z122" s="25"/>
      <c r="AA122" s="25"/>
      <c r="AB122" s="25"/>
      <c r="AC122" s="25"/>
      <c r="AD122" s="25"/>
    </row>
    <row r="123" spans="1:30" ht="15.75" customHeight="1">
      <c r="A123" s="25"/>
      <c r="B123" s="25"/>
      <c r="C123" s="25"/>
      <c r="D123" s="25"/>
      <c r="E123" s="25"/>
      <c r="F123" s="25"/>
      <c r="G123" s="25"/>
      <c r="H123" s="25"/>
      <c r="I123" s="40"/>
      <c r="J123" s="25"/>
      <c r="K123" s="25"/>
      <c r="L123" s="25"/>
      <c r="M123" s="25"/>
      <c r="N123" s="25"/>
      <c r="O123" s="25"/>
      <c r="P123" s="25"/>
      <c r="Q123" s="25"/>
      <c r="R123" s="25"/>
      <c r="S123" s="25"/>
      <c r="T123" s="25"/>
      <c r="U123" s="25"/>
      <c r="V123" s="25"/>
      <c r="W123" s="25"/>
      <c r="X123" s="25"/>
      <c r="Y123" s="25"/>
      <c r="Z123" s="25"/>
      <c r="AA123" s="25"/>
      <c r="AB123" s="25"/>
      <c r="AC123" s="25"/>
      <c r="AD123" s="25"/>
    </row>
    <row r="124" spans="1:30" ht="15.75" customHeight="1">
      <c r="A124" s="25"/>
      <c r="B124" s="25"/>
      <c r="C124" s="25"/>
      <c r="D124" s="25"/>
      <c r="E124" s="25"/>
      <c r="F124" s="25"/>
      <c r="G124" s="25"/>
      <c r="H124" s="25"/>
      <c r="I124" s="40"/>
      <c r="J124" s="25"/>
      <c r="K124" s="25"/>
      <c r="L124" s="25"/>
      <c r="M124" s="25"/>
      <c r="N124" s="25"/>
      <c r="O124" s="25"/>
      <c r="P124" s="25"/>
      <c r="Q124" s="25"/>
      <c r="R124" s="25"/>
      <c r="S124" s="25"/>
      <c r="T124" s="25"/>
      <c r="U124" s="25"/>
      <c r="V124" s="25"/>
      <c r="W124" s="25"/>
      <c r="X124" s="25"/>
      <c r="Y124" s="25"/>
      <c r="Z124" s="25"/>
      <c r="AA124" s="25"/>
      <c r="AB124" s="25"/>
      <c r="AC124" s="25"/>
      <c r="AD124" s="25"/>
    </row>
    <row r="125" spans="1:30" ht="15.75" customHeight="1">
      <c r="A125" s="25"/>
      <c r="B125" s="25"/>
      <c r="C125" s="25"/>
      <c r="D125" s="25"/>
      <c r="E125" s="25"/>
      <c r="F125" s="25"/>
      <c r="G125" s="25"/>
      <c r="H125" s="25"/>
      <c r="I125" s="40"/>
      <c r="J125" s="25"/>
      <c r="K125" s="25"/>
      <c r="L125" s="25"/>
      <c r="M125" s="25"/>
      <c r="N125" s="25"/>
      <c r="O125" s="25"/>
      <c r="P125" s="25"/>
      <c r="Q125" s="25"/>
      <c r="R125" s="25"/>
      <c r="S125" s="25"/>
      <c r="T125" s="25"/>
      <c r="U125" s="25"/>
      <c r="V125" s="25"/>
      <c r="W125" s="25"/>
      <c r="X125" s="25"/>
      <c r="Y125" s="25"/>
      <c r="Z125" s="25"/>
      <c r="AA125" s="25"/>
      <c r="AB125" s="25"/>
      <c r="AC125" s="25"/>
      <c r="AD125" s="25"/>
    </row>
    <row r="126" spans="1:30" ht="15.75" customHeight="1">
      <c r="A126" s="25"/>
      <c r="B126" s="25"/>
      <c r="C126" s="25"/>
      <c r="D126" s="25"/>
      <c r="E126" s="25"/>
      <c r="F126" s="25"/>
      <c r="G126" s="25"/>
      <c r="H126" s="25"/>
      <c r="I126" s="40"/>
      <c r="J126" s="25"/>
      <c r="K126" s="25"/>
      <c r="L126" s="25"/>
      <c r="M126" s="25"/>
      <c r="N126" s="25"/>
      <c r="O126" s="25"/>
      <c r="P126" s="25"/>
      <c r="Q126" s="25"/>
      <c r="R126" s="25"/>
      <c r="S126" s="25"/>
      <c r="T126" s="25"/>
      <c r="U126" s="25"/>
      <c r="V126" s="25"/>
      <c r="W126" s="25"/>
      <c r="X126" s="25"/>
      <c r="Y126" s="25"/>
      <c r="Z126" s="25"/>
      <c r="AA126" s="25"/>
      <c r="AB126" s="25"/>
      <c r="AC126" s="25"/>
      <c r="AD126" s="25"/>
    </row>
    <row r="127" spans="1:30" ht="15.75" customHeight="1">
      <c r="A127" s="25"/>
      <c r="B127" s="25"/>
      <c r="C127" s="25"/>
      <c r="D127" s="25"/>
      <c r="E127" s="25"/>
      <c r="F127" s="25"/>
      <c r="G127" s="25"/>
      <c r="H127" s="25"/>
      <c r="I127" s="40"/>
      <c r="J127" s="25"/>
      <c r="K127" s="25"/>
      <c r="L127" s="25"/>
      <c r="M127" s="25"/>
      <c r="N127" s="25"/>
      <c r="O127" s="25"/>
      <c r="P127" s="25"/>
      <c r="Q127" s="25"/>
      <c r="R127" s="25"/>
      <c r="S127" s="25"/>
      <c r="T127" s="25"/>
      <c r="U127" s="25"/>
      <c r="V127" s="25"/>
      <c r="W127" s="25"/>
      <c r="X127" s="25"/>
      <c r="Y127" s="25"/>
      <c r="Z127" s="25"/>
      <c r="AA127" s="25"/>
      <c r="AB127" s="25"/>
      <c r="AC127" s="25"/>
      <c r="AD127" s="25"/>
    </row>
    <row r="128" spans="1:30" ht="15.75" customHeight="1">
      <c r="A128" s="25"/>
      <c r="B128" s="25"/>
      <c r="C128" s="25"/>
      <c r="D128" s="25"/>
      <c r="E128" s="25"/>
      <c r="F128" s="25"/>
      <c r="G128" s="25"/>
      <c r="H128" s="25"/>
      <c r="I128" s="40"/>
      <c r="J128" s="25"/>
      <c r="K128" s="25"/>
      <c r="L128" s="25"/>
      <c r="M128" s="25"/>
      <c r="N128" s="25"/>
      <c r="O128" s="25"/>
      <c r="P128" s="25"/>
      <c r="Q128" s="25"/>
      <c r="R128" s="25"/>
      <c r="S128" s="25"/>
      <c r="T128" s="25"/>
      <c r="U128" s="25"/>
      <c r="V128" s="25"/>
      <c r="W128" s="25"/>
      <c r="X128" s="25"/>
      <c r="Y128" s="25"/>
      <c r="Z128" s="25"/>
      <c r="AA128" s="25"/>
      <c r="AB128" s="25"/>
      <c r="AC128" s="25"/>
      <c r="AD128" s="25"/>
    </row>
    <row r="129" spans="1:30" ht="15.75" customHeight="1">
      <c r="A129" s="25"/>
      <c r="B129" s="25"/>
      <c r="C129" s="25"/>
      <c r="D129" s="25"/>
      <c r="E129" s="25"/>
      <c r="F129" s="25"/>
      <c r="G129" s="25"/>
      <c r="H129" s="25"/>
      <c r="I129" s="40"/>
      <c r="J129" s="25"/>
      <c r="K129" s="25"/>
      <c r="L129" s="25"/>
      <c r="M129" s="25"/>
      <c r="N129" s="25"/>
      <c r="O129" s="25"/>
      <c r="P129" s="25"/>
      <c r="Q129" s="25"/>
      <c r="R129" s="25"/>
      <c r="S129" s="25"/>
      <c r="T129" s="25"/>
      <c r="U129" s="25"/>
      <c r="V129" s="25"/>
      <c r="W129" s="25"/>
      <c r="X129" s="25"/>
      <c r="Y129" s="25"/>
      <c r="Z129" s="25"/>
      <c r="AA129" s="25"/>
      <c r="AB129" s="25"/>
      <c r="AC129" s="25"/>
      <c r="AD129" s="25"/>
    </row>
    <row r="130" spans="1:30" ht="15.75" customHeight="1">
      <c r="A130" s="25"/>
      <c r="B130" s="25"/>
      <c r="C130" s="25"/>
      <c r="D130" s="25"/>
      <c r="E130" s="25"/>
      <c r="F130" s="25"/>
      <c r="G130" s="25"/>
      <c r="H130" s="25"/>
      <c r="I130" s="40"/>
      <c r="J130" s="25"/>
      <c r="K130" s="25"/>
      <c r="L130" s="25"/>
      <c r="M130" s="25"/>
      <c r="N130" s="25"/>
      <c r="O130" s="25"/>
      <c r="P130" s="25"/>
      <c r="Q130" s="25"/>
      <c r="R130" s="25"/>
      <c r="S130" s="25"/>
      <c r="T130" s="25"/>
      <c r="U130" s="25"/>
      <c r="V130" s="25"/>
      <c r="W130" s="25"/>
      <c r="X130" s="25"/>
      <c r="Y130" s="25"/>
      <c r="Z130" s="25"/>
      <c r="AA130" s="25"/>
      <c r="AB130" s="25"/>
      <c r="AC130" s="25"/>
      <c r="AD130" s="25"/>
    </row>
    <row r="131" spans="1:30" ht="15.75" customHeight="1">
      <c r="A131" s="25"/>
      <c r="B131" s="25"/>
      <c r="C131" s="25"/>
      <c r="D131" s="25"/>
      <c r="E131" s="25"/>
      <c r="F131" s="25"/>
      <c r="G131" s="25"/>
      <c r="H131" s="25"/>
      <c r="I131" s="40"/>
      <c r="J131" s="25"/>
      <c r="K131" s="25"/>
      <c r="L131" s="25"/>
      <c r="M131" s="25"/>
      <c r="N131" s="25"/>
      <c r="O131" s="25"/>
      <c r="P131" s="25"/>
      <c r="Q131" s="25"/>
      <c r="R131" s="25"/>
      <c r="S131" s="25"/>
      <c r="T131" s="25"/>
      <c r="U131" s="25"/>
      <c r="V131" s="25"/>
      <c r="W131" s="25"/>
      <c r="X131" s="25"/>
      <c r="Y131" s="25"/>
      <c r="Z131" s="25"/>
      <c r="AA131" s="25"/>
      <c r="AB131" s="25"/>
      <c r="AC131" s="25"/>
      <c r="AD131" s="25"/>
    </row>
    <row r="132" spans="1:30" ht="15.75" customHeight="1">
      <c r="A132" s="25"/>
      <c r="B132" s="25"/>
      <c r="C132" s="25"/>
      <c r="D132" s="25"/>
      <c r="E132" s="25"/>
      <c r="F132" s="25"/>
      <c r="G132" s="25"/>
      <c r="H132" s="25"/>
      <c r="I132" s="40"/>
      <c r="J132" s="25"/>
      <c r="K132" s="25"/>
      <c r="L132" s="25"/>
      <c r="M132" s="25"/>
      <c r="N132" s="25"/>
      <c r="O132" s="25"/>
      <c r="P132" s="25"/>
      <c r="Q132" s="25"/>
      <c r="R132" s="25"/>
      <c r="S132" s="25"/>
      <c r="T132" s="25"/>
      <c r="U132" s="25"/>
      <c r="V132" s="25"/>
      <c r="W132" s="25"/>
      <c r="X132" s="25"/>
      <c r="Y132" s="25"/>
      <c r="Z132" s="25"/>
      <c r="AA132" s="25"/>
      <c r="AB132" s="25"/>
      <c r="AC132" s="25"/>
      <c r="AD132" s="25"/>
    </row>
    <row r="133" spans="1:30" ht="15.75" customHeight="1">
      <c r="A133" s="25"/>
      <c r="B133" s="25"/>
      <c r="C133" s="25"/>
      <c r="D133" s="25"/>
      <c r="E133" s="25"/>
      <c r="F133" s="25"/>
      <c r="G133" s="25"/>
      <c r="H133" s="25"/>
      <c r="I133" s="40"/>
      <c r="J133" s="25"/>
      <c r="K133" s="25"/>
      <c r="L133" s="25"/>
      <c r="M133" s="25"/>
      <c r="N133" s="25"/>
      <c r="O133" s="25"/>
      <c r="P133" s="25"/>
      <c r="Q133" s="25"/>
      <c r="R133" s="25"/>
      <c r="S133" s="25"/>
      <c r="T133" s="25"/>
      <c r="U133" s="25"/>
      <c r="V133" s="25"/>
      <c r="W133" s="25"/>
      <c r="X133" s="25"/>
      <c r="Y133" s="25"/>
      <c r="Z133" s="25"/>
      <c r="AA133" s="25"/>
      <c r="AB133" s="25"/>
      <c r="AC133" s="25"/>
      <c r="AD133" s="25"/>
    </row>
    <row r="134" spans="1:30" ht="15.75" customHeight="1">
      <c r="A134" s="25"/>
      <c r="B134" s="25"/>
      <c r="C134" s="25"/>
      <c r="D134" s="25"/>
      <c r="E134" s="25"/>
      <c r="F134" s="25"/>
      <c r="G134" s="25"/>
      <c r="H134" s="25"/>
      <c r="I134" s="40"/>
      <c r="J134" s="25"/>
      <c r="K134" s="25"/>
      <c r="L134" s="25"/>
      <c r="M134" s="25"/>
      <c r="N134" s="25"/>
      <c r="O134" s="25"/>
      <c r="P134" s="25"/>
      <c r="Q134" s="25"/>
      <c r="R134" s="25"/>
      <c r="S134" s="25"/>
      <c r="T134" s="25"/>
      <c r="U134" s="25"/>
      <c r="V134" s="25"/>
      <c r="W134" s="25"/>
      <c r="X134" s="25"/>
      <c r="Y134" s="25"/>
      <c r="Z134" s="25"/>
      <c r="AA134" s="25"/>
      <c r="AB134" s="25"/>
      <c r="AC134" s="25"/>
      <c r="AD134" s="25"/>
    </row>
    <row r="135" spans="1:30" ht="15.75" customHeight="1">
      <c r="A135" s="25"/>
      <c r="B135" s="25"/>
      <c r="C135" s="25"/>
      <c r="D135" s="25"/>
      <c r="E135" s="25"/>
      <c r="F135" s="25"/>
      <c r="G135" s="25"/>
      <c r="H135" s="25"/>
      <c r="I135" s="40"/>
      <c r="J135" s="25"/>
      <c r="K135" s="25"/>
      <c r="L135" s="25"/>
      <c r="M135" s="25"/>
      <c r="N135" s="25"/>
      <c r="O135" s="25"/>
      <c r="P135" s="25"/>
      <c r="Q135" s="25"/>
      <c r="R135" s="25"/>
      <c r="S135" s="25"/>
      <c r="T135" s="25"/>
      <c r="U135" s="25"/>
      <c r="V135" s="25"/>
      <c r="W135" s="25"/>
      <c r="X135" s="25"/>
      <c r="Y135" s="25"/>
      <c r="Z135" s="25"/>
      <c r="AA135" s="25"/>
      <c r="AB135" s="25"/>
      <c r="AC135" s="25"/>
      <c r="AD135" s="25"/>
    </row>
    <row r="136" spans="1:30" ht="15.75" customHeight="1">
      <c r="A136" s="25"/>
      <c r="B136" s="25"/>
      <c r="C136" s="25"/>
      <c r="D136" s="25"/>
      <c r="E136" s="25"/>
      <c r="F136" s="25"/>
      <c r="G136" s="25"/>
      <c r="H136" s="25"/>
      <c r="I136" s="40"/>
      <c r="J136" s="25"/>
      <c r="K136" s="25"/>
      <c r="L136" s="25"/>
      <c r="M136" s="25"/>
      <c r="N136" s="25"/>
      <c r="O136" s="25"/>
      <c r="P136" s="25"/>
      <c r="Q136" s="25"/>
      <c r="R136" s="25"/>
      <c r="S136" s="25"/>
      <c r="T136" s="25"/>
      <c r="U136" s="25"/>
      <c r="V136" s="25"/>
      <c r="W136" s="25"/>
      <c r="X136" s="25"/>
      <c r="Y136" s="25"/>
      <c r="Z136" s="25"/>
      <c r="AA136" s="25"/>
      <c r="AB136" s="25"/>
      <c r="AC136" s="25"/>
      <c r="AD136" s="25"/>
    </row>
    <row r="137" spans="1:30" ht="15.75" customHeight="1">
      <c r="A137" s="25"/>
      <c r="B137" s="25"/>
      <c r="C137" s="25"/>
      <c r="D137" s="25"/>
      <c r="E137" s="25"/>
      <c r="F137" s="25"/>
      <c r="G137" s="25"/>
      <c r="H137" s="25"/>
      <c r="I137" s="40"/>
      <c r="J137" s="25"/>
      <c r="K137" s="25"/>
      <c r="L137" s="25"/>
      <c r="M137" s="25"/>
      <c r="N137" s="25"/>
      <c r="O137" s="25"/>
      <c r="P137" s="25"/>
      <c r="Q137" s="25"/>
      <c r="R137" s="25"/>
      <c r="S137" s="25"/>
      <c r="T137" s="25"/>
      <c r="U137" s="25"/>
      <c r="V137" s="25"/>
      <c r="W137" s="25"/>
      <c r="X137" s="25"/>
      <c r="Y137" s="25"/>
      <c r="Z137" s="25"/>
      <c r="AA137" s="25"/>
      <c r="AB137" s="25"/>
      <c r="AC137" s="25"/>
      <c r="AD137" s="25"/>
    </row>
    <row r="138" spans="1:30" ht="15.75" customHeight="1">
      <c r="A138" s="25"/>
      <c r="B138" s="25"/>
      <c r="C138" s="25"/>
      <c r="D138" s="25"/>
      <c r="E138" s="25"/>
      <c r="F138" s="25"/>
      <c r="G138" s="25"/>
      <c r="H138" s="25"/>
      <c r="I138" s="40"/>
      <c r="J138" s="25"/>
      <c r="K138" s="25"/>
      <c r="L138" s="25"/>
      <c r="M138" s="25"/>
      <c r="N138" s="25"/>
      <c r="O138" s="25"/>
      <c r="P138" s="25"/>
      <c r="Q138" s="25"/>
      <c r="R138" s="25"/>
      <c r="S138" s="25"/>
      <c r="T138" s="25"/>
      <c r="U138" s="25"/>
      <c r="V138" s="25"/>
      <c r="W138" s="25"/>
      <c r="X138" s="25"/>
      <c r="Y138" s="25"/>
      <c r="Z138" s="25"/>
      <c r="AA138" s="25"/>
      <c r="AB138" s="25"/>
      <c r="AC138" s="25"/>
      <c r="AD138" s="25"/>
    </row>
    <row r="139" spans="1:30" ht="15.75" customHeight="1">
      <c r="A139" s="25"/>
      <c r="B139" s="25"/>
      <c r="C139" s="25"/>
      <c r="D139" s="25"/>
      <c r="E139" s="25"/>
      <c r="F139" s="25"/>
      <c r="G139" s="25"/>
      <c r="H139" s="25"/>
      <c r="I139" s="40"/>
      <c r="J139" s="25"/>
      <c r="K139" s="25"/>
      <c r="L139" s="25"/>
      <c r="M139" s="25"/>
      <c r="N139" s="25"/>
      <c r="O139" s="25"/>
      <c r="P139" s="25"/>
      <c r="Q139" s="25"/>
      <c r="R139" s="25"/>
      <c r="S139" s="25"/>
      <c r="T139" s="25"/>
      <c r="U139" s="25"/>
      <c r="V139" s="25"/>
      <c r="W139" s="25"/>
      <c r="X139" s="25"/>
      <c r="Y139" s="25"/>
      <c r="Z139" s="25"/>
      <c r="AA139" s="25"/>
      <c r="AB139" s="25"/>
      <c r="AC139" s="25"/>
      <c r="AD139" s="25"/>
    </row>
    <row r="140" spans="1:30" ht="15.75" customHeight="1">
      <c r="A140" s="25"/>
      <c r="B140" s="25"/>
      <c r="C140" s="25"/>
      <c r="D140" s="25"/>
      <c r="E140" s="25"/>
      <c r="F140" s="25"/>
      <c r="G140" s="25"/>
      <c r="H140" s="25"/>
      <c r="I140" s="40"/>
      <c r="J140" s="25"/>
      <c r="K140" s="25"/>
      <c r="L140" s="25"/>
      <c r="M140" s="25"/>
      <c r="N140" s="25"/>
      <c r="O140" s="25"/>
      <c r="P140" s="25"/>
      <c r="Q140" s="25"/>
      <c r="R140" s="25"/>
      <c r="S140" s="25"/>
      <c r="T140" s="25"/>
      <c r="U140" s="25"/>
      <c r="V140" s="25"/>
      <c r="W140" s="25"/>
      <c r="X140" s="25"/>
      <c r="Y140" s="25"/>
      <c r="Z140" s="25"/>
      <c r="AA140" s="25"/>
      <c r="AB140" s="25"/>
      <c r="AC140" s="25"/>
      <c r="AD140" s="25"/>
    </row>
    <row r="141" spans="1:30" ht="15.75" customHeight="1">
      <c r="A141" s="25"/>
      <c r="B141" s="25"/>
      <c r="C141" s="25"/>
      <c r="D141" s="25"/>
      <c r="E141" s="25"/>
      <c r="F141" s="25"/>
      <c r="G141" s="25"/>
      <c r="H141" s="25"/>
      <c r="I141" s="40"/>
      <c r="J141" s="25"/>
      <c r="K141" s="25"/>
      <c r="L141" s="25"/>
      <c r="M141" s="25"/>
      <c r="N141" s="25"/>
      <c r="O141" s="25"/>
      <c r="P141" s="25"/>
      <c r="Q141" s="25"/>
      <c r="R141" s="25"/>
      <c r="S141" s="25"/>
      <c r="T141" s="25"/>
      <c r="U141" s="25"/>
      <c r="V141" s="25"/>
      <c r="W141" s="25"/>
      <c r="X141" s="25"/>
      <c r="Y141" s="25"/>
      <c r="Z141" s="25"/>
      <c r="AA141" s="25"/>
      <c r="AB141" s="25"/>
      <c r="AC141" s="25"/>
      <c r="AD141" s="25"/>
    </row>
    <row r="142" spans="1:30" ht="15.75" customHeight="1">
      <c r="A142" s="25"/>
      <c r="B142" s="25"/>
      <c r="C142" s="25"/>
      <c r="D142" s="25"/>
      <c r="E142" s="25"/>
      <c r="F142" s="25"/>
      <c r="G142" s="25"/>
      <c r="H142" s="25"/>
      <c r="I142" s="40"/>
      <c r="J142" s="25"/>
      <c r="K142" s="25"/>
      <c r="L142" s="25"/>
      <c r="M142" s="25"/>
      <c r="N142" s="25"/>
      <c r="O142" s="25"/>
      <c r="P142" s="25"/>
      <c r="Q142" s="25"/>
      <c r="R142" s="25"/>
      <c r="S142" s="25"/>
      <c r="T142" s="25"/>
      <c r="U142" s="25"/>
      <c r="V142" s="25"/>
      <c r="W142" s="25"/>
      <c r="X142" s="25"/>
      <c r="Y142" s="25"/>
      <c r="Z142" s="25"/>
      <c r="AA142" s="25"/>
      <c r="AB142" s="25"/>
      <c r="AC142" s="25"/>
      <c r="AD142" s="25"/>
    </row>
    <row r="143" spans="1:30" ht="15.75" customHeight="1">
      <c r="A143" s="25"/>
      <c r="B143" s="25"/>
      <c r="C143" s="25"/>
      <c r="D143" s="25"/>
      <c r="E143" s="25"/>
      <c r="F143" s="25"/>
      <c r="G143" s="25"/>
      <c r="H143" s="25"/>
      <c r="I143" s="40"/>
      <c r="J143" s="25"/>
      <c r="K143" s="25"/>
      <c r="L143" s="25"/>
      <c r="M143" s="25"/>
      <c r="N143" s="25"/>
      <c r="O143" s="25"/>
      <c r="P143" s="25"/>
      <c r="Q143" s="25"/>
      <c r="R143" s="25"/>
      <c r="S143" s="25"/>
      <c r="T143" s="25"/>
      <c r="U143" s="25"/>
      <c r="V143" s="25"/>
      <c r="W143" s="25"/>
      <c r="X143" s="25"/>
      <c r="Y143" s="25"/>
      <c r="Z143" s="25"/>
      <c r="AA143" s="25"/>
      <c r="AB143" s="25"/>
      <c r="AC143" s="25"/>
      <c r="AD143" s="25"/>
    </row>
    <row r="144" spans="1:30" ht="15.75" customHeight="1">
      <c r="A144" s="25"/>
      <c r="B144" s="25"/>
      <c r="C144" s="25"/>
      <c r="D144" s="25"/>
      <c r="E144" s="25"/>
      <c r="F144" s="25"/>
      <c r="G144" s="25"/>
      <c r="H144" s="25"/>
      <c r="I144" s="40"/>
      <c r="J144" s="25"/>
      <c r="K144" s="25"/>
      <c r="L144" s="25"/>
      <c r="M144" s="25"/>
      <c r="N144" s="25"/>
      <c r="O144" s="25"/>
      <c r="P144" s="25"/>
      <c r="Q144" s="25"/>
      <c r="R144" s="25"/>
      <c r="S144" s="25"/>
      <c r="T144" s="25"/>
      <c r="U144" s="25"/>
      <c r="V144" s="25"/>
      <c r="W144" s="25"/>
      <c r="X144" s="25"/>
      <c r="Y144" s="25"/>
      <c r="Z144" s="25"/>
      <c r="AA144" s="25"/>
      <c r="AB144" s="25"/>
      <c r="AC144" s="25"/>
      <c r="AD144" s="25"/>
    </row>
    <row r="145" spans="1:30" ht="15.75" customHeight="1">
      <c r="A145" s="25"/>
      <c r="B145" s="25"/>
      <c r="C145" s="25"/>
      <c r="D145" s="25"/>
      <c r="E145" s="25"/>
      <c r="F145" s="25"/>
      <c r="G145" s="25"/>
      <c r="H145" s="25"/>
      <c r="I145" s="40"/>
      <c r="J145" s="25"/>
      <c r="K145" s="25"/>
      <c r="L145" s="25"/>
      <c r="M145" s="25"/>
      <c r="N145" s="25"/>
      <c r="O145" s="25"/>
      <c r="P145" s="25"/>
      <c r="Q145" s="25"/>
      <c r="R145" s="25"/>
      <c r="S145" s="25"/>
      <c r="T145" s="25"/>
      <c r="U145" s="25"/>
      <c r="V145" s="25"/>
      <c r="W145" s="25"/>
      <c r="X145" s="25"/>
      <c r="Y145" s="25"/>
      <c r="Z145" s="25"/>
      <c r="AA145" s="25"/>
      <c r="AB145" s="25"/>
      <c r="AC145" s="25"/>
      <c r="AD145" s="25"/>
    </row>
    <row r="146" spans="1:30" ht="15.75" customHeight="1">
      <c r="A146" s="25"/>
      <c r="B146" s="25"/>
      <c r="C146" s="25"/>
      <c r="D146" s="25"/>
      <c r="E146" s="25"/>
      <c r="F146" s="25"/>
      <c r="G146" s="25"/>
      <c r="H146" s="25"/>
      <c r="I146" s="40"/>
      <c r="J146" s="25"/>
      <c r="K146" s="25"/>
      <c r="L146" s="25"/>
      <c r="M146" s="25"/>
      <c r="N146" s="25"/>
      <c r="O146" s="25"/>
      <c r="P146" s="25"/>
      <c r="Q146" s="25"/>
      <c r="R146" s="25"/>
      <c r="S146" s="25"/>
      <c r="T146" s="25"/>
      <c r="U146" s="25"/>
      <c r="V146" s="25"/>
      <c r="W146" s="25"/>
      <c r="X146" s="25"/>
      <c r="Y146" s="25"/>
      <c r="Z146" s="25"/>
      <c r="AA146" s="25"/>
      <c r="AB146" s="25"/>
      <c r="AC146" s="25"/>
      <c r="AD146" s="25"/>
    </row>
    <row r="147" spans="1:30" ht="15.75" customHeight="1">
      <c r="A147" s="25"/>
      <c r="B147" s="25"/>
      <c r="C147" s="25"/>
      <c r="D147" s="25"/>
      <c r="E147" s="25"/>
      <c r="F147" s="25"/>
      <c r="G147" s="25"/>
      <c r="H147" s="25"/>
      <c r="I147" s="40"/>
      <c r="J147" s="25"/>
      <c r="K147" s="25"/>
      <c r="L147" s="25"/>
      <c r="M147" s="25"/>
      <c r="N147" s="25"/>
      <c r="O147" s="25"/>
      <c r="P147" s="25"/>
      <c r="Q147" s="25"/>
      <c r="R147" s="25"/>
      <c r="S147" s="25"/>
      <c r="T147" s="25"/>
      <c r="U147" s="25"/>
      <c r="V147" s="25"/>
      <c r="W147" s="25"/>
      <c r="X147" s="25"/>
      <c r="Y147" s="25"/>
      <c r="Z147" s="25"/>
      <c r="AA147" s="25"/>
      <c r="AB147" s="25"/>
      <c r="AC147" s="25"/>
      <c r="AD147" s="25"/>
    </row>
    <row r="148" spans="1:30" ht="15.75" customHeight="1">
      <c r="A148" s="25"/>
      <c r="B148" s="25"/>
      <c r="C148" s="25"/>
      <c r="D148" s="25"/>
      <c r="E148" s="25"/>
      <c r="F148" s="25"/>
      <c r="G148" s="25"/>
      <c r="H148" s="25"/>
      <c r="I148" s="40"/>
      <c r="J148" s="25"/>
      <c r="K148" s="25"/>
      <c r="L148" s="25"/>
      <c r="M148" s="25"/>
      <c r="N148" s="25"/>
      <c r="O148" s="25"/>
      <c r="P148" s="25"/>
      <c r="Q148" s="25"/>
      <c r="R148" s="25"/>
      <c r="S148" s="25"/>
      <c r="T148" s="25"/>
      <c r="U148" s="25"/>
      <c r="V148" s="25"/>
      <c r="W148" s="25"/>
      <c r="X148" s="25"/>
      <c r="Y148" s="25"/>
      <c r="Z148" s="25"/>
      <c r="AA148" s="25"/>
      <c r="AB148" s="25"/>
      <c r="AC148" s="25"/>
      <c r="AD148" s="25"/>
    </row>
    <row r="149" spans="1:30" ht="15.75" customHeight="1">
      <c r="A149" s="25"/>
      <c r="B149" s="25"/>
      <c r="C149" s="25"/>
      <c r="D149" s="25"/>
      <c r="E149" s="25"/>
      <c r="F149" s="25"/>
      <c r="G149" s="25"/>
      <c r="H149" s="25"/>
      <c r="I149" s="40"/>
      <c r="J149" s="25"/>
      <c r="K149" s="25"/>
      <c r="L149" s="25"/>
      <c r="M149" s="25"/>
      <c r="N149" s="25"/>
      <c r="O149" s="25"/>
      <c r="P149" s="25"/>
      <c r="Q149" s="25"/>
      <c r="R149" s="25"/>
      <c r="S149" s="25"/>
      <c r="T149" s="25"/>
      <c r="U149" s="25"/>
      <c r="V149" s="25"/>
      <c r="W149" s="25"/>
      <c r="X149" s="25"/>
      <c r="Y149" s="25"/>
      <c r="Z149" s="25"/>
      <c r="AA149" s="25"/>
      <c r="AB149" s="25"/>
      <c r="AC149" s="25"/>
      <c r="AD149" s="25"/>
    </row>
    <row r="150" spans="1:30" ht="15.75" customHeight="1">
      <c r="A150" s="25"/>
      <c r="B150" s="25"/>
      <c r="C150" s="25"/>
      <c r="D150" s="25"/>
      <c r="E150" s="25"/>
      <c r="F150" s="25"/>
      <c r="G150" s="25"/>
      <c r="H150" s="25"/>
      <c r="I150" s="40"/>
      <c r="J150" s="25"/>
      <c r="K150" s="25"/>
      <c r="L150" s="25"/>
      <c r="M150" s="25"/>
      <c r="N150" s="25"/>
      <c r="O150" s="25"/>
      <c r="P150" s="25"/>
      <c r="Q150" s="25"/>
      <c r="R150" s="25"/>
      <c r="S150" s="25"/>
      <c r="T150" s="25"/>
      <c r="U150" s="25"/>
      <c r="V150" s="25"/>
      <c r="W150" s="25"/>
      <c r="X150" s="25"/>
      <c r="Y150" s="25"/>
      <c r="Z150" s="25"/>
      <c r="AA150" s="25"/>
      <c r="AB150" s="25"/>
      <c r="AC150" s="25"/>
      <c r="AD150" s="25"/>
    </row>
    <row r="151" spans="1:30" ht="15.75" customHeight="1">
      <c r="A151" s="25"/>
      <c r="B151" s="25"/>
      <c r="C151" s="25"/>
      <c r="D151" s="25"/>
      <c r="E151" s="25"/>
      <c r="F151" s="25"/>
      <c r="G151" s="25"/>
      <c r="H151" s="25"/>
      <c r="I151" s="40"/>
      <c r="J151" s="25"/>
      <c r="K151" s="25"/>
      <c r="L151" s="25"/>
      <c r="M151" s="25"/>
      <c r="N151" s="25"/>
      <c r="O151" s="25"/>
      <c r="P151" s="25"/>
      <c r="Q151" s="25"/>
      <c r="R151" s="25"/>
      <c r="S151" s="25"/>
      <c r="T151" s="25"/>
      <c r="U151" s="25"/>
      <c r="V151" s="25"/>
      <c r="W151" s="25"/>
      <c r="X151" s="25"/>
      <c r="Y151" s="25"/>
      <c r="Z151" s="25"/>
      <c r="AA151" s="25"/>
      <c r="AB151" s="25"/>
      <c r="AC151" s="25"/>
      <c r="AD151" s="25"/>
    </row>
    <row r="152" spans="1:30" ht="15.75" customHeight="1">
      <c r="A152" s="25"/>
      <c r="B152" s="25"/>
      <c r="C152" s="25"/>
      <c r="D152" s="25"/>
      <c r="E152" s="25"/>
      <c r="F152" s="25"/>
      <c r="G152" s="25"/>
      <c r="H152" s="25"/>
      <c r="I152" s="40"/>
      <c r="J152" s="25"/>
      <c r="K152" s="25"/>
      <c r="L152" s="25"/>
      <c r="M152" s="25"/>
      <c r="N152" s="25"/>
      <c r="O152" s="25"/>
      <c r="P152" s="25"/>
      <c r="Q152" s="25"/>
      <c r="R152" s="25"/>
      <c r="S152" s="25"/>
      <c r="T152" s="25"/>
      <c r="U152" s="25"/>
      <c r="V152" s="25"/>
      <c r="W152" s="25"/>
      <c r="X152" s="25"/>
      <c r="Y152" s="25"/>
      <c r="Z152" s="25"/>
      <c r="AA152" s="25"/>
      <c r="AB152" s="25"/>
      <c r="AC152" s="25"/>
      <c r="AD152" s="25"/>
    </row>
    <row r="153" spans="1:30" ht="15.75" customHeight="1">
      <c r="A153" s="25"/>
      <c r="B153" s="25"/>
      <c r="C153" s="25"/>
      <c r="D153" s="25"/>
      <c r="E153" s="25"/>
      <c r="F153" s="25"/>
      <c r="G153" s="25"/>
      <c r="H153" s="25"/>
      <c r="I153" s="40"/>
      <c r="J153" s="25"/>
      <c r="K153" s="25"/>
      <c r="L153" s="25"/>
      <c r="M153" s="25"/>
      <c r="N153" s="25"/>
      <c r="O153" s="25"/>
      <c r="P153" s="25"/>
      <c r="Q153" s="25"/>
      <c r="R153" s="25"/>
      <c r="S153" s="25"/>
      <c r="T153" s="25"/>
      <c r="U153" s="25"/>
      <c r="V153" s="25"/>
      <c r="W153" s="25"/>
      <c r="X153" s="25"/>
      <c r="Y153" s="25"/>
      <c r="Z153" s="25"/>
      <c r="AA153" s="25"/>
      <c r="AB153" s="25"/>
      <c r="AC153" s="25"/>
      <c r="AD153" s="25"/>
    </row>
    <row r="154" spans="1:30" ht="15.75" customHeight="1">
      <c r="A154" s="25"/>
      <c r="B154" s="25"/>
      <c r="C154" s="25"/>
      <c r="D154" s="25"/>
      <c r="E154" s="25"/>
      <c r="F154" s="25"/>
      <c r="G154" s="25"/>
      <c r="H154" s="25"/>
      <c r="I154" s="40"/>
      <c r="J154" s="25"/>
      <c r="K154" s="25"/>
      <c r="L154" s="25"/>
      <c r="M154" s="25"/>
      <c r="N154" s="25"/>
      <c r="O154" s="25"/>
      <c r="P154" s="25"/>
      <c r="Q154" s="25"/>
      <c r="R154" s="25"/>
      <c r="S154" s="25"/>
      <c r="T154" s="25"/>
      <c r="U154" s="25"/>
      <c r="V154" s="25"/>
      <c r="W154" s="25"/>
      <c r="X154" s="25"/>
      <c r="Y154" s="25"/>
      <c r="Z154" s="25"/>
      <c r="AA154" s="25"/>
      <c r="AB154" s="25"/>
      <c r="AC154" s="25"/>
      <c r="AD154" s="25"/>
    </row>
    <row r="155" spans="1:30" ht="15.75" customHeight="1">
      <c r="A155" s="25"/>
      <c r="B155" s="25"/>
      <c r="C155" s="25"/>
      <c r="D155" s="25"/>
      <c r="E155" s="25"/>
      <c r="F155" s="25"/>
      <c r="G155" s="25"/>
      <c r="H155" s="25"/>
      <c r="I155" s="40"/>
      <c r="J155" s="25"/>
      <c r="K155" s="25"/>
      <c r="L155" s="25"/>
      <c r="M155" s="25"/>
      <c r="N155" s="25"/>
      <c r="O155" s="25"/>
      <c r="P155" s="25"/>
      <c r="Q155" s="25"/>
      <c r="R155" s="25"/>
      <c r="S155" s="25"/>
      <c r="T155" s="25"/>
      <c r="U155" s="25"/>
      <c r="V155" s="25"/>
      <c r="W155" s="25"/>
      <c r="X155" s="25"/>
      <c r="Y155" s="25"/>
      <c r="Z155" s="25"/>
      <c r="AA155" s="25"/>
      <c r="AB155" s="25"/>
      <c r="AC155" s="25"/>
      <c r="AD155" s="25"/>
    </row>
    <row r="156" spans="1:30" ht="15.75" customHeight="1">
      <c r="A156" s="25"/>
      <c r="B156" s="25"/>
      <c r="C156" s="25"/>
      <c r="D156" s="25"/>
      <c r="E156" s="25"/>
      <c r="F156" s="25"/>
      <c r="G156" s="25"/>
      <c r="H156" s="25"/>
      <c r="I156" s="40"/>
      <c r="J156" s="25"/>
      <c r="K156" s="25"/>
      <c r="L156" s="25"/>
      <c r="M156" s="25"/>
      <c r="N156" s="25"/>
      <c r="O156" s="25"/>
      <c r="P156" s="25"/>
      <c r="Q156" s="25"/>
      <c r="R156" s="25"/>
      <c r="S156" s="25"/>
      <c r="T156" s="25"/>
      <c r="U156" s="25"/>
      <c r="V156" s="25"/>
      <c r="W156" s="25"/>
      <c r="X156" s="25"/>
      <c r="Y156" s="25"/>
      <c r="Z156" s="25"/>
      <c r="AA156" s="25"/>
      <c r="AB156" s="25"/>
      <c r="AC156" s="25"/>
      <c r="AD156" s="25"/>
    </row>
    <row r="157" spans="1:30" ht="15.75" customHeight="1">
      <c r="A157" s="25"/>
      <c r="B157" s="25"/>
      <c r="C157" s="25"/>
      <c r="D157" s="25"/>
      <c r="E157" s="25"/>
      <c r="F157" s="25"/>
      <c r="G157" s="25"/>
      <c r="H157" s="25"/>
      <c r="I157" s="40"/>
      <c r="J157" s="25"/>
      <c r="K157" s="25"/>
      <c r="L157" s="25"/>
      <c r="M157" s="25"/>
      <c r="N157" s="25"/>
      <c r="O157" s="25"/>
      <c r="P157" s="25"/>
      <c r="Q157" s="25"/>
      <c r="R157" s="25"/>
      <c r="S157" s="25"/>
      <c r="T157" s="25"/>
      <c r="U157" s="25"/>
      <c r="V157" s="25"/>
      <c r="W157" s="25"/>
      <c r="X157" s="25"/>
      <c r="Y157" s="25"/>
      <c r="Z157" s="25"/>
      <c r="AA157" s="25"/>
      <c r="AB157" s="25"/>
      <c r="AC157" s="25"/>
      <c r="AD157" s="25"/>
    </row>
    <row r="158" spans="1:30" ht="15.75" customHeight="1">
      <c r="A158" s="25"/>
      <c r="B158" s="25"/>
      <c r="C158" s="25"/>
      <c r="D158" s="25"/>
      <c r="E158" s="25"/>
      <c r="F158" s="25"/>
      <c r="G158" s="25"/>
      <c r="H158" s="25"/>
      <c r="I158" s="40"/>
      <c r="J158" s="25"/>
      <c r="K158" s="25"/>
      <c r="L158" s="25"/>
      <c r="M158" s="25"/>
      <c r="N158" s="25"/>
      <c r="O158" s="25"/>
      <c r="P158" s="25"/>
      <c r="Q158" s="25"/>
      <c r="R158" s="25"/>
      <c r="S158" s="25"/>
      <c r="T158" s="25"/>
      <c r="U158" s="25"/>
      <c r="V158" s="25"/>
      <c r="W158" s="25"/>
      <c r="X158" s="25"/>
      <c r="Y158" s="25"/>
      <c r="Z158" s="25"/>
      <c r="AA158" s="25"/>
      <c r="AB158" s="25"/>
      <c r="AC158" s="25"/>
      <c r="AD158" s="25"/>
    </row>
    <row r="159" spans="1:30" ht="15.75" customHeight="1">
      <c r="A159" s="25"/>
      <c r="B159" s="25"/>
      <c r="C159" s="25"/>
      <c r="D159" s="25"/>
      <c r="E159" s="25"/>
      <c r="F159" s="25"/>
      <c r="G159" s="25"/>
      <c r="H159" s="25"/>
      <c r="I159" s="40"/>
      <c r="J159" s="25"/>
      <c r="K159" s="25"/>
      <c r="L159" s="25"/>
      <c r="M159" s="25"/>
      <c r="N159" s="25"/>
      <c r="O159" s="25"/>
      <c r="P159" s="25"/>
      <c r="Q159" s="25"/>
      <c r="R159" s="25"/>
      <c r="S159" s="25"/>
      <c r="T159" s="25"/>
      <c r="U159" s="25"/>
      <c r="V159" s="25"/>
      <c r="W159" s="25"/>
      <c r="X159" s="25"/>
      <c r="Y159" s="25"/>
      <c r="Z159" s="25"/>
      <c r="AA159" s="25"/>
      <c r="AB159" s="25"/>
      <c r="AC159" s="25"/>
      <c r="AD159" s="25"/>
    </row>
    <row r="160" spans="1:30" ht="15.75" customHeight="1">
      <c r="A160" s="25"/>
      <c r="B160" s="25"/>
      <c r="C160" s="25"/>
      <c r="D160" s="25"/>
      <c r="E160" s="25"/>
      <c r="F160" s="25"/>
      <c r="G160" s="25"/>
      <c r="H160" s="25"/>
      <c r="I160" s="40"/>
      <c r="J160" s="25"/>
      <c r="K160" s="25"/>
      <c r="L160" s="25"/>
      <c r="M160" s="25"/>
      <c r="N160" s="25"/>
      <c r="O160" s="25"/>
      <c r="P160" s="25"/>
      <c r="Q160" s="25"/>
      <c r="R160" s="25"/>
      <c r="S160" s="25"/>
      <c r="T160" s="25"/>
      <c r="U160" s="25"/>
      <c r="V160" s="25"/>
      <c r="W160" s="25"/>
      <c r="X160" s="25"/>
      <c r="Y160" s="25"/>
      <c r="Z160" s="25"/>
      <c r="AA160" s="25"/>
      <c r="AB160" s="25"/>
      <c r="AC160" s="25"/>
      <c r="AD160" s="25"/>
    </row>
    <row r="161" spans="1:30" ht="15.75" customHeight="1">
      <c r="A161" s="25"/>
      <c r="B161" s="25"/>
      <c r="C161" s="25"/>
      <c r="D161" s="25"/>
      <c r="E161" s="25"/>
      <c r="F161" s="25"/>
      <c r="G161" s="25"/>
      <c r="H161" s="25"/>
      <c r="I161" s="40"/>
      <c r="J161" s="25"/>
      <c r="K161" s="25"/>
      <c r="L161" s="25"/>
      <c r="M161" s="25"/>
      <c r="N161" s="25"/>
      <c r="O161" s="25"/>
      <c r="P161" s="25"/>
      <c r="Q161" s="25"/>
      <c r="R161" s="25"/>
      <c r="S161" s="25"/>
      <c r="T161" s="25"/>
      <c r="U161" s="25"/>
      <c r="V161" s="25"/>
      <c r="W161" s="25"/>
      <c r="X161" s="25"/>
      <c r="Y161" s="25"/>
      <c r="Z161" s="25"/>
      <c r="AA161" s="25"/>
      <c r="AB161" s="25"/>
      <c r="AC161" s="25"/>
      <c r="AD161" s="25"/>
    </row>
    <row r="162" spans="1:30" ht="15.75" customHeight="1">
      <c r="A162" s="25"/>
      <c r="B162" s="25"/>
      <c r="C162" s="25"/>
      <c r="D162" s="25"/>
      <c r="E162" s="25"/>
      <c r="F162" s="25"/>
      <c r="G162" s="25"/>
      <c r="H162" s="25"/>
      <c r="I162" s="40"/>
      <c r="J162" s="25"/>
      <c r="K162" s="25"/>
      <c r="L162" s="25"/>
      <c r="M162" s="25"/>
      <c r="N162" s="25"/>
      <c r="O162" s="25"/>
      <c r="P162" s="25"/>
      <c r="Q162" s="25"/>
      <c r="R162" s="25"/>
      <c r="S162" s="25"/>
      <c r="T162" s="25"/>
      <c r="U162" s="25"/>
      <c r="V162" s="25"/>
      <c r="W162" s="25"/>
      <c r="X162" s="25"/>
      <c r="Y162" s="25"/>
      <c r="Z162" s="25"/>
      <c r="AA162" s="25"/>
      <c r="AB162" s="25"/>
      <c r="AC162" s="25"/>
      <c r="AD162" s="25"/>
    </row>
    <row r="163" spans="1:30" ht="15.75" customHeight="1">
      <c r="A163" s="25"/>
      <c r="B163" s="25"/>
      <c r="C163" s="25"/>
      <c r="D163" s="25"/>
      <c r="E163" s="25"/>
      <c r="F163" s="25"/>
      <c r="G163" s="25"/>
      <c r="H163" s="25"/>
      <c r="I163" s="40"/>
      <c r="J163" s="25"/>
      <c r="K163" s="25"/>
      <c r="L163" s="25"/>
      <c r="M163" s="25"/>
      <c r="N163" s="25"/>
      <c r="O163" s="25"/>
      <c r="P163" s="25"/>
      <c r="Q163" s="25"/>
      <c r="R163" s="25"/>
      <c r="S163" s="25"/>
      <c r="T163" s="25"/>
      <c r="U163" s="25"/>
      <c r="V163" s="25"/>
      <c r="W163" s="25"/>
      <c r="X163" s="25"/>
      <c r="Y163" s="25"/>
      <c r="Z163" s="25"/>
      <c r="AA163" s="25"/>
      <c r="AB163" s="25"/>
      <c r="AC163" s="25"/>
      <c r="AD163" s="25"/>
    </row>
    <row r="164" spans="1:30" ht="15.75" customHeight="1">
      <c r="A164" s="25"/>
      <c r="B164" s="25"/>
      <c r="C164" s="25"/>
      <c r="D164" s="25"/>
      <c r="E164" s="25"/>
      <c r="F164" s="25"/>
      <c r="G164" s="25"/>
      <c r="H164" s="25"/>
      <c r="I164" s="40"/>
      <c r="J164" s="25"/>
      <c r="K164" s="25"/>
      <c r="L164" s="25"/>
      <c r="M164" s="25"/>
      <c r="N164" s="25"/>
      <c r="O164" s="25"/>
      <c r="P164" s="25"/>
      <c r="Q164" s="25"/>
      <c r="R164" s="25"/>
      <c r="S164" s="25"/>
      <c r="T164" s="25"/>
      <c r="U164" s="25"/>
      <c r="V164" s="25"/>
      <c r="W164" s="25"/>
      <c r="X164" s="25"/>
      <c r="Y164" s="25"/>
      <c r="Z164" s="25"/>
      <c r="AA164" s="25"/>
      <c r="AB164" s="25"/>
      <c r="AC164" s="25"/>
      <c r="AD164" s="25"/>
    </row>
    <row r="165" spans="1:30" ht="15.75" customHeight="1">
      <c r="A165" s="25"/>
      <c r="B165" s="25"/>
      <c r="C165" s="25"/>
      <c r="D165" s="25"/>
      <c r="E165" s="25"/>
      <c r="F165" s="25"/>
      <c r="G165" s="25"/>
      <c r="H165" s="25"/>
      <c r="I165" s="40"/>
      <c r="J165" s="25"/>
      <c r="K165" s="25"/>
      <c r="L165" s="25"/>
      <c r="M165" s="25"/>
      <c r="N165" s="25"/>
      <c r="O165" s="25"/>
      <c r="P165" s="25"/>
      <c r="Q165" s="25"/>
      <c r="R165" s="25"/>
      <c r="S165" s="25"/>
      <c r="T165" s="25"/>
      <c r="U165" s="25"/>
      <c r="V165" s="25"/>
      <c r="W165" s="25"/>
      <c r="X165" s="25"/>
      <c r="Y165" s="25"/>
      <c r="Z165" s="25"/>
      <c r="AA165" s="25"/>
      <c r="AB165" s="25"/>
      <c r="AC165" s="25"/>
      <c r="AD165" s="25"/>
    </row>
    <row r="166" spans="1:30" ht="15.75" customHeight="1">
      <c r="A166" s="25"/>
      <c r="B166" s="25"/>
      <c r="C166" s="25"/>
      <c r="D166" s="25"/>
      <c r="E166" s="25"/>
      <c r="F166" s="25"/>
      <c r="G166" s="25"/>
      <c r="H166" s="25"/>
      <c r="I166" s="40"/>
      <c r="J166" s="25"/>
      <c r="K166" s="25"/>
      <c r="L166" s="25"/>
      <c r="M166" s="25"/>
      <c r="N166" s="25"/>
      <c r="O166" s="25"/>
      <c r="P166" s="25"/>
      <c r="Q166" s="25"/>
      <c r="R166" s="25"/>
      <c r="S166" s="25"/>
      <c r="T166" s="25"/>
      <c r="U166" s="25"/>
      <c r="V166" s="25"/>
      <c r="W166" s="25"/>
      <c r="X166" s="25"/>
      <c r="Y166" s="25"/>
      <c r="Z166" s="25"/>
      <c r="AA166" s="25"/>
      <c r="AB166" s="25"/>
      <c r="AC166" s="25"/>
      <c r="AD166" s="25"/>
    </row>
    <row r="167" spans="1:30" ht="15.75" customHeight="1">
      <c r="A167" s="25"/>
      <c r="B167" s="25"/>
      <c r="C167" s="25"/>
      <c r="D167" s="25"/>
      <c r="E167" s="25"/>
      <c r="F167" s="25"/>
      <c r="G167" s="25"/>
      <c r="H167" s="25"/>
      <c r="I167" s="40"/>
      <c r="J167" s="25"/>
      <c r="K167" s="25"/>
      <c r="L167" s="25"/>
      <c r="M167" s="25"/>
      <c r="N167" s="25"/>
      <c r="O167" s="25"/>
      <c r="P167" s="25"/>
      <c r="Q167" s="25"/>
      <c r="R167" s="25"/>
      <c r="S167" s="25"/>
      <c r="T167" s="25"/>
      <c r="U167" s="25"/>
      <c r="V167" s="25"/>
      <c r="W167" s="25"/>
      <c r="X167" s="25"/>
      <c r="Y167" s="25"/>
      <c r="Z167" s="25"/>
      <c r="AA167" s="25"/>
      <c r="AB167" s="25"/>
      <c r="AC167" s="25"/>
      <c r="AD167" s="25"/>
    </row>
    <row r="168" spans="1:30" ht="15.75" customHeight="1">
      <c r="A168" s="25"/>
      <c r="B168" s="25"/>
      <c r="C168" s="25"/>
      <c r="D168" s="25"/>
      <c r="E168" s="25"/>
      <c r="F168" s="25"/>
      <c r="G168" s="25"/>
      <c r="H168" s="25"/>
      <c r="I168" s="40"/>
      <c r="J168" s="25"/>
      <c r="K168" s="25"/>
      <c r="L168" s="25"/>
      <c r="M168" s="25"/>
      <c r="N168" s="25"/>
      <c r="O168" s="25"/>
      <c r="P168" s="25"/>
      <c r="Q168" s="25"/>
      <c r="R168" s="25"/>
      <c r="S168" s="25"/>
      <c r="T168" s="25"/>
      <c r="U168" s="25"/>
      <c r="V168" s="25"/>
      <c r="W168" s="25"/>
      <c r="X168" s="25"/>
      <c r="Y168" s="25"/>
      <c r="Z168" s="25"/>
      <c r="AA168" s="25"/>
      <c r="AB168" s="25"/>
      <c r="AC168" s="25"/>
      <c r="AD168" s="25"/>
    </row>
    <row r="169" spans="1:30" ht="15.75" customHeight="1">
      <c r="A169" s="25"/>
      <c r="B169" s="25"/>
      <c r="C169" s="25"/>
      <c r="D169" s="25"/>
      <c r="E169" s="25"/>
      <c r="F169" s="25"/>
      <c r="G169" s="25"/>
      <c r="H169" s="25"/>
      <c r="I169" s="40"/>
      <c r="J169" s="25"/>
      <c r="K169" s="25"/>
      <c r="L169" s="25"/>
      <c r="M169" s="25"/>
      <c r="N169" s="25"/>
      <c r="O169" s="25"/>
      <c r="P169" s="25"/>
      <c r="Q169" s="25"/>
      <c r="R169" s="25"/>
      <c r="S169" s="25"/>
      <c r="T169" s="25"/>
      <c r="U169" s="25"/>
      <c r="V169" s="25"/>
      <c r="W169" s="25"/>
      <c r="X169" s="25"/>
      <c r="Y169" s="25"/>
      <c r="Z169" s="25"/>
      <c r="AA169" s="25"/>
      <c r="AB169" s="25"/>
      <c r="AC169" s="25"/>
      <c r="AD169" s="25"/>
    </row>
    <row r="170" spans="1:30" ht="15.75" customHeight="1">
      <c r="A170" s="25"/>
      <c r="B170" s="25"/>
      <c r="C170" s="25"/>
      <c r="D170" s="25"/>
      <c r="E170" s="25"/>
      <c r="F170" s="25"/>
      <c r="G170" s="25"/>
      <c r="H170" s="25"/>
      <c r="I170" s="40"/>
      <c r="J170" s="25"/>
      <c r="K170" s="25"/>
      <c r="L170" s="25"/>
      <c r="M170" s="25"/>
      <c r="N170" s="25"/>
      <c r="O170" s="25"/>
      <c r="P170" s="25"/>
      <c r="Q170" s="25"/>
      <c r="R170" s="25"/>
      <c r="S170" s="25"/>
      <c r="T170" s="25"/>
      <c r="U170" s="25"/>
      <c r="V170" s="25"/>
      <c r="W170" s="25"/>
      <c r="X170" s="25"/>
      <c r="Y170" s="25"/>
      <c r="Z170" s="25"/>
      <c r="AA170" s="25"/>
      <c r="AB170" s="25"/>
      <c r="AC170" s="25"/>
      <c r="AD170" s="25"/>
    </row>
    <row r="171" spans="1:30" ht="15.75" customHeight="1">
      <c r="A171" s="25"/>
      <c r="B171" s="25"/>
      <c r="C171" s="25"/>
      <c r="D171" s="25"/>
      <c r="E171" s="25"/>
      <c r="F171" s="25"/>
      <c r="G171" s="25"/>
      <c r="H171" s="25"/>
      <c r="I171" s="40"/>
      <c r="J171" s="25"/>
      <c r="K171" s="25"/>
      <c r="L171" s="25"/>
      <c r="M171" s="25"/>
      <c r="N171" s="25"/>
      <c r="O171" s="25"/>
      <c r="P171" s="25"/>
      <c r="Q171" s="25"/>
      <c r="R171" s="25"/>
      <c r="S171" s="25"/>
      <c r="T171" s="25"/>
      <c r="U171" s="25"/>
      <c r="V171" s="25"/>
      <c r="W171" s="25"/>
      <c r="X171" s="25"/>
      <c r="Y171" s="25"/>
      <c r="Z171" s="25"/>
      <c r="AA171" s="25"/>
      <c r="AB171" s="25"/>
      <c r="AC171" s="25"/>
      <c r="AD171" s="25"/>
    </row>
    <row r="172" spans="1:30" ht="15.75" customHeight="1">
      <c r="A172" s="25"/>
      <c r="B172" s="25"/>
      <c r="C172" s="25"/>
      <c r="D172" s="25"/>
      <c r="E172" s="25"/>
      <c r="F172" s="25"/>
      <c r="G172" s="25"/>
      <c r="H172" s="25"/>
      <c r="I172" s="40"/>
      <c r="J172" s="25"/>
      <c r="K172" s="25"/>
      <c r="L172" s="25"/>
      <c r="M172" s="25"/>
      <c r="N172" s="25"/>
      <c r="O172" s="25"/>
      <c r="P172" s="25"/>
      <c r="Q172" s="25"/>
      <c r="R172" s="25"/>
      <c r="S172" s="25"/>
      <c r="T172" s="25"/>
      <c r="U172" s="25"/>
      <c r="V172" s="25"/>
      <c r="W172" s="25"/>
      <c r="X172" s="25"/>
      <c r="Y172" s="25"/>
      <c r="Z172" s="25"/>
      <c r="AA172" s="25"/>
      <c r="AB172" s="25"/>
      <c r="AC172" s="25"/>
      <c r="AD172" s="25"/>
    </row>
    <row r="173" spans="1:30" ht="15.75" customHeight="1">
      <c r="A173" s="25"/>
      <c r="B173" s="25"/>
      <c r="C173" s="25"/>
      <c r="D173" s="25"/>
      <c r="E173" s="25"/>
      <c r="F173" s="25"/>
      <c r="G173" s="25"/>
      <c r="H173" s="25"/>
      <c r="I173" s="40"/>
      <c r="J173" s="25"/>
      <c r="K173" s="25"/>
      <c r="L173" s="25"/>
      <c r="M173" s="25"/>
      <c r="N173" s="25"/>
      <c r="O173" s="25"/>
      <c r="P173" s="25"/>
      <c r="Q173" s="25"/>
      <c r="R173" s="25"/>
      <c r="S173" s="25"/>
      <c r="T173" s="25"/>
      <c r="U173" s="25"/>
      <c r="V173" s="25"/>
      <c r="W173" s="25"/>
      <c r="X173" s="25"/>
      <c r="Y173" s="25"/>
      <c r="Z173" s="25"/>
      <c r="AA173" s="25"/>
      <c r="AB173" s="25"/>
      <c r="AC173" s="25"/>
      <c r="AD173" s="25"/>
    </row>
    <row r="174" spans="1:30" ht="15.75" customHeight="1">
      <c r="A174" s="25"/>
      <c r="B174" s="25"/>
      <c r="C174" s="25"/>
      <c r="D174" s="25"/>
      <c r="E174" s="25"/>
      <c r="F174" s="25"/>
      <c r="G174" s="25"/>
      <c r="H174" s="25"/>
      <c r="I174" s="40"/>
      <c r="J174" s="25"/>
      <c r="K174" s="25"/>
      <c r="L174" s="25"/>
      <c r="M174" s="25"/>
      <c r="N174" s="25"/>
      <c r="O174" s="25"/>
      <c r="P174" s="25"/>
      <c r="Q174" s="25"/>
      <c r="R174" s="25"/>
      <c r="S174" s="25"/>
      <c r="T174" s="25"/>
      <c r="U174" s="25"/>
      <c r="V174" s="25"/>
      <c r="W174" s="25"/>
      <c r="X174" s="25"/>
      <c r="Y174" s="25"/>
      <c r="Z174" s="25"/>
      <c r="AA174" s="25"/>
      <c r="AB174" s="25"/>
      <c r="AC174" s="25"/>
      <c r="AD174" s="25"/>
    </row>
    <row r="175" spans="1:30" ht="15.75" customHeight="1">
      <c r="A175" s="25"/>
      <c r="B175" s="25"/>
      <c r="C175" s="25"/>
      <c r="D175" s="25"/>
      <c r="E175" s="25"/>
      <c r="F175" s="25"/>
      <c r="G175" s="25"/>
      <c r="H175" s="25"/>
      <c r="I175" s="40"/>
      <c r="J175" s="25"/>
      <c r="K175" s="25"/>
      <c r="L175" s="25"/>
      <c r="M175" s="25"/>
      <c r="N175" s="25"/>
      <c r="O175" s="25"/>
      <c r="P175" s="25"/>
      <c r="Q175" s="25"/>
      <c r="R175" s="25"/>
      <c r="S175" s="25"/>
      <c r="T175" s="25"/>
      <c r="U175" s="25"/>
      <c r="V175" s="25"/>
      <c r="W175" s="25"/>
      <c r="X175" s="25"/>
      <c r="Y175" s="25"/>
      <c r="Z175" s="25"/>
      <c r="AA175" s="25"/>
      <c r="AB175" s="25"/>
      <c r="AC175" s="25"/>
      <c r="AD175" s="25"/>
    </row>
    <row r="176" spans="1:30" ht="15.75" customHeight="1">
      <c r="A176" s="25"/>
      <c r="B176" s="25"/>
      <c r="C176" s="25"/>
      <c r="D176" s="25"/>
      <c r="E176" s="25"/>
      <c r="F176" s="25"/>
      <c r="G176" s="25"/>
      <c r="H176" s="25"/>
      <c r="I176" s="40"/>
      <c r="J176" s="25"/>
      <c r="K176" s="25"/>
      <c r="L176" s="25"/>
      <c r="M176" s="25"/>
      <c r="N176" s="25"/>
      <c r="O176" s="25"/>
      <c r="P176" s="25"/>
      <c r="Q176" s="25"/>
      <c r="R176" s="25"/>
      <c r="S176" s="25"/>
      <c r="T176" s="25"/>
      <c r="U176" s="25"/>
      <c r="V176" s="25"/>
      <c r="W176" s="25"/>
      <c r="X176" s="25"/>
      <c r="Y176" s="25"/>
      <c r="Z176" s="25"/>
      <c r="AA176" s="25"/>
      <c r="AB176" s="25"/>
      <c r="AC176" s="25"/>
      <c r="AD176" s="25"/>
    </row>
    <row r="177" spans="1:30" ht="15.75" customHeight="1">
      <c r="A177" s="25"/>
      <c r="B177" s="25"/>
      <c r="C177" s="25"/>
      <c r="D177" s="25"/>
      <c r="E177" s="25"/>
      <c r="F177" s="25"/>
      <c r="G177" s="25"/>
      <c r="H177" s="25"/>
      <c r="I177" s="40"/>
      <c r="J177" s="25"/>
      <c r="K177" s="25"/>
      <c r="L177" s="25"/>
      <c r="M177" s="25"/>
      <c r="N177" s="25"/>
      <c r="O177" s="25"/>
      <c r="P177" s="25"/>
      <c r="Q177" s="25"/>
      <c r="R177" s="25"/>
      <c r="S177" s="25"/>
      <c r="T177" s="25"/>
      <c r="U177" s="25"/>
      <c r="V177" s="25"/>
      <c r="W177" s="25"/>
      <c r="X177" s="25"/>
      <c r="Y177" s="25"/>
      <c r="Z177" s="25"/>
      <c r="AA177" s="25"/>
      <c r="AB177" s="25"/>
      <c r="AC177" s="25"/>
      <c r="AD177" s="25"/>
    </row>
    <row r="178" spans="1:30" ht="15.75" customHeight="1">
      <c r="A178" s="25"/>
      <c r="B178" s="25"/>
      <c r="C178" s="25"/>
      <c r="D178" s="25"/>
      <c r="E178" s="25"/>
      <c r="F178" s="25"/>
      <c r="G178" s="25"/>
      <c r="H178" s="25"/>
      <c r="I178" s="40"/>
      <c r="J178" s="25"/>
      <c r="K178" s="25"/>
      <c r="L178" s="25"/>
      <c r="M178" s="25"/>
      <c r="N178" s="25"/>
      <c r="O178" s="25"/>
      <c r="P178" s="25"/>
      <c r="Q178" s="25"/>
      <c r="R178" s="25"/>
      <c r="S178" s="25"/>
      <c r="T178" s="25"/>
      <c r="U178" s="25"/>
      <c r="V178" s="25"/>
      <c r="W178" s="25"/>
      <c r="X178" s="25"/>
      <c r="Y178" s="25"/>
      <c r="Z178" s="25"/>
      <c r="AA178" s="25"/>
      <c r="AB178" s="25"/>
      <c r="AC178" s="25"/>
      <c r="AD178" s="25"/>
    </row>
    <row r="179" spans="1:30" ht="15.75" customHeight="1">
      <c r="A179" s="25"/>
      <c r="B179" s="25"/>
      <c r="C179" s="25"/>
      <c r="D179" s="25"/>
      <c r="E179" s="25"/>
      <c r="F179" s="25"/>
      <c r="G179" s="25"/>
      <c r="H179" s="25"/>
      <c r="I179" s="40"/>
      <c r="J179" s="25"/>
      <c r="K179" s="25"/>
      <c r="L179" s="25"/>
      <c r="M179" s="25"/>
      <c r="N179" s="25"/>
      <c r="O179" s="25"/>
      <c r="P179" s="25"/>
      <c r="Q179" s="25"/>
      <c r="R179" s="25"/>
      <c r="S179" s="25"/>
      <c r="T179" s="25"/>
      <c r="U179" s="25"/>
      <c r="V179" s="25"/>
      <c r="W179" s="25"/>
      <c r="X179" s="25"/>
      <c r="Y179" s="25"/>
      <c r="Z179" s="25"/>
      <c r="AA179" s="25"/>
      <c r="AB179" s="25"/>
      <c r="AC179" s="25"/>
      <c r="AD179" s="25"/>
    </row>
    <row r="180" spans="1:30" ht="15.75" customHeight="1">
      <c r="A180" s="25"/>
      <c r="B180" s="25"/>
      <c r="C180" s="25"/>
      <c r="D180" s="25"/>
      <c r="E180" s="25"/>
      <c r="F180" s="25"/>
      <c r="G180" s="25"/>
      <c r="H180" s="25"/>
      <c r="I180" s="40"/>
      <c r="J180" s="25"/>
      <c r="K180" s="25"/>
      <c r="L180" s="25"/>
      <c r="M180" s="25"/>
      <c r="N180" s="25"/>
      <c r="O180" s="25"/>
      <c r="P180" s="25"/>
      <c r="Q180" s="25"/>
      <c r="R180" s="25"/>
      <c r="S180" s="25"/>
      <c r="T180" s="25"/>
      <c r="U180" s="25"/>
      <c r="V180" s="25"/>
      <c r="W180" s="25"/>
      <c r="X180" s="25"/>
      <c r="Y180" s="25"/>
      <c r="Z180" s="25"/>
      <c r="AA180" s="25"/>
      <c r="AB180" s="25"/>
      <c r="AC180" s="25"/>
      <c r="AD180" s="25"/>
    </row>
    <row r="181" spans="1:30" ht="15.75" customHeight="1">
      <c r="A181" s="25"/>
      <c r="B181" s="25"/>
      <c r="C181" s="25"/>
      <c r="D181" s="25"/>
      <c r="E181" s="25"/>
      <c r="F181" s="25"/>
      <c r="G181" s="25"/>
      <c r="H181" s="25"/>
      <c r="I181" s="40"/>
      <c r="J181" s="25"/>
      <c r="K181" s="25"/>
      <c r="L181" s="25"/>
      <c r="M181" s="25"/>
      <c r="N181" s="25"/>
      <c r="O181" s="25"/>
      <c r="P181" s="25"/>
      <c r="Q181" s="25"/>
      <c r="R181" s="25"/>
      <c r="S181" s="25"/>
      <c r="T181" s="25"/>
      <c r="U181" s="25"/>
      <c r="V181" s="25"/>
      <c r="W181" s="25"/>
      <c r="X181" s="25"/>
      <c r="Y181" s="25"/>
      <c r="Z181" s="25"/>
      <c r="AA181" s="25"/>
      <c r="AB181" s="25"/>
      <c r="AC181" s="25"/>
      <c r="AD181" s="25"/>
    </row>
    <row r="182" spans="1:30" ht="15.75" customHeight="1">
      <c r="A182" s="25"/>
      <c r="B182" s="25"/>
      <c r="C182" s="25"/>
      <c r="D182" s="25"/>
      <c r="E182" s="25"/>
      <c r="F182" s="25"/>
      <c r="G182" s="25"/>
      <c r="H182" s="25"/>
      <c r="I182" s="40"/>
      <c r="J182" s="25"/>
      <c r="K182" s="25"/>
      <c r="L182" s="25"/>
      <c r="M182" s="25"/>
      <c r="N182" s="25"/>
      <c r="O182" s="25"/>
      <c r="P182" s="25"/>
      <c r="Q182" s="25"/>
      <c r="R182" s="25"/>
      <c r="S182" s="25"/>
      <c r="T182" s="25"/>
      <c r="U182" s="25"/>
      <c r="V182" s="25"/>
      <c r="W182" s="25"/>
      <c r="X182" s="25"/>
      <c r="Y182" s="25"/>
      <c r="Z182" s="25"/>
      <c r="AA182" s="25"/>
      <c r="AB182" s="25"/>
      <c r="AC182" s="25"/>
      <c r="AD182" s="25"/>
    </row>
    <row r="183" spans="1:30" ht="15.75" customHeight="1">
      <c r="A183" s="25"/>
      <c r="B183" s="25"/>
      <c r="C183" s="25"/>
      <c r="D183" s="25"/>
      <c r="E183" s="25"/>
      <c r="F183" s="25"/>
      <c r="G183" s="25"/>
      <c r="H183" s="25"/>
      <c r="I183" s="40"/>
      <c r="J183" s="25"/>
      <c r="K183" s="25"/>
      <c r="L183" s="25"/>
      <c r="M183" s="25"/>
      <c r="N183" s="25"/>
      <c r="O183" s="25"/>
      <c r="P183" s="25"/>
      <c r="Q183" s="25"/>
      <c r="R183" s="25"/>
      <c r="S183" s="25"/>
      <c r="T183" s="25"/>
      <c r="U183" s="25"/>
      <c r="V183" s="25"/>
      <c r="W183" s="25"/>
      <c r="X183" s="25"/>
      <c r="Y183" s="25"/>
      <c r="Z183" s="25"/>
      <c r="AA183" s="25"/>
      <c r="AB183" s="25"/>
      <c r="AC183" s="25"/>
      <c r="AD183" s="25"/>
    </row>
    <row r="184" spans="1:30" ht="15.75" customHeight="1">
      <c r="A184" s="25"/>
      <c r="B184" s="25"/>
      <c r="C184" s="25"/>
      <c r="D184" s="25"/>
      <c r="E184" s="25"/>
      <c r="F184" s="25"/>
      <c r="G184" s="25"/>
      <c r="H184" s="25"/>
      <c r="I184" s="40"/>
      <c r="J184" s="25"/>
      <c r="K184" s="25"/>
      <c r="L184" s="25"/>
      <c r="M184" s="25"/>
      <c r="N184" s="25"/>
      <c r="O184" s="25"/>
      <c r="P184" s="25"/>
      <c r="Q184" s="25"/>
      <c r="R184" s="25"/>
      <c r="S184" s="25"/>
      <c r="T184" s="25"/>
      <c r="U184" s="25"/>
      <c r="V184" s="25"/>
      <c r="W184" s="25"/>
      <c r="X184" s="25"/>
      <c r="Y184" s="25"/>
      <c r="Z184" s="25"/>
      <c r="AA184" s="25"/>
      <c r="AB184" s="25"/>
      <c r="AC184" s="25"/>
      <c r="AD184" s="25"/>
    </row>
    <row r="185" spans="1:30" ht="15.75" customHeight="1">
      <c r="A185" s="25"/>
      <c r="B185" s="25"/>
      <c r="C185" s="25"/>
      <c r="D185" s="25"/>
      <c r="E185" s="25"/>
      <c r="F185" s="25"/>
      <c r="G185" s="25"/>
      <c r="H185" s="25"/>
      <c r="I185" s="40"/>
      <c r="J185" s="25"/>
      <c r="K185" s="25"/>
      <c r="L185" s="25"/>
      <c r="M185" s="25"/>
      <c r="N185" s="25"/>
      <c r="O185" s="25"/>
      <c r="P185" s="25"/>
      <c r="Q185" s="25"/>
      <c r="R185" s="25"/>
      <c r="S185" s="25"/>
      <c r="T185" s="25"/>
      <c r="U185" s="25"/>
      <c r="V185" s="25"/>
      <c r="W185" s="25"/>
      <c r="X185" s="25"/>
      <c r="Y185" s="25"/>
      <c r="Z185" s="25"/>
      <c r="AA185" s="25"/>
      <c r="AB185" s="25"/>
      <c r="AC185" s="25"/>
      <c r="AD185" s="25"/>
    </row>
    <row r="186" spans="1:30" ht="15.75" customHeight="1">
      <c r="A186" s="25"/>
      <c r="B186" s="25"/>
      <c r="C186" s="25"/>
      <c r="D186" s="25"/>
      <c r="E186" s="25"/>
      <c r="F186" s="25"/>
      <c r="G186" s="25"/>
      <c r="H186" s="25"/>
      <c r="I186" s="40"/>
      <c r="J186" s="25"/>
      <c r="K186" s="25"/>
      <c r="L186" s="25"/>
      <c r="M186" s="25"/>
      <c r="N186" s="25"/>
      <c r="O186" s="25"/>
      <c r="P186" s="25"/>
      <c r="Q186" s="25"/>
      <c r="R186" s="25"/>
      <c r="S186" s="25"/>
      <c r="T186" s="25"/>
      <c r="U186" s="25"/>
      <c r="V186" s="25"/>
      <c r="W186" s="25"/>
      <c r="X186" s="25"/>
      <c r="Y186" s="25"/>
      <c r="Z186" s="25"/>
      <c r="AA186" s="25"/>
      <c r="AB186" s="25"/>
      <c r="AC186" s="25"/>
      <c r="AD186" s="25"/>
    </row>
    <row r="187" spans="1:30" ht="15.75" customHeight="1">
      <c r="A187" s="25"/>
      <c r="B187" s="25"/>
      <c r="C187" s="25"/>
      <c r="D187" s="25"/>
      <c r="E187" s="25"/>
      <c r="F187" s="25"/>
      <c r="G187" s="25"/>
      <c r="H187" s="25"/>
      <c r="I187" s="40"/>
      <c r="J187" s="25"/>
      <c r="K187" s="25"/>
      <c r="L187" s="25"/>
      <c r="M187" s="25"/>
      <c r="N187" s="25"/>
      <c r="O187" s="25"/>
      <c r="P187" s="25"/>
      <c r="Q187" s="25"/>
      <c r="R187" s="25"/>
      <c r="S187" s="25"/>
      <c r="T187" s="25"/>
      <c r="U187" s="25"/>
      <c r="V187" s="25"/>
      <c r="W187" s="25"/>
      <c r="X187" s="25"/>
      <c r="Y187" s="25"/>
      <c r="Z187" s="25"/>
      <c r="AA187" s="25"/>
      <c r="AB187" s="25"/>
      <c r="AC187" s="25"/>
      <c r="AD187" s="25"/>
    </row>
    <row r="188" spans="1:30" ht="15.75" customHeight="1">
      <c r="A188" s="25"/>
      <c r="B188" s="25"/>
      <c r="C188" s="25"/>
      <c r="D188" s="25"/>
      <c r="E188" s="25"/>
      <c r="F188" s="25"/>
      <c r="G188" s="25"/>
      <c r="H188" s="25"/>
      <c r="I188" s="40"/>
      <c r="J188" s="25"/>
      <c r="K188" s="25"/>
      <c r="L188" s="25"/>
      <c r="M188" s="25"/>
      <c r="N188" s="25"/>
      <c r="O188" s="25"/>
      <c r="P188" s="25"/>
      <c r="Q188" s="25"/>
      <c r="R188" s="25"/>
      <c r="S188" s="25"/>
      <c r="T188" s="25"/>
      <c r="U188" s="25"/>
      <c r="V188" s="25"/>
      <c r="W188" s="25"/>
      <c r="X188" s="25"/>
      <c r="Y188" s="25"/>
      <c r="Z188" s="25"/>
      <c r="AA188" s="25"/>
      <c r="AB188" s="25"/>
      <c r="AC188" s="25"/>
      <c r="AD188" s="25"/>
    </row>
    <row r="189" spans="1:30" ht="15.75" customHeight="1">
      <c r="A189" s="25"/>
      <c r="B189" s="25"/>
      <c r="C189" s="25"/>
      <c r="D189" s="25"/>
      <c r="E189" s="25"/>
      <c r="F189" s="25"/>
      <c r="G189" s="25"/>
      <c r="H189" s="25"/>
      <c r="I189" s="40"/>
      <c r="J189" s="25"/>
      <c r="K189" s="25"/>
      <c r="L189" s="25"/>
      <c r="M189" s="25"/>
      <c r="N189" s="25"/>
      <c r="O189" s="25"/>
      <c r="P189" s="25"/>
      <c r="Q189" s="25"/>
      <c r="R189" s="25"/>
      <c r="S189" s="25"/>
      <c r="T189" s="25"/>
      <c r="U189" s="25"/>
      <c r="V189" s="25"/>
      <c r="W189" s="25"/>
      <c r="X189" s="25"/>
      <c r="Y189" s="25"/>
      <c r="Z189" s="25"/>
      <c r="AA189" s="25"/>
      <c r="AB189" s="25"/>
      <c r="AC189" s="25"/>
      <c r="AD189" s="25"/>
    </row>
    <row r="190" spans="1:30" ht="15.75" customHeight="1">
      <c r="A190" s="25"/>
      <c r="B190" s="25"/>
      <c r="C190" s="25"/>
      <c r="D190" s="25"/>
      <c r="E190" s="25"/>
      <c r="F190" s="25"/>
      <c r="G190" s="25"/>
      <c r="H190" s="25"/>
      <c r="I190" s="40"/>
      <c r="J190" s="25"/>
      <c r="K190" s="25"/>
      <c r="L190" s="25"/>
      <c r="M190" s="25"/>
      <c r="N190" s="25"/>
      <c r="O190" s="25"/>
      <c r="P190" s="25"/>
      <c r="Q190" s="25"/>
      <c r="R190" s="25"/>
      <c r="S190" s="25"/>
      <c r="T190" s="25"/>
      <c r="U190" s="25"/>
      <c r="V190" s="25"/>
      <c r="W190" s="25"/>
      <c r="X190" s="25"/>
      <c r="Y190" s="25"/>
      <c r="Z190" s="25"/>
      <c r="AA190" s="25"/>
      <c r="AB190" s="25"/>
      <c r="AC190" s="25"/>
      <c r="AD190" s="25"/>
    </row>
    <row r="191" spans="1:30" ht="15.75" customHeight="1">
      <c r="A191" s="25"/>
      <c r="B191" s="25"/>
      <c r="C191" s="25"/>
      <c r="D191" s="25"/>
      <c r="E191" s="25"/>
      <c r="F191" s="25"/>
      <c r="G191" s="25"/>
      <c r="H191" s="25"/>
      <c r="I191" s="40"/>
      <c r="J191" s="25"/>
      <c r="K191" s="25"/>
      <c r="L191" s="25"/>
      <c r="M191" s="25"/>
      <c r="N191" s="25"/>
      <c r="O191" s="25"/>
      <c r="P191" s="25"/>
      <c r="Q191" s="25"/>
      <c r="R191" s="25"/>
      <c r="S191" s="25"/>
      <c r="T191" s="25"/>
      <c r="U191" s="25"/>
      <c r="V191" s="25"/>
      <c r="W191" s="25"/>
      <c r="X191" s="25"/>
      <c r="Y191" s="25"/>
      <c r="Z191" s="25"/>
      <c r="AA191" s="25"/>
      <c r="AB191" s="25"/>
      <c r="AC191" s="25"/>
      <c r="AD191" s="25"/>
    </row>
    <row r="192" spans="1:30" ht="15.75" customHeight="1">
      <c r="A192" s="25"/>
      <c r="B192" s="25"/>
      <c r="C192" s="25"/>
      <c r="D192" s="25"/>
      <c r="E192" s="25"/>
      <c r="F192" s="25"/>
      <c r="G192" s="25"/>
      <c r="H192" s="25"/>
      <c r="I192" s="40"/>
      <c r="J192" s="25"/>
      <c r="K192" s="25"/>
      <c r="L192" s="25"/>
      <c r="M192" s="25"/>
      <c r="N192" s="25"/>
      <c r="O192" s="25"/>
      <c r="P192" s="25"/>
      <c r="Q192" s="25"/>
      <c r="R192" s="25"/>
      <c r="S192" s="25"/>
      <c r="T192" s="25"/>
      <c r="U192" s="25"/>
      <c r="V192" s="25"/>
      <c r="W192" s="25"/>
      <c r="X192" s="25"/>
      <c r="Y192" s="25"/>
      <c r="Z192" s="25"/>
      <c r="AA192" s="25"/>
      <c r="AB192" s="25"/>
      <c r="AC192" s="25"/>
      <c r="AD192" s="25"/>
    </row>
    <row r="193" spans="1:30" ht="15.75" customHeight="1">
      <c r="A193" s="25"/>
      <c r="B193" s="25"/>
      <c r="C193" s="25"/>
      <c r="D193" s="25"/>
      <c r="E193" s="25"/>
      <c r="F193" s="25"/>
      <c r="G193" s="25"/>
      <c r="H193" s="25"/>
      <c r="I193" s="40"/>
      <c r="J193" s="25"/>
      <c r="K193" s="25"/>
      <c r="L193" s="25"/>
      <c r="M193" s="25"/>
      <c r="N193" s="25"/>
      <c r="O193" s="25"/>
      <c r="P193" s="25"/>
      <c r="Q193" s="25"/>
      <c r="R193" s="25"/>
      <c r="S193" s="25"/>
      <c r="T193" s="25"/>
      <c r="U193" s="25"/>
      <c r="V193" s="25"/>
      <c r="W193" s="25"/>
      <c r="X193" s="25"/>
      <c r="Y193" s="25"/>
      <c r="Z193" s="25"/>
      <c r="AA193" s="25"/>
      <c r="AB193" s="25"/>
      <c r="AC193" s="25"/>
      <c r="AD193" s="25"/>
    </row>
    <row r="194" spans="1:30" ht="15.75" customHeight="1">
      <c r="A194" s="25"/>
      <c r="B194" s="25"/>
      <c r="C194" s="25"/>
      <c r="D194" s="25"/>
      <c r="E194" s="25"/>
      <c r="F194" s="25"/>
      <c r="G194" s="25"/>
      <c r="H194" s="25"/>
      <c r="I194" s="40"/>
      <c r="J194" s="25"/>
      <c r="K194" s="25"/>
      <c r="L194" s="25"/>
      <c r="M194" s="25"/>
      <c r="N194" s="25"/>
      <c r="O194" s="25"/>
      <c r="P194" s="25"/>
      <c r="Q194" s="25"/>
      <c r="R194" s="25"/>
      <c r="S194" s="25"/>
      <c r="T194" s="25"/>
      <c r="U194" s="25"/>
      <c r="V194" s="25"/>
      <c r="W194" s="25"/>
      <c r="X194" s="25"/>
      <c r="Y194" s="25"/>
      <c r="Z194" s="25"/>
      <c r="AA194" s="25"/>
      <c r="AB194" s="25"/>
      <c r="AC194" s="25"/>
      <c r="AD194" s="25"/>
    </row>
    <row r="195" spans="1:30" ht="15.75" customHeight="1">
      <c r="A195" s="25"/>
      <c r="B195" s="25"/>
      <c r="C195" s="25"/>
      <c r="D195" s="25"/>
      <c r="E195" s="25"/>
      <c r="F195" s="25"/>
      <c r="G195" s="25"/>
      <c r="H195" s="25"/>
      <c r="I195" s="40"/>
      <c r="J195" s="25"/>
      <c r="K195" s="25"/>
      <c r="L195" s="25"/>
      <c r="M195" s="25"/>
      <c r="N195" s="25"/>
      <c r="O195" s="25"/>
      <c r="P195" s="25"/>
      <c r="Q195" s="25"/>
      <c r="R195" s="25"/>
      <c r="S195" s="25"/>
      <c r="T195" s="25"/>
      <c r="U195" s="25"/>
      <c r="V195" s="25"/>
      <c r="W195" s="25"/>
      <c r="X195" s="25"/>
      <c r="Y195" s="25"/>
      <c r="Z195" s="25"/>
      <c r="AA195" s="25"/>
      <c r="AB195" s="25"/>
      <c r="AC195" s="25"/>
      <c r="AD195" s="25"/>
    </row>
    <row r="196" spans="1:30" ht="15.75" customHeight="1">
      <c r="A196" s="25"/>
      <c r="B196" s="25"/>
      <c r="C196" s="25"/>
      <c r="D196" s="25"/>
      <c r="E196" s="25"/>
      <c r="F196" s="25"/>
      <c r="G196" s="25"/>
      <c r="H196" s="25"/>
      <c r="I196" s="40"/>
      <c r="J196" s="25"/>
      <c r="K196" s="25"/>
      <c r="L196" s="25"/>
      <c r="M196" s="25"/>
      <c r="N196" s="25"/>
      <c r="O196" s="25"/>
      <c r="P196" s="25"/>
      <c r="Q196" s="25"/>
      <c r="R196" s="25"/>
      <c r="S196" s="25"/>
      <c r="T196" s="25"/>
      <c r="U196" s="25"/>
      <c r="V196" s="25"/>
      <c r="W196" s="25"/>
      <c r="X196" s="25"/>
      <c r="Y196" s="25"/>
      <c r="Z196" s="25"/>
      <c r="AA196" s="25"/>
      <c r="AB196" s="25"/>
      <c r="AC196" s="25"/>
      <c r="AD196" s="25"/>
    </row>
    <row r="197" spans="1:30" ht="15.75" customHeight="1">
      <c r="A197" s="25"/>
      <c r="B197" s="25"/>
      <c r="C197" s="25"/>
      <c r="D197" s="25"/>
      <c r="E197" s="25"/>
      <c r="F197" s="25"/>
      <c r="G197" s="25"/>
      <c r="H197" s="25"/>
      <c r="I197" s="40"/>
      <c r="J197" s="25"/>
      <c r="K197" s="25"/>
      <c r="L197" s="25"/>
      <c r="M197" s="25"/>
      <c r="N197" s="25"/>
      <c r="O197" s="25"/>
      <c r="P197" s="25"/>
      <c r="Q197" s="25"/>
      <c r="R197" s="25"/>
      <c r="S197" s="25"/>
      <c r="T197" s="25"/>
      <c r="U197" s="25"/>
      <c r="V197" s="25"/>
      <c r="W197" s="25"/>
      <c r="X197" s="25"/>
      <c r="Y197" s="25"/>
      <c r="Z197" s="25"/>
      <c r="AA197" s="25"/>
      <c r="AB197" s="25"/>
      <c r="AC197" s="25"/>
      <c r="AD197" s="25"/>
    </row>
    <row r="198" spans="1:30" ht="15.75" customHeight="1">
      <c r="A198" s="25"/>
      <c r="B198" s="25"/>
      <c r="C198" s="25"/>
      <c r="D198" s="25"/>
      <c r="E198" s="25"/>
      <c r="F198" s="25"/>
      <c r="G198" s="25"/>
      <c r="H198" s="25"/>
      <c r="I198" s="40"/>
      <c r="J198" s="25"/>
      <c r="K198" s="25"/>
      <c r="L198" s="25"/>
      <c r="M198" s="25"/>
      <c r="N198" s="25"/>
      <c r="O198" s="25"/>
      <c r="P198" s="25"/>
      <c r="Q198" s="25"/>
      <c r="R198" s="25"/>
      <c r="S198" s="25"/>
      <c r="T198" s="25"/>
      <c r="U198" s="25"/>
      <c r="V198" s="25"/>
      <c r="W198" s="25"/>
      <c r="X198" s="25"/>
      <c r="Y198" s="25"/>
      <c r="Z198" s="25"/>
      <c r="AA198" s="25"/>
      <c r="AB198" s="25"/>
      <c r="AC198" s="25"/>
      <c r="AD198" s="25"/>
    </row>
    <row r="199" spans="1:30" ht="15.75" customHeight="1">
      <c r="A199" s="25"/>
      <c r="B199" s="25"/>
      <c r="C199" s="25"/>
      <c r="D199" s="25"/>
      <c r="E199" s="25"/>
      <c r="F199" s="25"/>
      <c r="G199" s="25"/>
      <c r="H199" s="25"/>
      <c r="I199" s="40"/>
      <c r="J199" s="25"/>
      <c r="K199" s="25"/>
      <c r="L199" s="25"/>
      <c r="M199" s="25"/>
      <c r="N199" s="25"/>
      <c r="O199" s="25"/>
      <c r="P199" s="25"/>
      <c r="Q199" s="25"/>
      <c r="R199" s="25"/>
      <c r="S199" s="25"/>
      <c r="T199" s="25"/>
      <c r="U199" s="25"/>
      <c r="V199" s="25"/>
      <c r="W199" s="25"/>
      <c r="X199" s="25"/>
      <c r="Y199" s="25"/>
      <c r="Z199" s="25"/>
      <c r="AA199" s="25"/>
      <c r="AB199" s="25"/>
      <c r="AC199" s="25"/>
      <c r="AD199" s="25"/>
    </row>
    <row r="200" spans="1:30" ht="15.75" customHeight="1">
      <c r="A200" s="25"/>
      <c r="B200" s="25"/>
      <c r="C200" s="25"/>
      <c r="D200" s="25"/>
      <c r="E200" s="25"/>
      <c r="F200" s="25"/>
      <c r="G200" s="25"/>
      <c r="H200" s="25"/>
      <c r="I200" s="40"/>
      <c r="J200" s="25"/>
      <c r="K200" s="25"/>
      <c r="L200" s="25"/>
      <c r="M200" s="25"/>
      <c r="N200" s="25"/>
      <c r="O200" s="25"/>
      <c r="P200" s="25"/>
      <c r="Q200" s="25"/>
      <c r="R200" s="25"/>
      <c r="S200" s="25"/>
      <c r="T200" s="25"/>
      <c r="U200" s="25"/>
      <c r="V200" s="25"/>
      <c r="W200" s="25"/>
      <c r="X200" s="25"/>
      <c r="Y200" s="25"/>
      <c r="Z200" s="25"/>
      <c r="AA200" s="25"/>
      <c r="AB200" s="25"/>
      <c r="AC200" s="25"/>
      <c r="AD200" s="25"/>
    </row>
    <row r="201" spans="1:30" ht="15.75" customHeight="1">
      <c r="A201" s="25"/>
      <c r="B201" s="25"/>
      <c r="C201" s="25"/>
      <c r="D201" s="25"/>
      <c r="E201" s="25"/>
      <c r="F201" s="25"/>
      <c r="G201" s="25"/>
      <c r="H201" s="25"/>
      <c r="I201" s="40"/>
      <c r="J201" s="25"/>
      <c r="K201" s="25"/>
      <c r="L201" s="25"/>
      <c r="M201" s="25"/>
      <c r="N201" s="25"/>
      <c r="O201" s="25"/>
      <c r="P201" s="25"/>
      <c r="Q201" s="25"/>
      <c r="R201" s="25"/>
      <c r="S201" s="25"/>
      <c r="T201" s="25"/>
      <c r="U201" s="25"/>
      <c r="V201" s="25"/>
      <c r="W201" s="25"/>
      <c r="X201" s="25"/>
      <c r="Y201" s="25"/>
      <c r="Z201" s="25"/>
      <c r="AA201" s="25"/>
      <c r="AB201" s="25"/>
      <c r="AC201" s="25"/>
      <c r="AD201" s="25"/>
    </row>
    <row r="202" spans="1:30" ht="15.75" customHeight="1">
      <c r="A202" s="25"/>
      <c r="B202" s="25"/>
      <c r="C202" s="25"/>
      <c r="D202" s="25"/>
      <c r="E202" s="25"/>
      <c r="F202" s="25"/>
      <c r="G202" s="25"/>
      <c r="H202" s="25"/>
      <c r="I202" s="40"/>
      <c r="J202" s="25"/>
      <c r="K202" s="25"/>
      <c r="L202" s="25"/>
      <c r="M202" s="25"/>
      <c r="N202" s="25"/>
      <c r="O202" s="25"/>
      <c r="P202" s="25"/>
      <c r="Q202" s="25"/>
      <c r="R202" s="25"/>
      <c r="S202" s="25"/>
      <c r="T202" s="25"/>
      <c r="U202" s="25"/>
      <c r="V202" s="25"/>
      <c r="W202" s="25"/>
      <c r="X202" s="25"/>
      <c r="Y202" s="25"/>
      <c r="Z202" s="25"/>
      <c r="AA202" s="25"/>
      <c r="AB202" s="25"/>
      <c r="AC202" s="25"/>
      <c r="AD202" s="25"/>
    </row>
    <row r="203" spans="1:30" ht="15.75" customHeight="1">
      <c r="A203" s="25"/>
      <c r="B203" s="25"/>
      <c r="C203" s="25"/>
      <c r="D203" s="25"/>
      <c r="E203" s="25"/>
      <c r="F203" s="25"/>
      <c r="G203" s="25"/>
      <c r="H203" s="25"/>
      <c r="I203" s="40"/>
      <c r="J203" s="25"/>
      <c r="K203" s="25"/>
      <c r="L203" s="25"/>
      <c r="M203" s="25"/>
      <c r="N203" s="25"/>
      <c r="O203" s="25"/>
      <c r="P203" s="25"/>
      <c r="Q203" s="25"/>
      <c r="R203" s="25"/>
      <c r="S203" s="25"/>
      <c r="T203" s="25"/>
      <c r="U203" s="25"/>
      <c r="V203" s="25"/>
      <c r="W203" s="25"/>
      <c r="X203" s="25"/>
      <c r="Y203" s="25"/>
      <c r="Z203" s="25"/>
      <c r="AA203" s="25"/>
      <c r="AB203" s="25"/>
      <c r="AC203" s="25"/>
      <c r="AD203" s="25"/>
    </row>
    <row r="204" spans="1:30" ht="15.75" customHeight="1">
      <c r="A204" s="25"/>
      <c r="B204" s="25"/>
      <c r="C204" s="25"/>
      <c r="D204" s="25"/>
      <c r="E204" s="25"/>
      <c r="F204" s="25"/>
      <c r="G204" s="25"/>
      <c r="H204" s="25"/>
      <c r="I204" s="40"/>
      <c r="J204" s="25"/>
      <c r="K204" s="25"/>
      <c r="L204" s="25"/>
      <c r="M204" s="25"/>
      <c r="N204" s="25"/>
      <c r="O204" s="25"/>
      <c r="P204" s="25"/>
      <c r="Q204" s="25"/>
      <c r="R204" s="25"/>
      <c r="S204" s="25"/>
      <c r="T204" s="25"/>
      <c r="U204" s="25"/>
      <c r="V204" s="25"/>
      <c r="W204" s="25"/>
      <c r="X204" s="25"/>
      <c r="Y204" s="25"/>
      <c r="Z204" s="25"/>
      <c r="AA204" s="25"/>
      <c r="AB204" s="25"/>
      <c r="AC204" s="25"/>
      <c r="AD204" s="25"/>
    </row>
    <row r="205" spans="1:30" ht="15.75" customHeight="1">
      <c r="A205" s="25"/>
      <c r="B205" s="25"/>
      <c r="C205" s="25"/>
      <c r="D205" s="25"/>
      <c r="E205" s="25"/>
      <c r="F205" s="25"/>
      <c r="G205" s="25"/>
      <c r="H205" s="25"/>
      <c r="I205" s="40"/>
      <c r="J205" s="25"/>
      <c r="K205" s="25"/>
      <c r="L205" s="25"/>
      <c r="M205" s="25"/>
      <c r="N205" s="25"/>
      <c r="O205" s="25"/>
      <c r="P205" s="25"/>
      <c r="Q205" s="25"/>
      <c r="R205" s="25"/>
      <c r="S205" s="25"/>
      <c r="T205" s="25"/>
      <c r="U205" s="25"/>
      <c r="V205" s="25"/>
      <c r="W205" s="25"/>
      <c r="X205" s="25"/>
      <c r="Y205" s="25"/>
      <c r="Z205" s="25"/>
      <c r="AA205" s="25"/>
      <c r="AB205" s="25"/>
      <c r="AC205" s="25"/>
      <c r="AD205" s="25"/>
    </row>
    <row r="206" spans="1:30" ht="15.75" customHeight="1">
      <c r="A206" s="25"/>
      <c r="B206" s="25"/>
      <c r="C206" s="25"/>
      <c r="D206" s="25"/>
      <c r="E206" s="25"/>
      <c r="F206" s="25"/>
      <c r="G206" s="25"/>
      <c r="H206" s="25"/>
      <c r="I206" s="40"/>
      <c r="J206" s="25"/>
      <c r="K206" s="25"/>
      <c r="L206" s="25"/>
      <c r="M206" s="25"/>
      <c r="N206" s="25"/>
      <c r="O206" s="25"/>
      <c r="P206" s="25"/>
      <c r="Q206" s="25"/>
      <c r="R206" s="25"/>
      <c r="S206" s="25"/>
      <c r="T206" s="25"/>
      <c r="U206" s="25"/>
      <c r="V206" s="25"/>
      <c r="W206" s="25"/>
      <c r="X206" s="25"/>
      <c r="Y206" s="25"/>
      <c r="Z206" s="25"/>
      <c r="AA206" s="25"/>
      <c r="AB206" s="25"/>
      <c r="AC206" s="25"/>
      <c r="AD206" s="25"/>
    </row>
    <row r="207" spans="1:30" ht="15.75" customHeight="1">
      <c r="A207" s="25"/>
      <c r="B207" s="25"/>
      <c r="C207" s="25"/>
      <c r="D207" s="25"/>
      <c r="E207" s="25"/>
      <c r="F207" s="25"/>
      <c r="G207" s="25"/>
      <c r="H207" s="25"/>
      <c r="I207" s="40"/>
      <c r="J207" s="25"/>
      <c r="K207" s="25"/>
      <c r="L207" s="25"/>
      <c r="M207" s="25"/>
      <c r="N207" s="25"/>
      <c r="O207" s="25"/>
      <c r="P207" s="25"/>
      <c r="Q207" s="25"/>
      <c r="R207" s="25"/>
      <c r="S207" s="25"/>
      <c r="T207" s="25"/>
      <c r="U207" s="25"/>
      <c r="V207" s="25"/>
      <c r="W207" s="25"/>
      <c r="X207" s="25"/>
      <c r="Y207" s="25"/>
      <c r="Z207" s="25"/>
      <c r="AA207" s="25"/>
      <c r="AB207" s="25"/>
      <c r="AC207" s="25"/>
      <c r="AD207" s="25"/>
    </row>
    <row r="208" spans="1:30" ht="15.75" customHeight="1">
      <c r="A208" s="25"/>
      <c r="B208" s="25"/>
      <c r="C208" s="25"/>
      <c r="D208" s="25"/>
      <c r="E208" s="25"/>
      <c r="F208" s="25"/>
      <c r="G208" s="25"/>
      <c r="H208" s="25"/>
      <c r="I208" s="40"/>
      <c r="J208" s="25"/>
      <c r="K208" s="25"/>
      <c r="L208" s="25"/>
      <c r="M208" s="25"/>
      <c r="N208" s="25"/>
      <c r="O208" s="25"/>
      <c r="P208" s="25"/>
      <c r="Q208" s="25"/>
      <c r="R208" s="25"/>
      <c r="S208" s="25"/>
      <c r="T208" s="25"/>
      <c r="U208" s="25"/>
      <c r="V208" s="25"/>
      <c r="W208" s="25"/>
      <c r="X208" s="25"/>
      <c r="Y208" s="25"/>
      <c r="Z208" s="25"/>
      <c r="AA208" s="25"/>
      <c r="AB208" s="25"/>
      <c r="AC208" s="25"/>
      <c r="AD208" s="25"/>
    </row>
    <row r="209" spans="1:30" ht="15.75" customHeight="1">
      <c r="A209" s="25"/>
      <c r="B209" s="25"/>
      <c r="C209" s="25"/>
      <c r="D209" s="25"/>
      <c r="E209" s="25"/>
      <c r="F209" s="25"/>
      <c r="G209" s="25"/>
      <c r="H209" s="25"/>
      <c r="I209" s="40"/>
      <c r="J209" s="25"/>
      <c r="K209" s="25"/>
      <c r="L209" s="25"/>
      <c r="M209" s="25"/>
      <c r="N209" s="25"/>
      <c r="O209" s="25"/>
      <c r="P209" s="25"/>
      <c r="Q209" s="25"/>
      <c r="R209" s="25"/>
      <c r="S209" s="25"/>
      <c r="T209" s="25"/>
      <c r="U209" s="25"/>
      <c r="V209" s="25"/>
      <c r="W209" s="25"/>
      <c r="X209" s="25"/>
      <c r="Y209" s="25"/>
      <c r="Z209" s="25"/>
      <c r="AA209" s="25"/>
      <c r="AB209" s="25"/>
      <c r="AC209" s="25"/>
      <c r="AD209" s="25"/>
    </row>
    <row r="210" spans="1:30" ht="15.75" customHeight="1">
      <c r="A210" s="25"/>
      <c r="B210" s="25"/>
      <c r="C210" s="25"/>
      <c r="D210" s="25"/>
      <c r="E210" s="25"/>
      <c r="F210" s="25"/>
      <c r="G210" s="25"/>
      <c r="H210" s="25"/>
      <c r="I210" s="40"/>
      <c r="J210" s="25"/>
      <c r="K210" s="25"/>
      <c r="L210" s="25"/>
      <c r="M210" s="25"/>
      <c r="N210" s="25"/>
      <c r="O210" s="25"/>
      <c r="P210" s="25"/>
      <c r="Q210" s="25"/>
      <c r="R210" s="25"/>
      <c r="S210" s="25"/>
      <c r="T210" s="25"/>
      <c r="U210" s="25"/>
      <c r="V210" s="25"/>
      <c r="W210" s="25"/>
      <c r="X210" s="25"/>
      <c r="Y210" s="25"/>
      <c r="Z210" s="25"/>
      <c r="AA210" s="25"/>
      <c r="AB210" s="25"/>
      <c r="AC210" s="25"/>
      <c r="AD210" s="25"/>
    </row>
    <row r="211" spans="1:30" ht="15.75" customHeight="1">
      <c r="A211" s="25"/>
      <c r="B211" s="25"/>
      <c r="C211" s="25"/>
      <c r="D211" s="25"/>
      <c r="E211" s="25"/>
      <c r="F211" s="25"/>
      <c r="G211" s="25"/>
      <c r="H211" s="25"/>
      <c r="I211" s="40"/>
      <c r="J211" s="25"/>
      <c r="K211" s="25"/>
      <c r="L211" s="25"/>
      <c r="M211" s="25"/>
      <c r="N211" s="25"/>
      <c r="O211" s="25"/>
      <c r="P211" s="25"/>
      <c r="Q211" s="25"/>
      <c r="R211" s="25"/>
      <c r="S211" s="25"/>
      <c r="T211" s="25"/>
      <c r="U211" s="25"/>
      <c r="V211" s="25"/>
      <c r="W211" s="25"/>
      <c r="X211" s="25"/>
      <c r="Y211" s="25"/>
      <c r="Z211" s="25"/>
      <c r="AA211" s="25"/>
      <c r="AB211" s="25"/>
      <c r="AC211" s="25"/>
      <c r="AD211" s="25"/>
    </row>
    <row r="212" spans="1:30" ht="15.75" customHeight="1">
      <c r="A212" s="25"/>
      <c r="B212" s="25"/>
      <c r="C212" s="25"/>
      <c r="D212" s="25"/>
      <c r="E212" s="25"/>
      <c r="F212" s="25"/>
      <c r="G212" s="25"/>
      <c r="H212" s="25"/>
      <c r="I212" s="40"/>
      <c r="J212" s="25"/>
      <c r="K212" s="25"/>
      <c r="L212" s="25"/>
      <c r="M212" s="25"/>
      <c r="N212" s="25"/>
      <c r="O212" s="25"/>
      <c r="P212" s="25"/>
      <c r="Q212" s="25"/>
      <c r="R212" s="25"/>
      <c r="S212" s="25"/>
      <c r="T212" s="25"/>
      <c r="U212" s="25"/>
      <c r="V212" s="25"/>
      <c r="W212" s="25"/>
      <c r="X212" s="25"/>
      <c r="Y212" s="25"/>
      <c r="Z212" s="25"/>
      <c r="AA212" s="25"/>
      <c r="AB212" s="25"/>
      <c r="AC212" s="25"/>
      <c r="AD212" s="25"/>
    </row>
    <row r="213" spans="1:30" ht="15.75" customHeight="1">
      <c r="A213" s="25"/>
      <c r="B213" s="25"/>
      <c r="C213" s="25"/>
      <c r="D213" s="25"/>
      <c r="E213" s="25"/>
      <c r="F213" s="25"/>
      <c r="G213" s="25"/>
      <c r="H213" s="25"/>
      <c r="I213" s="40"/>
      <c r="J213" s="25"/>
      <c r="K213" s="25"/>
      <c r="L213" s="25"/>
      <c r="M213" s="25"/>
      <c r="N213" s="25"/>
      <c r="O213" s="25"/>
      <c r="P213" s="25"/>
      <c r="Q213" s="25"/>
      <c r="R213" s="25"/>
      <c r="S213" s="25"/>
      <c r="T213" s="25"/>
      <c r="U213" s="25"/>
      <c r="V213" s="25"/>
      <c r="W213" s="25"/>
      <c r="X213" s="25"/>
      <c r="Y213" s="25"/>
      <c r="Z213" s="25"/>
      <c r="AA213" s="25"/>
      <c r="AB213" s="25"/>
      <c r="AC213" s="25"/>
      <c r="AD213" s="25"/>
    </row>
    <row r="214" spans="1:30" ht="15.75" customHeight="1">
      <c r="A214" s="25"/>
      <c r="B214" s="25"/>
      <c r="C214" s="25"/>
      <c r="D214" s="25"/>
      <c r="E214" s="25"/>
      <c r="F214" s="25"/>
      <c r="G214" s="25"/>
      <c r="H214" s="25"/>
      <c r="I214" s="40"/>
      <c r="J214" s="25"/>
      <c r="K214" s="25"/>
      <c r="L214" s="25"/>
      <c r="M214" s="25"/>
      <c r="N214" s="25"/>
      <c r="O214" s="25"/>
      <c r="P214" s="25"/>
      <c r="Q214" s="25"/>
      <c r="R214" s="25"/>
      <c r="S214" s="25"/>
      <c r="T214" s="25"/>
      <c r="U214" s="25"/>
      <c r="V214" s="25"/>
      <c r="W214" s="25"/>
      <c r="X214" s="25"/>
      <c r="Y214" s="25"/>
      <c r="Z214" s="25"/>
      <c r="AA214" s="25"/>
      <c r="AB214" s="25"/>
      <c r="AC214" s="25"/>
      <c r="AD214" s="25"/>
    </row>
    <row r="215" spans="1:30" ht="15.75" customHeight="1">
      <c r="A215" s="25"/>
      <c r="B215" s="25"/>
      <c r="C215" s="25"/>
      <c r="D215" s="25"/>
      <c r="E215" s="25"/>
      <c r="F215" s="25"/>
      <c r="G215" s="25"/>
      <c r="H215" s="25"/>
      <c r="I215" s="40"/>
      <c r="J215" s="25"/>
      <c r="K215" s="25"/>
      <c r="L215" s="25"/>
      <c r="M215" s="25"/>
      <c r="N215" s="25"/>
      <c r="O215" s="25"/>
      <c r="P215" s="25"/>
      <c r="Q215" s="25"/>
      <c r="R215" s="25"/>
      <c r="S215" s="25"/>
      <c r="T215" s="25"/>
      <c r="U215" s="25"/>
      <c r="V215" s="25"/>
      <c r="W215" s="25"/>
      <c r="X215" s="25"/>
      <c r="Y215" s="25"/>
      <c r="Z215" s="25"/>
      <c r="AA215" s="25"/>
      <c r="AB215" s="25"/>
      <c r="AC215" s="25"/>
      <c r="AD215" s="25"/>
    </row>
    <row r="216" spans="1:30" ht="15.75" customHeight="1">
      <c r="A216" s="25"/>
      <c r="B216" s="25"/>
      <c r="C216" s="25"/>
      <c r="D216" s="25"/>
      <c r="E216" s="25"/>
      <c r="F216" s="25"/>
      <c r="G216" s="25"/>
      <c r="H216" s="25"/>
      <c r="I216" s="40"/>
      <c r="J216" s="25"/>
      <c r="K216" s="25"/>
      <c r="L216" s="25"/>
      <c r="M216" s="25"/>
      <c r="N216" s="25"/>
      <c r="O216" s="25"/>
      <c r="P216" s="25"/>
      <c r="Q216" s="25"/>
      <c r="R216" s="25"/>
      <c r="S216" s="25"/>
      <c r="T216" s="25"/>
      <c r="U216" s="25"/>
      <c r="V216" s="25"/>
      <c r="W216" s="25"/>
      <c r="X216" s="25"/>
      <c r="Y216" s="25"/>
      <c r="Z216" s="25"/>
      <c r="AA216" s="25"/>
      <c r="AB216" s="25"/>
      <c r="AC216" s="25"/>
      <c r="AD216" s="25"/>
    </row>
    <row r="217" spans="1:30" ht="15.75" customHeight="1">
      <c r="A217" s="25"/>
      <c r="B217" s="25"/>
      <c r="C217" s="25"/>
      <c r="D217" s="25"/>
      <c r="E217" s="25"/>
      <c r="F217" s="25"/>
      <c r="G217" s="25"/>
      <c r="H217" s="25"/>
      <c r="I217" s="40"/>
      <c r="J217" s="25"/>
      <c r="K217" s="25"/>
      <c r="L217" s="25"/>
      <c r="M217" s="25"/>
      <c r="N217" s="25"/>
      <c r="O217" s="25"/>
      <c r="P217" s="25"/>
      <c r="Q217" s="25"/>
      <c r="R217" s="25"/>
      <c r="S217" s="25"/>
      <c r="T217" s="25"/>
      <c r="U217" s="25"/>
      <c r="V217" s="25"/>
      <c r="W217" s="25"/>
      <c r="X217" s="25"/>
      <c r="Y217" s="25"/>
      <c r="Z217" s="25"/>
      <c r="AA217" s="25"/>
      <c r="AB217" s="25"/>
      <c r="AC217" s="25"/>
      <c r="AD217" s="25"/>
    </row>
    <row r="218" spans="1:30" ht="15.75" customHeight="1">
      <c r="A218" s="25"/>
      <c r="B218" s="25"/>
      <c r="C218" s="25"/>
      <c r="D218" s="25"/>
      <c r="E218" s="25"/>
      <c r="F218" s="25"/>
      <c r="G218" s="25"/>
      <c r="H218" s="25"/>
      <c r="I218" s="40"/>
      <c r="J218" s="25"/>
      <c r="K218" s="25"/>
      <c r="L218" s="25"/>
      <c r="M218" s="25"/>
      <c r="N218" s="25"/>
      <c r="O218" s="25"/>
      <c r="P218" s="25"/>
      <c r="Q218" s="25"/>
      <c r="R218" s="25"/>
      <c r="S218" s="25"/>
      <c r="T218" s="25"/>
      <c r="U218" s="25"/>
      <c r="V218" s="25"/>
      <c r="W218" s="25"/>
      <c r="X218" s="25"/>
      <c r="Y218" s="25"/>
      <c r="Z218" s="25"/>
      <c r="AA218" s="25"/>
      <c r="AB218" s="25"/>
      <c r="AC218" s="25"/>
      <c r="AD218" s="25"/>
    </row>
    <row r="219" spans="1:30" ht="15.75" customHeight="1">
      <c r="A219" s="25"/>
      <c r="B219" s="25"/>
      <c r="C219" s="25"/>
      <c r="D219" s="25"/>
      <c r="E219" s="25"/>
      <c r="F219" s="25"/>
      <c r="G219" s="25"/>
      <c r="H219" s="25"/>
      <c r="I219" s="40"/>
      <c r="J219" s="25"/>
      <c r="K219" s="25"/>
      <c r="L219" s="25"/>
      <c r="M219" s="25"/>
      <c r="N219" s="25"/>
      <c r="O219" s="25"/>
      <c r="P219" s="25"/>
      <c r="Q219" s="25"/>
      <c r="R219" s="25"/>
      <c r="S219" s="25"/>
      <c r="T219" s="25"/>
      <c r="U219" s="25"/>
      <c r="V219" s="25"/>
      <c r="W219" s="25"/>
      <c r="X219" s="25"/>
      <c r="Y219" s="25"/>
      <c r="Z219" s="25"/>
      <c r="AA219" s="25"/>
      <c r="AB219" s="25"/>
      <c r="AC219" s="25"/>
      <c r="AD219" s="25"/>
    </row>
    <row r="220" spans="1:30" ht="15.75" customHeight="1">
      <c r="A220" s="25"/>
      <c r="B220" s="25"/>
      <c r="C220" s="25"/>
      <c r="D220" s="25"/>
      <c r="E220" s="25"/>
      <c r="F220" s="25"/>
      <c r="G220" s="25"/>
      <c r="H220" s="25"/>
      <c r="I220" s="40"/>
      <c r="J220" s="25"/>
      <c r="K220" s="25"/>
      <c r="L220" s="25"/>
      <c r="M220" s="25"/>
      <c r="N220" s="25"/>
      <c r="O220" s="25"/>
      <c r="P220" s="25"/>
      <c r="Q220" s="25"/>
      <c r="R220" s="25"/>
      <c r="S220" s="25"/>
      <c r="T220" s="25"/>
      <c r="U220" s="25"/>
      <c r="V220" s="25"/>
      <c r="W220" s="25"/>
      <c r="X220" s="25"/>
      <c r="Y220" s="25"/>
      <c r="Z220" s="25"/>
      <c r="AA220" s="25"/>
      <c r="AB220" s="25"/>
      <c r="AC220" s="25"/>
      <c r="AD220" s="25"/>
    </row>
    <row r="221" spans="1:30" ht="15.75" customHeight="1">
      <c r="A221" s="25"/>
      <c r="B221" s="25"/>
      <c r="C221" s="25"/>
      <c r="D221" s="25"/>
      <c r="E221" s="25"/>
      <c r="F221" s="25"/>
      <c r="G221" s="25"/>
      <c r="H221" s="25"/>
      <c r="I221" s="40"/>
      <c r="J221" s="25"/>
      <c r="K221" s="25"/>
      <c r="L221" s="25"/>
      <c r="M221" s="25"/>
      <c r="N221" s="25"/>
      <c r="O221" s="25"/>
      <c r="P221" s="25"/>
      <c r="Q221" s="25"/>
      <c r="R221" s="25"/>
      <c r="S221" s="25"/>
      <c r="T221" s="25"/>
      <c r="U221" s="25"/>
      <c r="V221" s="25"/>
      <c r="W221" s="25"/>
      <c r="X221" s="25"/>
      <c r="Y221" s="25"/>
      <c r="Z221" s="25"/>
      <c r="AA221" s="25"/>
      <c r="AB221" s="25"/>
      <c r="AC221" s="25"/>
      <c r="AD221" s="25"/>
    </row>
    <row r="222" spans="1:30" ht="15.75" customHeight="1">
      <c r="A222" s="25"/>
      <c r="B222" s="25"/>
      <c r="C222" s="25"/>
      <c r="D222" s="25"/>
      <c r="E222" s="25"/>
      <c r="F222" s="25"/>
      <c r="G222" s="25"/>
      <c r="H222" s="25"/>
      <c r="I222" s="40"/>
      <c r="J222" s="25"/>
      <c r="K222" s="25"/>
      <c r="L222" s="25"/>
      <c r="M222" s="25"/>
      <c r="N222" s="25"/>
      <c r="O222" s="25"/>
      <c r="P222" s="25"/>
      <c r="Q222" s="25"/>
      <c r="R222" s="25"/>
      <c r="S222" s="25"/>
      <c r="T222" s="25"/>
      <c r="U222" s="25"/>
      <c r="V222" s="25"/>
      <c r="W222" s="25"/>
      <c r="X222" s="25"/>
      <c r="Y222" s="25"/>
      <c r="Z222" s="25"/>
      <c r="AA222" s="25"/>
      <c r="AB222" s="25"/>
      <c r="AC222" s="25"/>
      <c r="AD222" s="25"/>
    </row>
    <row r="223" spans="1:30" ht="15.75" customHeight="1">
      <c r="A223" s="25"/>
      <c r="B223" s="25"/>
      <c r="C223" s="25"/>
      <c r="D223" s="25"/>
      <c r="E223" s="25"/>
      <c r="F223" s="25"/>
      <c r="G223" s="25"/>
      <c r="H223" s="25"/>
      <c r="I223" s="40"/>
      <c r="J223" s="25"/>
      <c r="K223" s="25"/>
      <c r="L223" s="25"/>
      <c r="M223" s="25"/>
      <c r="N223" s="25"/>
      <c r="O223" s="25"/>
      <c r="P223" s="25"/>
      <c r="Q223" s="25"/>
      <c r="R223" s="25"/>
      <c r="S223" s="25"/>
      <c r="T223" s="25"/>
      <c r="U223" s="25"/>
      <c r="V223" s="25"/>
      <c r="W223" s="25"/>
      <c r="X223" s="25"/>
      <c r="Y223" s="25"/>
      <c r="Z223" s="25"/>
      <c r="AA223" s="25"/>
      <c r="AB223" s="25"/>
      <c r="AC223" s="25"/>
      <c r="AD223" s="25"/>
    </row>
    <row r="224" spans="1:30" ht="15.75" customHeight="1">
      <c r="A224" s="25"/>
      <c r="B224" s="25"/>
      <c r="C224" s="25"/>
      <c r="D224" s="25"/>
      <c r="E224" s="25"/>
      <c r="F224" s="25"/>
      <c r="G224" s="25"/>
      <c r="H224" s="25"/>
      <c r="I224" s="40"/>
      <c r="J224" s="25"/>
      <c r="K224" s="25"/>
      <c r="L224" s="25"/>
      <c r="M224" s="25"/>
      <c r="N224" s="25"/>
      <c r="O224" s="25"/>
      <c r="P224" s="25"/>
      <c r="Q224" s="25"/>
      <c r="R224" s="25"/>
      <c r="S224" s="25"/>
      <c r="T224" s="25"/>
      <c r="U224" s="25"/>
      <c r="V224" s="25"/>
      <c r="W224" s="25"/>
      <c r="X224" s="25"/>
      <c r="Y224" s="25"/>
      <c r="Z224" s="25"/>
      <c r="AA224" s="25"/>
      <c r="AB224" s="25"/>
      <c r="AC224" s="25"/>
      <c r="AD224" s="25"/>
    </row>
    <row r="225" spans="1:30" ht="15.75" customHeight="1">
      <c r="A225" s="25"/>
      <c r="B225" s="25"/>
      <c r="C225" s="25"/>
      <c r="D225" s="25"/>
      <c r="E225" s="25"/>
      <c r="F225" s="25"/>
      <c r="G225" s="25"/>
      <c r="H225" s="25"/>
      <c r="I225" s="40"/>
      <c r="J225" s="25"/>
      <c r="K225" s="25"/>
      <c r="L225" s="25"/>
      <c r="M225" s="25"/>
      <c r="N225" s="25"/>
      <c r="O225" s="25"/>
      <c r="P225" s="25"/>
      <c r="Q225" s="25"/>
      <c r="R225" s="25"/>
      <c r="S225" s="25"/>
      <c r="T225" s="25"/>
      <c r="U225" s="25"/>
      <c r="V225" s="25"/>
      <c r="W225" s="25"/>
      <c r="X225" s="25"/>
      <c r="Y225" s="25"/>
      <c r="Z225" s="25"/>
      <c r="AA225" s="25"/>
      <c r="AB225" s="25"/>
      <c r="AC225" s="25"/>
      <c r="AD225" s="25"/>
    </row>
    <row r="226" spans="1:30" ht="15.75" customHeight="1">
      <c r="A226" s="25"/>
      <c r="B226" s="25"/>
      <c r="C226" s="25"/>
      <c r="D226" s="25"/>
      <c r="E226" s="25"/>
      <c r="F226" s="25"/>
      <c r="G226" s="25"/>
      <c r="H226" s="25"/>
      <c r="I226" s="40"/>
      <c r="J226" s="25"/>
      <c r="K226" s="25"/>
      <c r="L226" s="25"/>
      <c r="M226" s="25"/>
      <c r="N226" s="25"/>
      <c r="O226" s="25"/>
      <c r="P226" s="25"/>
      <c r="Q226" s="25"/>
      <c r="R226" s="25"/>
      <c r="S226" s="25"/>
      <c r="T226" s="25"/>
      <c r="U226" s="25"/>
      <c r="V226" s="25"/>
      <c r="W226" s="25"/>
      <c r="X226" s="25"/>
      <c r="Y226" s="25"/>
      <c r="Z226" s="25"/>
      <c r="AA226" s="25"/>
      <c r="AB226" s="25"/>
      <c r="AC226" s="25"/>
      <c r="AD226" s="25"/>
    </row>
    <row r="227" spans="1:30" ht="15.75" customHeight="1">
      <c r="A227" s="25"/>
      <c r="B227" s="25"/>
      <c r="C227" s="25"/>
      <c r="D227" s="25"/>
      <c r="E227" s="25"/>
      <c r="F227" s="25"/>
      <c r="G227" s="25"/>
      <c r="H227" s="25"/>
      <c r="I227" s="40"/>
      <c r="J227" s="25"/>
      <c r="K227" s="25"/>
      <c r="L227" s="25"/>
      <c r="M227" s="25"/>
      <c r="N227" s="25"/>
      <c r="O227" s="25"/>
      <c r="P227" s="25"/>
      <c r="Q227" s="25"/>
      <c r="R227" s="25"/>
      <c r="S227" s="25"/>
      <c r="T227" s="25"/>
      <c r="U227" s="25"/>
      <c r="V227" s="25"/>
      <c r="W227" s="25"/>
      <c r="X227" s="25"/>
      <c r="Y227" s="25"/>
      <c r="Z227" s="25"/>
      <c r="AA227" s="25"/>
      <c r="AB227" s="25"/>
      <c r="AC227" s="25"/>
      <c r="AD227" s="25"/>
    </row>
    <row r="228" spans="1:30" ht="15.75" customHeight="1">
      <c r="A228" s="25"/>
      <c r="B228" s="25"/>
      <c r="C228" s="25"/>
      <c r="D228" s="25"/>
      <c r="E228" s="25"/>
      <c r="F228" s="25"/>
      <c r="G228" s="25"/>
      <c r="H228" s="25"/>
      <c r="I228" s="40"/>
      <c r="J228" s="25"/>
      <c r="K228" s="25"/>
      <c r="L228" s="25"/>
      <c r="M228" s="25"/>
      <c r="N228" s="25"/>
      <c r="O228" s="25"/>
      <c r="P228" s="25"/>
      <c r="Q228" s="25"/>
      <c r="R228" s="25"/>
      <c r="S228" s="25"/>
      <c r="T228" s="25"/>
      <c r="U228" s="25"/>
      <c r="V228" s="25"/>
      <c r="W228" s="25"/>
      <c r="X228" s="25"/>
      <c r="Y228" s="25"/>
      <c r="Z228" s="25"/>
      <c r="AA228" s="25"/>
      <c r="AB228" s="25"/>
      <c r="AC228" s="25"/>
      <c r="AD228" s="25"/>
    </row>
    <row r="229" spans="1:30" ht="15.75" customHeight="1">
      <c r="A229" s="25"/>
      <c r="B229" s="25"/>
      <c r="C229" s="25"/>
      <c r="D229" s="25"/>
      <c r="E229" s="25"/>
      <c r="F229" s="25"/>
      <c r="G229" s="25"/>
      <c r="H229" s="25"/>
      <c r="I229" s="40"/>
      <c r="J229" s="25"/>
      <c r="K229" s="25"/>
      <c r="L229" s="25"/>
      <c r="M229" s="25"/>
      <c r="N229" s="25"/>
      <c r="O229" s="25"/>
      <c r="P229" s="25"/>
      <c r="Q229" s="25"/>
      <c r="R229" s="25"/>
      <c r="S229" s="25"/>
      <c r="T229" s="25"/>
      <c r="U229" s="25"/>
      <c r="V229" s="25"/>
      <c r="W229" s="25"/>
      <c r="X229" s="25"/>
      <c r="Y229" s="25"/>
      <c r="Z229" s="25"/>
      <c r="AA229" s="25"/>
      <c r="AB229" s="25"/>
      <c r="AC229" s="25"/>
      <c r="AD229" s="25"/>
    </row>
    <row r="230" spans="1:30" ht="15.75" customHeight="1">
      <c r="A230" s="25"/>
      <c r="B230" s="25"/>
      <c r="C230" s="25"/>
      <c r="D230" s="25"/>
      <c r="E230" s="25"/>
      <c r="F230" s="25"/>
      <c r="G230" s="25"/>
      <c r="H230" s="25"/>
      <c r="I230" s="40"/>
      <c r="J230" s="25"/>
      <c r="K230" s="25"/>
      <c r="L230" s="25"/>
      <c r="M230" s="25"/>
      <c r="N230" s="25"/>
      <c r="O230" s="25"/>
      <c r="P230" s="25"/>
      <c r="Q230" s="25"/>
      <c r="R230" s="25"/>
      <c r="S230" s="25"/>
      <c r="T230" s="25"/>
      <c r="U230" s="25"/>
      <c r="V230" s="25"/>
      <c r="W230" s="25"/>
      <c r="X230" s="25"/>
      <c r="Y230" s="25"/>
      <c r="Z230" s="25"/>
      <c r="AA230" s="25"/>
      <c r="AB230" s="25"/>
      <c r="AC230" s="25"/>
      <c r="AD230" s="25"/>
    </row>
    <row r="231" spans="1:30" ht="15.75" customHeight="1">
      <c r="A231" s="25"/>
      <c r="B231" s="25"/>
      <c r="C231" s="25"/>
      <c r="D231" s="25"/>
      <c r="E231" s="25"/>
      <c r="F231" s="25"/>
      <c r="G231" s="25"/>
      <c r="H231" s="25"/>
      <c r="I231" s="40"/>
      <c r="J231" s="25"/>
      <c r="K231" s="25"/>
      <c r="L231" s="25"/>
      <c r="M231" s="25"/>
      <c r="N231" s="25"/>
      <c r="O231" s="25"/>
      <c r="P231" s="25"/>
      <c r="Q231" s="25"/>
      <c r="R231" s="25"/>
      <c r="S231" s="25"/>
      <c r="T231" s="25"/>
      <c r="U231" s="25"/>
      <c r="V231" s="25"/>
      <c r="W231" s="25"/>
      <c r="X231" s="25"/>
      <c r="Y231" s="25"/>
      <c r="Z231" s="25"/>
      <c r="AA231" s="25"/>
      <c r="AB231" s="25"/>
      <c r="AC231" s="25"/>
      <c r="AD231" s="25"/>
    </row>
    <row r="232" spans="1:30" ht="15.75" customHeight="1">
      <c r="A232" s="25"/>
      <c r="B232" s="25"/>
      <c r="C232" s="25"/>
      <c r="D232" s="25"/>
      <c r="E232" s="25"/>
      <c r="F232" s="25"/>
      <c r="G232" s="25"/>
      <c r="H232" s="25"/>
      <c r="I232" s="40"/>
      <c r="J232" s="25"/>
      <c r="K232" s="25"/>
      <c r="L232" s="25"/>
      <c r="M232" s="25"/>
      <c r="N232" s="25"/>
      <c r="O232" s="25"/>
      <c r="P232" s="25"/>
      <c r="Q232" s="25"/>
      <c r="R232" s="25"/>
      <c r="S232" s="25"/>
      <c r="T232" s="25"/>
      <c r="U232" s="25"/>
      <c r="V232" s="25"/>
      <c r="W232" s="25"/>
      <c r="X232" s="25"/>
      <c r="Y232" s="25"/>
      <c r="Z232" s="25"/>
      <c r="AA232" s="25"/>
      <c r="AB232" s="25"/>
      <c r="AC232" s="25"/>
      <c r="AD232" s="25"/>
    </row>
    <row r="233" spans="1:30" ht="15.75" customHeight="1">
      <c r="A233" s="25"/>
      <c r="B233" s="25"/>
      <c r="C233" s="25"/>
      <c r="D233" s="25"/>
      <c r="E233" s="25"/>
      <c r="F233" s="25"/>
      <c r="G233" s="25"/>
      <c r="H233" s="25"/>
      <c r="I233" s="40"/>
      <c r="J233" s="25"/>
      <c r="K233" s="25"/>
      <c r="L233" s="25"/>
      <c r="M233" s="25"/>
      <c r="N233" s="25"/>
      <c r="O233" s="25"/>
      <c r="P233" s="25"/>
      <c r="Q233" s="25"/>
      <c r="R233" s="25"/>
      <c r="S233" s="25"/>
      <c r="T233" s="25"/>
      <c r="U233" s="25"/>
      <c r="V233" s="25"/>
      <c r="W233" s="25"/>
      <c r="X233" s="25"/>
      <c r="Y233" s="25"/>
      <c r="Z233" s="25"/>
      <c r="AA233" s="25"/>
      <c r="AB233" s="25"/>
      <c r="AC233" s="25"/>
      <c r="AD233" s="25"/>
    </row>
    <row r="234" spans="1:30" ht="15.75" customHeight="1">
      <c r="A234" s="25"/>
      <c r="B234" s="25"/>
      <c r="C234" s="25"/>
      <c r="D234" s="25"/>
      <c r="E234" s="25"/>
      <c r="F234" s="25"/>
      <c r="G234" s="25"/>
      <c r="H234" s="25"/>
      <c r="I234" s="40"/>
      <c r="J234" s="25"/>
      <c r="K234" s="25"/>
      <c r="L234" s="25"/>
      <c r="M234" s="25"/>
      <c r="N234" s="25"/>
      <c r="O234" s="25"/>
      <c r="P234" s="25"/>
      <c r="Q234" s="25"/>
      <c r="R234" s="25"/>
      <c r="S234" s="25"/>
      <c r="T234" s="25"/>
      <c r="U234" s="25"/>
      <c r="V234" s="25"/>
      <c r="W234" s="25"/>
      <c r="X234" s="25"/>
      <c r="Y234" s="25"/>
      <c r="Z234" s="25"/>
      <c r="AA234" s="25"/>
      <c r="AB234" s="25"/>
      <c r="AC234" s="25"/>
      <c r="AD234" s="25"/>
    </row>
    <row r="235" spans="1:30" ht="15.75" customHeight="1">
      <c r="A235" s="25"/>
      <c r="B235" s="25"/>
      <c r="C235" s="25"/>
      <c r="D235" s="25"/>
      <c r="E235" s="25"/>
      <c r="F235" s="25"/>
      <c r="G235" s="25"/>
      <c r="H235" s="25"/>
      <c r="I235" s="40"/>
      <c r="J235" s="25"/>
      <c r="K235" s="25"/>
      <c r="L235" s="25"/>
      <c r="M235" s="25"/>
      <c r="N235" s="25"/>
      <c r="O235" s="25"/>
      <c r="P235" s="25"/>
      <c r="Q235" s="25"/>
      <c r="R235" s="25"/>
      <c r="S235" s="25"/>
      <c r="T235" s="25"/>
      <c r="U235" s="25"/>
      <c r="V235" s="25"/>
      <c r="W235" s="25"/>
      <c r="X235" s="25"/>
      <c r="Y235" s="25"/>
      <c r="Z235" s="25"/>
      <c r="AA235" s="25"/>
      <c r="AB235" s="25"/>
      <c r="AC235" s="25"/>
      <c r="AD235" s="25"/>
    </row>
    <row r="236" spans="1:30" ht="15.75" customHeight="1">
      <c r="A236" s="25"/>
      <c r="B236" s="25"/>
      <c r="C236" s="25"/>
      <c r="D236" s="25"/>
      <c r="E236" s="25"/>
      <c r="F236" s="25"/>
      <c r="G236" s="25"/>
      <c r="H236" s="25"/>
      <c r="I236" s="40"/>
      <c r="J236" s="25"/>
      <c r="K236" s="25"/>
      <c r="L236" s="25"/>
      <c r="M236" s="25"/>
      <c r="N236" s="25"/>
      <c r="O236" s="25"/>
      <c r="P236" s="25"/>
      <c r="Q236" s="25"/>
      <c r="R236" s="25"/>
      <c r="S236" s="25"/>
      <c r="T236" s="25"/>
      <c r="U236" s="25"/>
      <c r="V236" s="25"/>
      <c r="W236" s="25"/>
      <c r="X236" s="25"/>
      <c r="Y236" s="25"/>
      <c r="Z236" s="25"/>
      <c r="AA236" s="25"/>
      <c r="AB236" s="25"/>
      <c r="AC236" s="25"/>
      <c r="AD236" s="25"/>
    </row>
    <row r="237" spans="1:30" ht="15.75" customHeight="1">
      <c r="A237" s="25"/>
      <c r="B237" s="25"/>
      <c r="C237" s="25"/>
      <c r="D237" s="25"/>
      <c r="E237" s="25"/>
      <c r="F237" s="25"/>
      <c r="G237" s="25"/>
      <c r="H237" s="25"/>
      <c r="I237" s="40"/>
      <c r="J237" s="25"/>
      <c r="K237" s="25"/>
      <c r="L237" s="25"/>
      <c r="M237" s="25"/>
      <c r="N237" s="25"/>
      <c r="O237" s="25"/>
      <c r="P237" s="25"/>
      <c r="Q237" s="25"/>
      <c r="R237" s="25"/>
      <c r="S237" s="25"/>
      <c r="T237" s="25"/>
      <c r="U237" s="25"/>
      <c r="V237" s="25"/>
      <c r="W237" s="25"/>
      <c r="X237" s="25"/>
      <c r="Y237" s="25"/>
      <c r="Z237" s="25"/>
      <c r="AA237" s="25"/>
      <c r="AB237" s="25"/>
      <c r="AC237" s="25"/>
      <c r="AD237" s="25"/>
    </row>
    <row r="238" spans="1:30" ht="15.75" customHeight="1">
      <c r="A238" s="25"/>
      <c r="B238" s="25"/>
      <c r="C238" s="25"/>
      <c r="D238" s="25"/>
      <c r="E238" s="25"/>
      <c r="F238" s="25"/>
      <c r="G238" s="25"/>
      <c r="H238" s="25"/>
      <c r="I238" s="40"/>
      <c r="J238" s="25"/>
      <c r="K238" s="25"/>
      <c r="L238" s="25"/>
      <c r="M238" s="25"/>
      <c r="N238" s="25"/>
      <c r="O238" s="25"/>
      <c r="P238" s="25"/>
      <c r="Q238" s="25"/>
      <c r="R238" s="25"/>
      <c r="S238" s="25"/>
      <c r="T238" s="25"/>
      <c r="U238" s="25"/>
      <c r="V238" s="25"/>
      <c r="W238" s="25"/>
      <c r="X238" s="25"/>
      <c r="Y238" s="25"/>
      <c r="Z238" s="25"/>
      <c r="AA238" s="25"/>
      <c r="AB238" s="25"/>
      <c r="AC238" s="25"/>
      <c r="AD238" s="25"/>
    </row>
    <row r="239" spans="1:30" ht="15.75" customHeight="1">
      <c r="A239" s="25"/>
      <c r="B239" s="25"/>
      <c r="C239" s="25"/>
      <c r="D239" s="25"/>
      <c r="E239" s="25"/>
      <c r="F239" s="25"/>
      <c r="G239" s="25"/>
      <c r="H239" s="25"/>
      <c r="I239" s="40"/>
      <c r="J239" s="25"/>
      <c r="K239" s="25"/>
      <c r="L239" s="25"/>
      <c r="M239" s="25"/>
      <c r="N239" s="25"/>
      <c r="O239" s="25"/>
      <c r="P239" s="25"/>
      <c r="Q239" s="25"/>
      <c r="R239" s="25"/>
      <c r="S239" s="25"/>
      <c r="T239" s="25"/>
      <c r="U239" s="25"/>
      <c r="V239" s="25"/>
      <c r="W239" s="25"/>
      <c r="X239" s="25"/>
      <c r="Y239" s="25"/>
      <c r="Z239" s="25"/>
      <c r="AA239" s="25"/>
      <c r="AB239" s="25"/>
      <c r="AC239" s="25"/>
      <c r="AD239" s="25"/>
    </row>
    <row r="240" spans="1:30" ht="15.75" customHeight="1">
      <c r="A240" s="25"/>
      <c r="B240" s="25"/>
      <c r="C240" s="25"/>
      <c r="D240" s="25"/>
      <c r="E240" s="25"/>
      <c r="F240" s="25"/>
      <c r="G240" s="25"/>
      <c r="H240" s="25"/>
      <c r="I240" s="40"/>
      <c r="J240" s="25"/>
      <c r="K240" s="25"/>
      <c r="L240" s="25"/>
      <c r="M240" s="25"/>
      <c r="N240" s="25"/>
      <c r="O240" s="25"/>
      <c r="P240" s="25"/>
      <c r="Q240" s="25"/>
      <c r="R240" s="25"/>
      <c r="S240" s="25"/>
      <c r="T240" s="25"/>
      <c r="U240" s="25"/>
      <c r="V240" s="25"/>
      <c r="W240" s="25"/>
      <c r="X240" s="25"/>
      <c r="Y240" s="25"/>
      <c r="Z240" s="25"/>
      <c r="AA240" s="25"/>
      <c r="AB240" s="25"/>
      <c r="AC240" s="25"/>
      <c r="AD240" s="25"/>
    </row>
    <row r="241" spans="1:30" ht="15.75" customHeight="1">
      <c r="A241" s="25"/>
      <c r="B241" s="25"/>
      <c r="C241" s="25"/>
      <c r="D241" s="25"/>
      <c r="E241" s="25"/>
      <c r="F241" s="25"/>
      <c r="G241" s="25"/>
      <c r="H241" s="25"/>
      <c r="I241" s="40"/>
      <c r="J241" s="25"/>
      <c r="K241" s="25"/>
      <c r="L241" s="25"/>
      <c r="M241" s="25"/>
      <c r="N241" s="25"/>
      <c r="O241" s="25"/>
      <c r="P241" s="25"/>
      <c r="Q241" s="25"/>
      <c r="R241" s="25"/>
      <c r="S241" s="25"/>
      <c r="T241" s="25"/>
      <c r="U241" s="25"/>
      <c r="V241" s="25"/>
      <c r="W241" s="25"/>
      <c r="X241" s="25"/>
      <c r="Y241" s="25"/>
      <c r="Z241" s="25"/>
      <c r="AA241" s="25"/>
      <c r="AB241" s="25"/>
      <c r="AC241" s="25"/>
      <c r="AD241" s="25"/>
    </row>
    <row r="242" spans="1:30" ht="15.75" customHeight="1">
      <c r="A242" s="25"/>
      <c r="B242" s="25"/>
      <c r="C242" s="25"/>
      <c r="D242" s="25"/>
      <c r="E242" s="25"/>
      <c r="F242" s="25"/>
      <c r="G242" s="25"/>
      <c r="H242" s="25"/>
      <c r="I242" s="40"/>
      <c r="J242" s="25"/>
      <c r="K242" s="25"/>
      <c r="L242" s="25"/>
      <c r="M242" s="25"/>
      <c r="N242" s="25"/>
      <c r="O242" s="25"/>
      <c r="P242" s="25"/>
      <c r="Q242" s="25"/>
      <c r="R242" s="25"/>
      <c r="S242" s="25"/>
      <c r="T242" s="25"/>
      <c r="U242" s="25"/>
      <c r="V242" s="25"/>
      <c r="W242" s="25"/>
      <c r="X242" s="25"/>
      <c r="Y242" s="25"/>
      <c r="Z242" s="25"/>
      <c r="AA242" s="25"/>
      <c r="AB242" s="25"/>
      <c r="AC242" s="25"/>
      <c r="AD242" s="25"/>
    </row>
    <row r="243" spans="1:30" ht="15.75" customHeight="1">
      <c r="A243" s="25"/>
      <c r="B243" s="25"/>
      <c r="C243" s="25"/>
      <c r="D243" s="25"/>
      <c r="E243" s="25"/>
      <c r="F243" s="25"/>
      <c r="G243" s="25"/>
      <c r="H243" s="25"/>
      <c r="I243" s="40"/>
      <c r="J243" s="25"/>
      <c r="K243" s="25"/>
      <c r="L243" s="25"/>
      <c r="M243" s="25"/>
      <c r="N243" s="25"/>
      <c r="O243" s="25"/>
      <c r="P243" s="25"/>
      <c r="Q243" s="25"/>
      <c r="R243" s="25"/>
      <c r="S243" s="25"/>
      <c r="T243" s="25"/>
      <c r="U243" s="25"/>
      <c r="V243" s="25"/>
      <c r="W243" s="25"/>
      <c r="X243" s="25"/>
      <c r="Y243" s="25"/>
      <c r="Z243" s="25"/>
      <c r="AA243" s="25"/>
      <c r="AB243" s="25"/>
      <c r="AC243" s="25"/>
      <c r="AD243" s="25"/>
    </row>
    <row r="244" spans="1:30" ht="15.75" customHeight="1">
      <c r="A244" s="25"/>
      <c r="B244" s="25"/>
      <c r="C244" s="25"/>
      <c r="D244" s="25"/>
      <c r="E244" s="25"/>
      <c r="F244" s="25"/>
      <c r="G244" s="25"/>
      <c r="H244" s="25"/>
      <c r="I244" s="40"/>
      <c r="J244" s="25"/>
      <c r="K244" s="25"/>
      <c r="L244" s="25"/>
      <c r="M244" s="25"/>
      <c r="N244" s="25"/>
      <c r="O244" s="25"/>
      <c r="P244" s="25"/>
      <c r="Q244" s="25"/>
      <c r="R244" s="25"/>
      <c r="S244" s="25"/>
      <c r="T244" s="25"/>
      <c r="U244" s="25"/>
      <c r="V244" s="25"/>
      <c r="W244" s="25"/>
      <c r="X244" s="25"/>
      <c r="Y244" s="25"/>
      <c r="Z244" s="25"/>
      <c r="AA244" s="25"/>
      <c r="AB244" s="25"/>
      <c r="AC244" s="25"/>
      <c r="AD244" s="25"/>
    </row>
    <row r="245" spans="1:30" ht="15.75" customHeight="1">
      <c r="A245" s="25"/>
      <c r="B245" s="25"/>
      <c r="C245" s="25"/>
      <c r="D245" s="25"/>
      <c r="E245" s="25"/>
      <c r="F245" s="25"/>
      <c r="G245" s="25"/>
      <c r="H245" s="25"/>
      <c r="I245" s="40"/>
      <c r="J245" s="25"/>
      <c r="K245" s="25"/>
      <c r="L245" s="25"/>
      <c r="M245" s="25"/>
      <c r="N245" s="25"/>
      <c r="O245" s="25"/>
      <c r="P245" s="25"/>
      <c r="Q245" s="25"/>
      <c r="R245" s="25"/>
      <c r="S245" s="25"/>
      <c r="T245" s="25"/>
      <c r="U245" s="25"/>
      <c r="V245" s="25"/>
      <c r="W245" s="25"/>
      <c r="X245" s="25"/>
      <c r="Y245" s="25"/>
      <c r="Z245" s="25"/>
      <c r="AA245" s="25"/>
      <c r="AB245" s="25"/>
      <c r="AC245" s="25"/>
      <c r="AD245" s="25"/>
    </row>
    <row r="246" spans="1:30" ht="15.75" customHeight="1">
      <c r="A246" s="25"/>
      <c r="B246" s="25"/>
      <c r="C246" s="25"/>
      <c r="D246" s="25"/>
      <c r="E246" s="25"/>
      <c r="F246" s="25"/>
      <c r="G246" s="25"/>
      <c r="H246" s="25"/>
      <c r="I246" s="40"/>
      <c r="J246" s="25"/>
      <c r="K246" s="25"/>
      <c r="L246" s="25"/>
      <c r="M246" s="25"/>
      <c r="N246" s="25"/>
      <c r="O246" s="25"/>
      <c r="P246" s="25"/>
      <c r="Q246" s="25"/>
      <c r="R246" s="25"/>
      <c r="S246" s="25"/>
      <c r="T246" s="25"/>
      <c r="U246" s="25"/>
      <c r="V246" s="25"/>
      <c r="W246" s="25"/>
      <c r="X246" s="25"/>
      <c r="Y246" s="25"/>
      <c r="Z246" s="25"/>
      <c r="AA246" s="25"/>
      <c r="AB246" s="25"/>
      <c r="AC246" s="25"/>
      <c r="AD246" s="25"/>
    </row>
    <row r="247" spans="1:30" ht="15.75" customHeight="1">
      <c r="A247" s="25"/>
      <c r="B247" s="25"/>
      <c r="C247" s="25"/>
      <c r="D247" s="25"/>
      <c r="E247" s="25"/>
      <c r="F247" s="25"/>
      <c r="G247" s="25"/>
      <c r="H247" s="25"/>
      <c r="I247" s="40"/>
      <c r="J247" s="25"/>
      <c r="K247" s="25"/>
      <c r="L247" s="25"/>
      <c r="M247" s="25"/>
      <c r="N247" s="25"/>
      <c r="O247" s="25"/>
      <c r="P247" s="25"/>
      <c r="Q247" s="25"/>
      <c r="R247" s="25"/>
      <c r="S247" s="25"/>
      <c r="T247" s="25"/>
      <c r="U247" s="25"/>
      <c r="V247" s="25"/>
      <c r="W247" s="25"/>
      <c r="X247" s="25"/>
      <c r="Y247" s="25"/>
      <c r="Z247" s="25"/>
      <c r="AA247" s="25"/>
      <c r="AB247" s="25"/>
      <c r="AC247" s="25"/>
      <c r="AD247" s="25"/>
    </row>
    <row r="248" spans="1:30" ht="15.75" customHeight="1">
      <c r="A248" s="25"/>
      <c r="B248" s="25"/>
      <c r="C248" s="25"/>
      <c r="D248" s="25"/>
      <c r="E248" s="25"/>
      <c r="F248" s="25"/>
      <c r="G248" s="25"/>
      <c r="H248" s="25"/>
      <c r="I248" s="40"/>
      <c r="J248" s="25"/>
      <c r="K248" s="25"/>
      <c r="L248" s="25"/>
      <c r="M248" s="25"/>
      <c r="N248" s="25"/>
      <c r="O248" s="25"/>
      <c r="P248" s="25"/>
      <c r="Q248" s="25"/>
      <c r="R248" s="25"/>
      <c r="S248" s="25"/>
      <c r="T248" s="25"/>
      <c r="U248" s="25"/>
      <c r="V248" s="25"/>
      <c r="W248" s="25"/>
      <c r="X248" s="25"/>
      <c r="Y248" s="25"/>
      <c r="Z248" s="25"/>
      <c r="AA248" s="25"/>
      <c r="AB248" s="25"/>
      <c r="AC248" s="25"/>
      <c r="AD248" s="25"/>
    </row>
    <row r="249" spans="1:30" ht="15.75" customHeight="1">
      <c r="A249" s="25"/>
      <c r="B249" s="25"/>
      <c r="C249" s="25"/>
      <c r="D249" s="25"/>
      <c r="E249" s="25"/>
      <c r="F249" s="25"/>
      <c r="G249" s="25"/>
      <c r="H249" s="25"/>
      <c r="I249" s="40"/>
      <c r="J249" s="25"/>
      <c r="K249" s="25"/>
      <c r="L249" s="25"/>
      <c r="M249" s="25"/>
      <c r="N249" s="25"/>
      <c r="O249" s="25"/>
      <c r="P249" s="25"/>
      <c r="Q249" s="25"/>
      <c r="R249" s="25"/>
      <c r="S249" s="25"/>
      <c r="T249" s="25"/>
      <c r="U249" s="25"/>
      <c r="V249" s="25"/>
      <c r="W249" s="25"/>
      <c r="X249" s="25"/>
      <c r="Y249" s="25"/>
      <c r="Z249" s="25"/>
      <c r="AA249" s="25"/>
      <c r="AB249" s="25"/>
      <c r="AC249" s="25"/>
      <c r="AD249" s="25"/>
    </row>
    <row r="250" spans="1:30" ht="15.75" customHeight="1">
      <c r="A250" s="25"/>
      <c r="B250" s="25"/>
      <c r="C250" s="25"/>
      <c r="D250" s="25"/>
      <c r="E250" s="25"/>
      <c r="F250" s="25"/>
      <c r="G250" s="25"/>
      <c r="H250" s="25"/>
      <c r="I250" s="40"/>
      <c r="J250" s="25"/>
      <c r="K250" s="25"/>
      <c r="L250" s="25"/>
      <c r="M250" s="25"/>
      <c r="N250" s="25"/>
      <c r="O250" s="25"/>
      <c r="P250" s="25"/>
      <c r="Q250" s="25"/>
      <c r="R250" s="25"/>
      <c r="S250" s="25"/>
      <c r="T250" s="25"/>
      <c r="U250" s="25"/>
      <c r="V250" s="25"/>
      <c r="W250" s="25"/>
      <c r="X250" s="25"/>
      <c r="Y250" s="25"/>
      <c r="Z250" s="25"/>
      <c r="AA250" s="25"/>
      <c r="AB250" s="25"/>
      <c r="AC250" s="25"/>
      <c r="AD250" s="25"/>
    </row>
    <row r="251" spans="1:30" ht="15.75" customHeight="1">
      <c r="A251" s="25"/>
      <c r="B251" s="25"/>
      <c r="C251" s="25"/>
      <c r="D251" s="25"/>
      <c r="E251" s="25"/>
      <c r="F251" s="25"/>
      <c r="G251" s="25"/>
      <c r="H251" s="25"/>
      <c r="I251" s="40"/>
      <c r="J251" s="25"/>
      <c r="K251" s="25"/>
      <c r="L251" s="25"/>
      <c r="M251" s="25"/>
      <c r="N251" s="25"/>
      <c r="O251" s="25"/>
      <c r="P251" s="25"/>
      <c r="Q251" s="25"/>
      <c r="R251" s="25"/>
      <c r="S251" s="25"/>
      <c r="T251" s="25"/>
      <c r="U251" s="25"/>
      <c r="V251" s="25"/>
      <c r="W251" s="25"/>
      <c r="X251" s="25"/>
      <c r="Y251" s="25"/>
      <c r="Z251" s="25"/>
      <c r="AA251" s="25"/>
      <c r="AB251" s="25"/>
      <c r="AC251" s="25"/>
      <c r="AD251" s="25"/>
    </row>
    <row r="252" spans="1:30" ht="15.75" customHeight="1">
      <c r="A252" s="25"/>
      <c r="B252" s="25"/>
      <c r="C252" s="25"/>
      <c r="D252" s="25"/>
      <c r="E252" s="25"/>
      <c r="F252" s="25"/>
      <c r="G252" s="25"/>
      <c r="H252" s="25"/>
      <c r="I252" s="40"/>
      <c r="J252" s="25"/>
      <c r="K252" s="25"/>
      <c r="L252" s="25"/>
      <c r="M252" s="25"/>
      <c r="N252" s="25"/>
      <c r="O252" s="25"/>
      <c r="P252" s="25"/>
      <c r="Q252" s="25"/>
      <c r="R252" s="25"/>
      <c r="S252" s="25"/>
      <c r="T252" s="25"/>
      <c r="U252" s="25"/>
      <c r="V252" s="25"/>
      <c r="W252" s="25"/>
      <c r="X252" s="25"/>
      <c r="Y252" s="25"/>
      <c r="Z252" s="25"/>
      <c r="AA252" s="25"/>
      <c r="AB252" s="25"/>
      <c r="AC252" s="25"/>
      <c r="AD252" s="25"/>
    </row>
    <row r="253" spans="1:30" ht="15.75" customHeight="1">
      <c r="A253" s="25"/>
      <c r="B253" s="25"/>
      <c r="C253" s="25"/>
      <c r="D253" s="25"/>
      <c r="E253" s="25"/>
      <c r="F253" s="25"/>
      <c r="G253" s="25"/>
      <c r="H253" s="25"/>
      <c r="I253" s="40"/>
      <c r="J253" s="25"/>
      <c r="K253" s="25"/>
      <c r="L253" s="25"/>
      <c r="M253" s="25"/>
      <c r="N253" s="25"/>
      <c r="O253" s="25"/>
      <c r="P253" s="25"/>
      <c r="Q253" s="25"/>
      <c r="R253" s="25"/>
      <c r="S253" s="25"/>
      <c r="T253" s="25"/>
      <c r="U253" s="25"/>
      <c r="V253" s="25"/>
      <c r="W253" s="25"/>
      <c r="X253" s="25"/>
      <c r="Y253" s="25"/>
      <c r="Z253" s="25"/>
      <c r="AA253" s="25"/>
      <c r="AB253" s="25"/>
      <c r="AC253" s="25"/>
      <c r="AD253" s="25"/>
    </row>
    <row r="254" spans="1:30" ht="15.75" customHeight="1">
      <c r="A254" s="25"/>
      <c r="B254" s="25"/>
      <c r="C254" s="25"/>
      <c r="D254" s="25"/>
      <c r="E254" s="25"/>
      <c r="F254" s="25"/>
      <c r="G254" s="25"/>
      <c r="H254" s="25"/>
      <c r="I254" s="40"/>
      <c r="J254" s="25"/>
      <c r="K254" s="25"/>
      <c r="L254" s="25"/>
      <c r="M254" s="25"/>
      <c r="N254" s="25"/>
      <c r="O254" s="25"/>
      <c r="P254" s="25"/>
      <c r="Q254" s="25"/>
      <c r="R254" s="25"/>
      <c r="S254" s="25"/>
      <c r="T254" s="25"/>
      <c r="U254" s="25"/>
      <c r="V254" s="25"/>
      <c r="W254" s="25"/>
      <c r="X254" s="25"/>
      <c r="Y254" s="25"/>
      <c r="Z254" s="25"/>
      <c r="AA254" s="25"/>
      <c r="AB254" s="25"/>
      <c r="AC254" s="25"/>
      <c r="AD254" s="25"/>
    </row>
    <row r="255" spans="1:30" ht="15.75" customHeight="1">
      <c r="A255" s="25"/>
      <c r="B255" s="25"/>
      <c r="C255" s="25"/>
      <c r="D255" s="25"/>
      <c r="E255" s="25"/>
      <c r="F255" s="25"/>
      <c r="G255" s="25"/>
      <c r="H255" s="25"/>
      <c r="I255" s="40"/>
      <c r="J255" s="25"/>
      <c r="K255" s="25"/>
      <c r="L255" s="25"/>
      <c r="M255" s="25"/>
      <c r="N255" s="25"/>
      <c r="O255" s="25"/>
      <c r="P255" s="25"/>
      <c r="Q255" s="25"/>
      <c r="R255" s="25"/>
      <c r="S255" s="25"/>
      <c r="T255" s="25"/>
      <c r="U255" s="25"/>
      <c r="V255" s="25"/>
      <c r="W255" s="25"/>
      <c r="X255" s="25"/>
      <c r="Y255" s="25"/>
      <c r="Z255" s="25"/>
      <c r="AA255" s="25"/>
      <c r="AB255" s="25"/>
      <c r="AC255" s="25"/>
      <c r="AD255" s="25"/>
    </row>
    <row r="256" spans="1:30" ht="15.75" customHeight="1">
      <c r="A256" s="25"/>
      <c r="B256" s="25"/>
      <c r="C256" s="25"/>
      <c r="D256" s="25"/>
      <c r="E256" s="25"/>
      <c r="F256" s="25"/>
      <c r="G256" s="25"/>
      <c r="H256" s="25"/>
      <c r="I256" s="40"/>
      <c r="J256" s="25"/>
      <c r="K256" s="25"/>
      <c r="L256" s="25"/>
      <c r="M256" s="25"/>
      <c r="N256" s="25"/>
      <c r="O256" s="25"/>
      <c r="P256" s="25"/>
      <c r="Q256" s="25"/>
      <c r="R256" s="25"/>
      <c r="S256" s="25"/>
      <c r="T256" s="25"/>
      <c r="U256" s="25"/>
      <c r="V256" s="25"/>
      <c r="W256" s="25"/>
      <c r="X256" s="25"/>
      <c r="Y256" s="25"/>
      <c r="Z256" s="25"/>
      <c r="AA256" s="25"/>
      <c r="AB256" s="25"/>
      <c r="AC256" s="25"/>
      <c r="AD256" s="25"/>
    </row>
    <row r="257" spans="1:30" ht="15.75" customHeight="1">
      <c r="A257" s="25"/>
      <c r="B257" s="25"/>
      <c r="C257" s="25"/>
      <c r="D257" s="25"/>
      <c r="E257" s="25"/>
      <c r="F257" s="25"/>
      <c r="G257" s="25"/>
      <c r="H257" s="25"/>
      <c r="I257" s="40"/>
      <c r="J257" s="25"/>
      <c r="K257" s="25"/>
      <c r="L257" s="25"/>
      <c r="M257" s="25"/>
      <c r="N257" s="25"/>
      <c r="O257" s="25"/>
      <c r="P257" s="25"/>
      <c r="Q257" s="25"/>
      <c r="R257" s="25"/>
      <c r="S257" s="25"/>
      <c r="T257" s="25"/>
      <c r="U257" s="25"/>
      <c r="V257" s="25"/>
      <c r="W257" s="25"/>
      <c r="X257" s="25"/>
      <c r="Y257" s="25"/>
      <c r="Z257" s="25"/>
      <c r="AA257" s="25"/>
      <c r="AB257" s="25"/>
      <c r="AC257" s="25"/>
      <c r="AD257" s="25"/>
    </row>
    <row r="258" spans="1:30" ht="15.75" customHeight="1">
      <c r="A258" s="25"/>
      <c r="B258" s="25"/>
      <c r="C258" s="25"/>
      <c r="D258" s="25"/>
      <c r="E258" s="25"/>
      <c r="F258" s="25"/>
      <c r="G258" s="25"/>
      <c r="H258" s="25"/>
      <c r="I258" s="40"/>
      <c r="J258" s="25"/>
      <c r="K258" s="25"/>
      <c r="L258" s="25"/>
      <c r="M258" s="25"/>
      <c r="N258" s="25"/>
      <c r="O258" s="25"/>
      <c r="P258" s="25"/>
      <c r="Q258" s="25"/>
      <c r="R258" s="25"/>
      <c r="S258" s="25"/>
      <c r="T258" s="25"/>
      <c r="U258" s="25"/>
      <c r="V258" s="25"/>
      <c r="W258" s="25"/>
      <c r="X258" s="25"/>
      <c r="Y258" s="25"/>
      <c r="Z258" s="25"/>
      <c r="AA258" s="25"/>
      <c r="AB258" s="25"/>
      <c r="AC258" s="25"/>
      <c r="AD258" s="25"/>
    </row>
    <row r="259" spans="1:30" ht="15.75" customHeight="1">
      <c r="A259" s="25"/>
      <c r="B259" s="25"/>
      <c r="C259" s="25"/>
      <c r="D259" s="25"/>
      <c r="E259" s="25"/>
      <c r="F259" s="25"/>
      <c r="G259" s="25"/>
      <c r="H259" s="25"/>
      <c r="I259" s="40"/>
      <c r="J259" s="25"/>
      <c r="K259" s="25"/>
      <c r="L259" s="25"/>
      <c r="M259" s="25"/>
      <c r="N259" s="25"/>
      <c r="O259" s="25"/>
      <c r="P259" s="25"/>
      <c r="Q259" s="25"/>
      <c r="R259" s="25"/>
      <c r="S259" s="25"/>
      <c r="T259" s="25"/>
      <c r="U259" s="25"/>
      <c r="V259" s="25"/>
      <c r="W259" s="25"/>
      <c r="X259" s="25"/>
      <c r="Y259" s="25"/>
      <c r="Z259" s="25"/>
      <c r="AA259" s="25"/>
      <c r="AB259" s="25"/>
      <c r="AC259" s="25"/>
      <c r="AD259" s="25"/>
    </row>
    <row r="260" spans="1:30" ht="15.75" customHeight="1">
      <c r="A260" s="25"/>
      <c r="B260" s="25"/>
      <c r="C260" s="25"/>
      <c r="D260" s="25"/>
      <c r="E260" s="25"/>
      <c r="F260" s="25"/>
      <c r="G260" s="25"/>
      <c r="H260" s="25"/>
      <c r="I260" s="40"/>
      <c r="J260" s="25"/>
      <c r="K260" s="25"/>
      <c r="L260" s="25"/>
      <c r="M260" s="25"/>
      <c r="N260" s="25"/>
      <c r="O260" s="25"/>
      <c r="P260" s="25"/>
      <c r="Q260" s="25"/>
      <c r="R260" s="25"/>
      <c r="S260" s="25"/>
      <c r="T260" s="25"/>
      <c r="U260" s="25"/>
      <c r="V260" s="25"/>
      <c r="W260" s="25"/>
      <c r="X260" s="25"/>
      <c r="Y260" s="25"/>
      <c r="Z260" s="25"/>
      <c r="AA260" s="25"/>
      <c r="AB260" s="25"/>
      <c r="AC260" s="25"/>
      <c r="AD260" s="25"/>
    </row>
    <row r="261" spans="1:30" ht="15.75" customHeight="1">
      <c r="A261" s="25"/>
      <c r="B261" s="25"/>
      <c r="C261" s="25"/>
      <c r="D261" s="25"/>
      <c r="E261" s="25"/>
      <c r="F261" s="25"/>
      <c r="G261" s="25"/>
      <c r="H261" s="25"/>
      <c r="I261" s="40"/>
      <c r="J261" s="25"/>
      <c r="K261" s="25"/>
      <c r="L261" s="25"/>
      <c r="M261" s="25"/>
      <c r="N261" s="25"/>
      <c r="O261" s="25"/>
      <c r="P261" s="25"/>
      <c r="Q261" s="25"/>
      <c r="R261" s="25"/>
      <c r="S261" s="25"/>
      <c r="T261" s="25"/>
      <c r="U261" s="25"/>
      <c r="V261" s="25"/>
      <c r="W261" s="25"/>
      <c r="X261" s="25"/>
      <c r="Y261" s="25"/>
      <c r="Z261" s="25"/>
      <c r="AA261" s="25"/>
      <c r="AB261" s="25"/>
      <c r="AC261" s="25"/>
      <c r="AD261" s="25"/>
    </row>
    <row r="262" spans="1:30" ht="15.75" customHeight="1">
      <c r="A262" s="25"/>
      <c r="B262" s="25"/>
      <c r="C262" s="25"/>
      <c r="D262" s="25"/>
      <c r="E262" s="25"/>
      <c r="F262" s="25"/>
      <c r="G262" s="25"/>
      <c r="H262" s="25"/>
      <c r="I262" s="40"/>
      <c r="J262" s="25"/>
      <c r="K262" s="25"/>
      <c r="L262" s="25"/>
      <c r="M262" s="25"/>
      <c r="N262" s="25"/>
      <c r="O262" s="25"/>
      <c r="P262" s="25"/>
      <c r="Q262" s="25"/>
      <c r="R262" s="25"/>
      <c r="S262" s="25"/>
      <c r="T262" s="25"/>
      <c r="U262" s="25"/>
      <c r="V262" s="25"/>
      <c r="W262" s="25"/>
      <c r="X262" s="25"/>
      <c r="Y262" s="25"/>
      <c r="Z262" s="25"/>
      <c r="AA262" s="25"/>
      <c r="AB262" s="25"/>
      <c r="AC262" s="25"/>
      <c r="AD262" s="25"/>
    </row>
    <row r="263" spans="1:30" ht="15.75" customHeight="1">
      <c r="A263" s="25"/>
      <c r="B263" s="25"/>
      <c r="C263" s="25"/>
      <c r="D263" s="25"/>
      <c r="E263" s="25"/>
      <c r="F263" s="25"/>
      <c r="G263" s="25"/>
      <c r="H263" s="25"/>
      <c r="I263" s="40"/>
      <c r="J263" s="25"/>
      <c r="K263" s="25"/>
      <c r="L263" s="25"/>
      <c r="M263" s="25"/>
      <c r="N263" s="25"/>
      <c r="O263" s="25"/>
      <c r="P263" s="25"/>
      <c r="Q263" s="25"/>
      <c r="R263" s="25"/>
      <c r="S263" s="25"/>
      <c r="T263" s="25"/>
      <c r="U263" s="25"/>
      <c r="V263" s="25"/>
      <c r="W263" s="25"/>
      <c r="X263" s="25"/>
      <c r="Y263" s="25"/>
      <c r="Z263" s="25"/>
      <c r="AA263" s="25"/>
      <c r="AB263" s="25"/>
      <c r="AC263" s="25"/>
      <c r="AD263" s="25"/>
    </row>
    <row r="264" spans="1:30" ht="15.75" customHeight="1">
      <c r="A264" s="25"/>
      <c r="B264" s="25"/>
      <c r="C264" s="25"/>
      <c r="D264" s="25"/>
      <c r="E264" s="25"/>
      <c r="F264" s="25"/>
      <c r="G264" s="25"/>
      <c r="H264" s="25"/>
      <c r="I264" s="40"/>
      <c r="J264" s="25"/>
      <c r="K264" s="25"/>
      <c r="L264" s="25"/>
      <c r="M264" s="25"/>
      <c r="N264" s="25"/>
      <c r="O264" s="25"/>
      <c r="P264" s="25"/>
      <c r="Q264" s="25"/>
      <c r="R264" s="25"/>
      <c r="S264" s="25"/>
      <c r="T264" s="25"/>
      <c r="U264" s="25"/>
      <c r="V264" s="25"/>
      <c r="W264" s="25"/>
      <c r="X264" s="25"/>
      <c r="Y264" s="25"/>
      <c r="Z264" s="25"/>
      <c r="AA264" s="25"/>
      <c r="AB264" s="25"/>
      <c r="AC264" s="25"/>
      <c r="AD264" s="25"/>
    </row>
    <row r="265" spans="1:30" ht="15.75" customHeight="1">
      <c r="A265" s="25"/>
      <c r="B265" s="25"/>
      <c r="C265" s="25"/>
      <c r="D265" s="25"/>
      <c r="E265" s="25"/>
      <c r="F265" s="25"/>
      <c r="G265" s="25"/>
      <c r="H265" s="25"/>
      <c r="I265" s="40"/>
      <c r="J265" s="25"/>
      <c r="K265" s="25"/>
      <c r="L265" s="25"/>
      <c r="M265" s="25"/>
      <c r="N265" s="25"/>
      <c r="O265" s="25"/>
      <c r="P265" s="25"/>
      <c r="Q265" s="25"/>
      <c r="R265" s="25"/>
      <c r="S265" s="25"/>
      <c r="T265" s="25"/>
      <c r="U265" s="25"/>
      <c r="V265" s="25"/>
      <c r="W265" s="25"/>
      <c r="X265" s="25"/>
      <c r="Y265" s="25"/>
      <c r="Z265" s="25"/>
      <c r="AA265" s="25"/>
      <c r="AB265" s="25"/>
      <c r="AC265" s="25"/>
      <c r="AD265" s="25"/>
    </row>
    <row r="266" spans="1:30" ht="15.75" customHeight="1">
      <c r="A266" s="25"/>
      <c r="B266" s="25"/>
      <c r="C266" s="25"/>
      <c r="D266" s="25"/>
      <c r="E266" s="25"/>
      <c r="F266" s="25"/>
      <c r="G266" s="25"/>
      <c r="H266" s="25"/>
      <c r="I266" s="40"/>
      <c r="J266" s="25"/>
      <c r="K266" s="25"/>
      <c r="L266" s="25"/>
      <c r="M266" s="25"/>
      <c r="N266" s="25"/>
      <c r="O266" s="25"/>
      <c r="P266" s="25"/>
      <c r="Q266" s="25"/>
      <c r="R266" s="25"/>
      <c r="S266" s="25"/>
      <c r="T266" s="25"/>
      <c r="U266" s="25"/>
      <c r="V266" s="25"/>
      <c r="W266" s="25"/>
      <c r="X266" s="25"/>
      <c r="Y266" s="25"/>
      <c r="Z266" s="25"/>
      <c r="AA266" s="25"/>
      <c r="AB266" s="25"/>
      <c r="AC266" s="25"/>
      <c r="AD266" s="25"/>
    </row>
    <row r="267" spans="1:30" ht="15.75" customHeight="1">
      <c r="A267" s="25"/>
      <c r="B267" s="25"/>
      <c r="C267" s="25"/>
      <c r="D267" s="25"/>
      <c r="E267" s="25"/>
      <c r="F267" s="25"/>
      <c r="G267" s="25"/>
      <c r="H267" s="25"/>
      <c r="I267" s="40"/>
      <c r="J267" s="25"/>
      <c r="K267" s="25"/>
      <c r="L267" s="25"/>
      <c r="M267" s="25"/>
      <c r="N267" s="25"/>
      <c r="O267" s="25"/>
      <c r="P267" s="25"/>
      <c r="Q267" s="25"/>
      <c r="R267" s="25"/>
      <c r="S267" s="25"/>
      <c r="T267" s="25"/>
      <c r="U267" s="25"/>
      <c r="V267" s="25"/>
      <c r="W267" s="25"/>
      <c r="X267" s="25"/>
      <c r="Y267" s="25"/>
      <c r="Z267" s="25"/>
      <c r="AA267" s="25"/>
      <c r="AB267" s="25"/>
      <c r="AC267" s="25"/>
      <c r="AD267" s="25"/>
    </row>
    <row r="268" spans="1:30" ht="15.75" customHeight="1">
      <c r="A268" s="25"/>
      <c r="B268" s="25"/>
      <c r="C268" s="25"/>
      <c r="D268" s="25"/>
      <c r="E268" s="25"/>
      <c r="F268" s="25"/>
      <c r="G268" s="25"/>
      <c r="H268" s="25"/>
      <c r="I268" s="40"/>
      <c r="J268" s="25"/>
      <c r="K268" s="25"/>
      <c r="L268" s="25"/>
      <c r="M268" s="25"/>
      <c r="N268" s="25"/>
      <c r="O268" s="25"/>
      <c r="P268" s="25"/>
      <c r="Q268" s="25"/>
      <c r="R268" s="25"/>
      <c r="S268" s="25"/>
      <c r="T268" s="25"/>
      <c r="U268" s="25"/>
      <c r="V268" s="25"/>
      <c r="W268" s="25"/>
      <c r="X268" s="25"/>
      <c r="Y268" s="25"/>
      <c r="Z268" s="25"/>
      <c r="AA268" s="25"/>
      <c r="AB268" s="25"/>
      <c r="AC268" s="25"/>
      <c r="AD268" s="25"/>
    </row>
    <row r="269" spans="1:30" ht="15.75" customHeight="1">
      <c r="A269" s="25"/>
      <c r="B269" s="25"/>
      <c r="C269" s="25"/>
      <c r="D269" s="25"/>
      <c r="E269" s="25"/>
      <c r="F269" s="25"/>
      <c r="G269" s="25"/>
      <c r="H269" s="25"/>
      <c r="I269" s="40"/>
      <c r="J269" s="25"/>
      <c r="K269" s="25"/>
      <c r="L269" s="25"/>
      <c r="M269" s="25"/>
      <c r="N269" s="25"/>
      <c r="O269" s="25"/>
      <c r="P269" s="25"/>
      <c r="Q269" s="25"/>
      <c r="R269" s="25"/>
      <c r="S269" s="25"/>
      <c r="T269" s="25"/>
      <c r="U269" s="25"/>
      <c r="V269" s="25"/>
      <c r="W269" s="25"/>
      <c r="X269" s="25"/>
      <c r="Y269" s="25"/>
      <c r="Z269" s="25"/>
      <c r="AA269" s="25"/>
      <c r="AB269" s="25"/>
      <c r="AC269" s="25"/>
      <c r="AD269" s="25"/>
    </row>
    <row r="270" spans="1:30" ht="15.75" customHeight="1">
      <c r="A270" s="25"/>
      <c r="B270" s="25"/>
      <c r="C270" s="25"/>
      <c r="D270" s="25"/>
      <c r="E270" s="25"/>
      <c r="F270" s="25"/>
      <c r="G270" s="25"/>
      <c r="H270" s="25"/>
      <c r="I270" s="40"/>
      <c r="J270" s="25"/>
      <c r="K270" s="25"/>
      <c r="L270" s="25"/>
      <c r="M270" s="25"/>
      <c r="N270" s="25"/>
      <c r="O270" s="25"/>
      <c r="P270" s="25"/>
      <c r="Q270" s="25"/>
      <c r="R270" s="25"/>
      <c r="S270" s="25"/>
      <c r="T270" s="25"/>
      <c r="U270" s="25"/>
      <c r="V270" s="25"/>
      <c r="W270" s="25"/>
      <c r="X270" s="25"/>
      <c r="Y270" s="25"/>
      <c r="Z270" s="25"/>
      <c r="AA270" s="25"/>
      <c r="AB270" s="25"/>
      <c r="AC270" s="25"/>
      <c r="AD270" s="25"/>
    </row>
    <row r="271" spans="1:30" ht="15.75" customHeight="1">
      <c r="A271" s="25"/>
      <c r="B271" s="25"/>
      <c r="C271" s="25"/>
      <c r="D271" s="25"/>
      <c r="E271" s="25"/>
      <c r="F271" s="25"/>
      <c r="G271" s="25"/>
      <c r="H271" s="25"/>
      <c r="I271" s="40"/>
      <c r="J271" s="25"/>
      <c r="K271" s="25"/>
      <c r="L271" s="25"/>
      <c r="M271" s="25"/>
      <c r="N271" s="25"/>
      <c r="O271" s="25"/>
      <c r="P271" s="25"/>
      <c r="Q271" s="25"/>
      <c r="R271" s="25"/>
      <c r="S271" s="25"/>
      <c r="T271" s="25"/>
      <c r="U271" s="25"/>
      <c r="V271" s="25"/>
      <c r="W271" s="25"/>
      <c r="X271" s="25"/>
      <c r="Y271" s="25"/>
      <c r="Z271" s="25"/>
      <c r="AA271" s="25"/>
      <c r="AB271" s="25"/>
      <c r="AC271" s="25"/>
      <c r="AD271" s="25"/>
    </row>
    <row r="272" spans="1:30" ht="15.75" customHeight="1">
      <c r="A272" s="25"/>
      <c r="B272" s="25"/>
      <c r="C272" s="25"/>
      <c r="D272" s="25"/>
      <c r="E272" s="25"/>
      <c r="F272" s="25"/>
      <c r="G272" s="25"/>
      <c r="H272" s="25"/>
      <c r="I272" s="40"/>
      <c r="J272" s="25"/>
      <c r="K272" s="25"/>
      <c r="L272" s="25"/>
      <c r="M272" s="25"/>
      <c r="N272" s="25"/>
      <c r="O272" s="25"/>
      <c r="P272" s="25"/>
      <c r="Q272" s="25"/>
      <c r="R272" s="25"/>
      <c r="S272" s="25"/>
      <c r="T272" s="25"/>
      <c r="U272" s="25"/>
      <c r="V272" s="25"/>
      <c r="W272" s="25"/>
      <c r="X272" s="25"/>
      <c r="Y272" s="25"/>
      <c r="Z272" s="25"/>
      <c r="AA272" s="25"/>
      <c r="AB272" s="25"/>
      <c r="AC272" s="25"/>
      <c r="AD272" s="25"/>
    </row>
    <row r="273" spans="1:30" ht="15.75" customHeight="1">
      <c r="A273" s="25"/>
      <c r="B273" s="25"/>
      <c r="C273" s="25"/>
      <c r="D273" s="25"/>
      <c r="E273" s="25"/>
      <c r="F273" s="25"/>
      <c r="G273" s="25"/>
      <c r="H273" s="25"/>
      <c r="I273" s="40"/>
      <c r="J273" s="25"/>
      <c r="K273" s="25"/>
      <c r="L273" s="25"/>
      <c r="M273" s="25"/>
      <c r="N273" s="25"/>
      <c r="O273" s="25"/>
      <c r="P273" s="25"/>
      <c r="Q273" s="25"/>
      <c r="R273" s="25"/>
      <c r="S273" s="25"/>
      <c r="T273" s="25"/>
      <c r="U273" s="25"/>
      <c r="V273" s="25"/>
      <c r="W273" s="25"/>
      <c r="X273" s="25"/>
      <c r="Y273" s="25"/>
      <c r="Z273" s="25"/>
      <c r="AA273" s="25"/>
      <c r="AB273" s="25"/>
      <c r="AC273" s="25"/>
      <c r="AD273" s="25"/>
    </row>
    <row r="274" spans="1:30" ht="15.75" customHeight="1">
      <c r="A274" s="25"/>
      <c r="B274" s="25"/>
      <c r="C274" s="25"/>
      <c r="D274" s="25"/>
      <c r="E274" s="25"/>
      <c r="F274" s="25"/>
      <c r="G274" s="25"/>
      <c r="H274" s="25"/>
      <c r="I274" s="40"/>
      <c r="J274" s="25"/>
      <c r="K274" s="25"/>
      <c r="L274" s="25"/>
      <c r="M274" s="25"/>
      <c r="N274" s="25"/>
      <c r="O274" s="25"/>
      <c r="P274" s="25"/>
      <c r="Q274" s="25"/>
      <c r="R274" s="25"/>
      <c r="S274" s="25"/>
      <c r="T274" s="25"/>
      <c r="U274" s="25"/>
      <c r="V274" s="25"/>
      <c r="W274" s="25"/>
      <c r="X274" s="25"/>
      <c r="Y274" s="25"/>
      <c r="Z274" s="25"/>
      <c r="AA274" s="25"/>
      <c r="AB274" s="25"/>
      <c r="AC274" s="25"/>
      <c r="AD274" s="25"/>
    </row>
    <row r="275" spans="1:30" ht="15.75" customHeight="1">
      <c r="A275" s="25"/>
      <c r="B275" s="25"/>
      <c r="C275" s="25"/>
      <c r="D275" s="25"/>
      <c r="E275" s="25"/>
      <c r="F275" s="25"/>
      <c r="G275" s="25"/>
      <c r="H275" s="25"/>
      <c r="I275" s="40"/>
      <c r="J275" s="25"/>
      <c r="K275" s="25"/>
      <c r="L275" s="25"/>
      <c r="M275" s="25"/>
      <c r="N275" s="25"/>
      <c r="O275" s="25"/>
      <c r="P275" s="25"/>
      <c r="Q275" s="25"/>
      <c r="R275" s="25"/>
      <c r="S275" s="25"/>
      <c r="T275" s="25"/>
      <c r="U275" s="25"/>
      <c r="V275" s="25"/>
      <c r="W275" s="25"/>
      <c r="X275" s="25"/>
      <c r="Y275" s="25"/>
      <c r="Z275" s="25"/>
      <c r="AA275" s="25"/>
      <c r="AB275" s="25"/>
      <c r="AC275" s="25"/>
      <c r="AD275" s="25"/>
    </row>
    <row r="276" spans="1:30" ht="15.75" customHeight="1">
      <c r="A276" s="25"/>
      <c r="B276" s="25"/>
      <c r="C276" s="25"/>
      <c r="D276" s="25"/>
      <c r="E276" s="25"/>
      <c r="F276" s="25"/>
      <c r="G276" s="25"/>
      <c r="H276" s="25"/>
      <c r="I276" s="40"/>
      <c r="J276" s="25"/>
      <c r="K276" s="25"/>
      <c r="L276" s="25"/>
      <c r="M276" s="25"/>
      <c r="N276" s="25"/>
      <c r="O276" s="25"/>
      <c r="P276" s="25"/>
      <c r="Q276" s="25"/>
      <c r="R276" s="25"/>
      <c r="S276" s="25"/>
      <c r="T276" s="25"/>
      <c r="U276" s="25"/>
      <c r="V276" s="25"/>
      <c r="W276" s="25"/>
      <c r="X276" s="25"/>
      <c r="Y276" s="25"/>
      <c r="Z276" s="25"/>
      <c r="AA276" s="25"/>
      <c r="AB276" s="25"/>
      <c r="AC276" s="25"/>
      <c r="AD276" s="25"/>
    </row>
    <row r="277" spans="1:30" ht="15.75" customHeight="1">
      <c r="A277" s="25"/>
      <c r="B277" s="25"/>
      <c r="C277" s="25"/>
      <c r="D277" s="25"/>
      <c r="E277" s="25"/>
      <c r="F277" s="25"/>
      <c r="G277" s="25"/>
      <c r="H277" s="25"/>
      <c r="I277" s="40"/>
      <c r="J277" s="25"/>
      <c r="K277" s="25"/>
      <c r="L277" s="25"/>
      <c r="M277" s="25"/>
      <c r="N277" s="25"/>
      <c r="O277" s="25"/>
      <c r="P277" s="25"/>
      <c r="Q277" s="25"/>
      <c r="R277" s="25"/>
      <c r="S277" s="25"/>
      <c r="T277" s="25"/>
      <c r="U277" s="25"/>
      <c r="V277" s="25"/>
      <c r="W277" s="25"/>
      <c r="X277" s="25"/>
      <c r="Y277" s="25"/>
      <c r="Z277" s="25"/>
      <c r="AA277" s="25"/>
      <c r="AB277" s="25"/>
      <c r="AC277" s="25"/>
      <c r="AD277" s="25"/>
    </row>
    <row r="278" spans="1:30" ht="15.75" customHeight="1">
      <c r="A278" s="25"/>
      <c r="B278" s="25"/>
      <c r="C278" s="25"/>
      <c r="D278" s="25"/>
      <c r="E278" s="25"/>
      <c r="F278" s="25"/>
      <c r="G278" s="25"/>
      <c r="H278" s="25"/>
      <c r="I278" s="40"/>
      <c r="J278" s="25"/>
      <c r="K278" s="25"/>
      <c r="L278" s="25"/>
      <c r="M278" s="25"/>
      <c r="N278" s="25"/>
      <c r="O278" s="25"/>
      <c r="P278" s="25"/>
      <c r="Q278" s="25"/>
      <c r="R278" s="25"/>
      <c r="S278" s="25"/>
      <c r="T278" s="25"/>
      <c r="U278" s="25"/>
      <c r="V278" s="25"/>
      <c r="W278" s="25"/>
      <c r="X278" s="25"/>
      <c r="Y278" s="25"/>
      <c r="Z278" s="25"/>
      <c r="AA278" s="25"/>
      <c r="AB278" s="25"/>
      <c r="AC278" s="25"/>
      <c r="AD278" s="25"/>
    </row>
    <row r="279" spans="1:30" ht="15.75" customHeight="1">
      <c r="A279" s="25"/>
      <c r="B279" s="25"/>
      <c r="C279" s="25"/>
      <c r="D279" s="25"/>
      <c r="E279" s="25"/>
      <c r="F279" s="25"/>
      <c r="G279" s="25"/>
      <c r="H279" s="25"/>
      <c r="I279" s="40"/>
      <c r="J279" s="25"/>
      <c r="K279" s="25"/>
      <c r="L279" s="25"/>
      <c r="M279" s="25"/>
      <c r="N279" s="25"/>
      <c r="O279" s="25"/>
      <c r="P279" s="25"/>
      <c r="Q279" s="25"/>
      <c r="R279" s="25"/>
      <c r="S279" s="25"/>
      <c r="T279" s="25"/>
      <c r="U279" s="25"/>
      <c r="V279" s="25"/>
      <c r="W279" s="25"/>
      <c r="X279" s="25"/>
      <c r="Y279" s="25"/>
      <c r="Z279" s="25"/>
      <c r="AA279" s="25"/>
      <c r="AB279" s="25"/>
      <c r="AC279" s="25"/>
      <c r="AD279" s="25"/>
    </row>
    <row r="280" spans="1:30" ht="15.75" customHeight="1">
      <c r="A280" s="25"/>
      <c r="B280" s="25"/>
      <c r="C280" s="25"/>
      <c r="D280" s="25"/>
      <c r="E280" s="25"/>
      <c r="F280" s="25"/>
      <c r="G280" s="25"/>
      <c r="H280" s="25"/>
      <c r="I280" s="40"/>
      <c r="J280" s="25"/>
      <c r="K280" s="25"/>
      <c r="L280" s="25"/>
      <c r="M280" s="25"/>
      <c r="N280" s="25"/>
      <c r="O280" s="25"/>
      <c r="P280" s="25"/>
      <c r="Q280" s="25"/>
      <c r="R280" s="25"/>
      <c r="S280" s="25"/>
      <c r="T280" s="25"/>
      <c r="U280" s="25"/>
      <c r="V280" s="25"/>
      <c r="W280" s="25"/>
      <c r="X280" s="25"/>
      <c r="Y280" s="25"/>
      <c r="Z280" s="25"/>
      <c r="AA280" s="25"/>
      <c r="AB280" s="25"/>
      <c r="AC280" s="25"/>
      <c r="AD280" s="25"/>
    </row>
    <row r="281" spans="1:30" ht="15.75" customHeight="1">
      <c r="A281" s="25"/>
      <c r="B281" s="25"/>
      <c r="C281" s="25"/>
      <c r="D281" s="25"/>
      <c r="E281" s="25"/>
      <c r="F281" s="25"/>
      <c r="G281" s="25"/>
      <c r="H281" s="25"/>
      <c r="I281" s="40"/>
      <c r="J281" s="25"/>
      <c r="K281" s="25"/>
      <c r="L281" s="25"/>
      <c r="M281" s="25"/>
      <c r="N281" s="25"/>
      <c r="O281" s="25"/>
      <c r="P281" s="25"/>
      <c r="Q281" s="25"/>
      <c r="R281" s="25"/>
      <c r="S281" s="25"/>
      <c r="T281" s="25"/>
      <c r="U281" s="25"/>
      <c r="V281" s="25"/>
      <c r="W281" s="25"/>
      <c r="X281" s="25"/>
      <c r="Y281" s="25"/>
      <c r="Z281" s="25"/>
      <c r="AA281" s="25"/>
      <c r="AB281" s="25"/>
      <c r="AC281" s="25"/>
      <c r="AD281" s="25"/>
    </row>
    <row r="282" spans="1:30" ht="15.75" customHeight="1">
      <c r="A282" s="25"/>
      <c r="B282" s="25"/>
      <c r="C282" s="25"/>
      <c r="D282" s="25"/>
      <c r="E282" s="25"/>
      <c r="F282" s="25"/>
      <c r="G282" s="25"/>
      <c r="H282" s="25"/>
      <c r="I282" s="40"/>
      <c r="J282" s="25"/>
      <c r="K282" s="25"/>
      <c r="L282" s="25"/>
      <c r="M282" s="25"/>
      <c r="N282" s="25"/>
      <c r="O282" s="25"/>
      <c r="P282" s="25"/>
      <c r="Q282" s="25"/>
      <c r="R282" s="25"/>
      <c r="S282" s="25"/>
      <c r="T282" s="25"/>
      <c r="U282" s="25"/>
      <c r="V282" s="25"/>
      <c r="W282" s="25"/>
      <c r="X282" s="25"/>
      <c r="Y282" s="25"/>
      <c r="Z282" s="25"/>
      <c r="AA282" s="25"/>
      <c r="AB282" s="25"/>
      <c r="AC282" s="25"/>
      <c r="AD282" s="25"/>
    </row>
    <row r="283" spans="1:30" ht="15.75" customHeight="1">
      <c r="A283" s="25"/>
      <c r="B283" s="25"/>
      <c r="C283" s="25"/>
      <c r="D283" s="25"/>
      <c r="E283" s="25"/>
      <c r="F283" s="25"/>
      <c r="G283" s="25"/>
      <c r="H283" s="25"/>
      <c r="I283" s="40"/>
      <c r="J283" s="25"/>
      <c r="K283" s="25"/>
      <c r="L283" s="25"/>
      <c r="M283" s="25"/>
      <c r="N283" s="25"/>
      <c r="O283" s="25"/>
      <c r="P283" s="25"/>
      <c r="Q283" s="25"/>
      <c r="R283" s="25"/>
      <c r="S283" s="25"/>
      <c r="T283" s="25"/>
      <c r="U283" s="25"/>
      <c r="V283" s="25"/>
      <c r="W283" s="25"/>
      <c r="X283" s="25"/>
      <c r="Y283" s="25"/>
      <c r="Z283" s="25"/>
      <c r="AA283" s="25"/>
      <c r="AB283" s="25"/>
      <c r="AC283" s="25"/>
      <c r="AD283" s="25"/>
    </row>
    <row r="284" spans="1:30" ht="15.75" customHeight="1">
      <c r="A284" s="25"/>
      <c r="B284" s="25"/>
      <c r="C284" s="25"/>
      <c r="D284" s="25"/>
      <c r="E284" s="25"/>
      <c r="F284" s="25"/>
      <c r="G284" s="25"/>
      <c r="H284" s="25"/>
      <c r="I284" s="40"/>
      <c r="J284" s="25"/>
      <c r="K284" s="25"/>
      <c r="L284" s="25"/>
      <c r="M284" s="25"/>
      <c r="N284" s="25"/>
      <c r="O284" s="25"/>
      <c r="P284" s="25"/>
      <c r="Q284" s="25"/>
      <c r="R284" s="25"/>
      <c r="S284" s="25"/>
      <c r="T284" s="25"/>
      <c r="U284" s="25"/>
      <c r="V284" s="25"/>
      <c r="W284" s="25"/>
      <c r="X284" s="25"/>
      <c r="Y284" s="25"/>
      <c r="Z284" s="25"/>
      <c r="AA284" s="25"/>
      <c r="AB284" s="25"/>
      <c r="AC284" s="25"/>
      <c r="AD284" s="25"/>
    </row>
    <row r="285" spans="1:30" ht="15.75" customHeight="1">
      <c r="A285" s="25"/>
      <c r="B285" s="25"/>
      <c r="C285" s="25"/>
      <c r="D285" s="25"/>
      <c r="E285" s="25"/>
      <c r="F285" s="25"/>
      <c r="G285" s="25"/>
      <c r="H285" s="25"/>
      <c r="I285" s="40"/>
      <c r="J285" s="25"/>
      <c r="K285" s="25"/>
      <c r="L285" s="25"/>
      <c r="M285" s="25"/>
      <c r="N285" s="25"/>
      <c r="O285" s="25"/>
      <c r="P285" s="25"/>
      <c r="Q285" s="25"/>
      <c r="R285" s="25"/>
      <c r="S285" s="25"/>
      <c r="T285" s="25"/>
      <c r="U285" s="25"/>
      <c r="V285" s="25"/>
      <c r="W285" s="25"/>
      <c r="X285" s="25"/>
      <c r="Y285" s="25"/>
      <c r="Z285" s="25"/>
      <c r="AA285" s="25"/>
      <c r="AB285" s="25"/>
      <c r="AC285" s="25"/>
      <c r="AD285" s="25"/>
    </row>
    <row r="286" spans="1:30" ht="15.75" customHeight="1">
      <c r="A286" s="25"/>
      <c r="B286" s="25"/>
      <c r="C286" s="25"/>
      <c r="D286" s="25"/>
      <c r="E286" s="25"/>
      <c r="F286" s="25"/>
      <c r="G286" s="25"/>
      <c r="H286" s="25"/>
      <c r="I286" s="40"/>
      <c r="J286" s="25"/>
      <c r="K286" s="25"/>
      <c r="L286" s="25"/>
      <c r="M286" s="25"/>
      <c r="N286" s="25"/>
      <c r="O286" s="25"/>
      <c r="P286" s="25"/>
      <c r="Q286" s="25"/>
      <c r="R286" s="25"/>
      <c r="S286" s="25"/>
      <c r="T286" s="25"/>
      <c r="U286" s="25"/>
      <c r="V286" s="25"/>
      <c r="W286" s="25"/>
      <c r="X286" s="25"/>
      <c r="Y286" s="25"/>
      <c r="Z286" s="25"/>
      <c r="AA286" s="25"/>
      <c r="AB286" s="25"/>
      <c r="AC286" s="25"/>
      <c r="AD286" s="25"/>
    </row>
    <row r="287" spans="1:30" ht="15.75" customHeight="1">
      <c r="A287" s="25"/>
      <c r="B287" s="25"/>
      <c r="C287" s="25"/>
      <c r="D287" s="25"/>
      <c r="E287" s="25"/>
      <c r="F287" s="25"/>
      <c r="G287" s="25"/>
      <c r="H287" s="25"/>
      <c r="I287" s="40"/>
      <c r="J287" s="25"/>
      <c r="K287" s="25"/>
      <c r="L287" s="25"/>
      <c r="M287" s="25"/>
      <c r="N287" s="25"/>
      <c r="O287" s="25"/>
      <c r="P287" s="25"/>
      <c r="Q287" s="25"/>
      <c r="R287" s="25"/>
      <c r="S287" s="25"/>
      <c r="T287" s="25"/>
      <c r="U287" s="25"/>
      <c r="V287" s="25"/>
      <c r="W287" s="25"/>
      <c r="X287" s="25"/>
      <c r="Y287" s="25"/>
      <c r="Z287" s="25"/>
      <c r="AA287" s="25"/>
      <c r="AB287" s="25"/>
      <c r="AC287" s="25"/>
      <c r="AD287" s="25"/>
    </row>
    <row r="288" spans="1:30" ht="15.75" customHeight="1">
      <c r="A288" s="25"/>
      <c r="B288" s="25"/>
      <c r="C288" s="25"/>
      <c r="D288" s="25"/>
      <c r="E288" s="25"/>
      <c r="F288" s="25"/>
      <c r="G288" s="25"/>
      <c r="H288" s="25"/>
      <c r="I288" s="40"/>
      <c r="J288" s="25"/>
      <c r="K288" s="25"/>
      <c r="L288" s="25"/>
      <c r="M288" s="25"/>
      <c r="N288" s="25"/>
      <c r="O288" s="25"/>
      <c r="P288" s="25"/>
      <c r="Q288" s="25"/>
      <c r="R288" s="25"/>
      <c r="S288" s="25"/>
      <c r="T288" s="25"/>
      <c r="U288" s="25"/>
      <c r="V288" s="25"/>
      <c r="W288" s="25"/>
      <c r="X288" s="25"/>
      <c r="Y288" s="25"/>
      <c r="Z288" s="25"/>
      <c r="AA288" s="25"/>
      <c r="AB288" s="25"/>
      <c r="AC288" s="25"/>
      <c r="AD288" s="25"/>
    </row>
    <row r="289" spans="1:30" ht="15.75" customHeight="1">
      <c r="A289" s="25"/>
      <c r="B289" s="25"/>
      <c r="C289" s="25"/>
      <c r="D289" s="25"/>
      <c r="E289" s="25"/>
      <c r="F289" s="25"/>
      <c r="G289" s="25"/>
      <c r="H289" s="25"/>
      <c r="I289" s="40"/>
      <c r="J289" s="25"/>
      <c r="K289" s="25"/>
      <c r="L289" s="25"/>
      <c r="M289" s="25"/>
      <c r="N289" s="25"/>
      <c r="O289" s="25"/>
      <c r="P289" s="25"/>
      <c r="Q289" s="25"/>
      <c r="R289" s="25"/>
      <c r="S289" s="25"/>
      <c r="T289" s="25"/>
      <c r="U289" s="25"/>
      <c r="V289" s="25"/>
      <c r="W289" s="25"/>
      <c r="X289" s="25"/>
      <c r="Y289" s="25"/>
      <c r="Z289" s="25"/>
      <c r="AA289" s="25"/>
      <c r="AB289" s="25"/>
      <c r="AC289" s="25"/>
      <c r="AD289" s="25"/>
    </row>
    <row r="290" spans="1:30" ht="15.75" customHeight="1">
      <c r="A290" s="25"/>
      <c r="B290" s="25"/>
      <c r="C290" s="25"/>
      <c r="D290" s="25"/>
      <c r="E290" s="25"/>
      <c r="F290" s="25"/>
      <c r="G290" s="25"/>
      <c r="H290" s="25"/>
      <c r="I290" s="40"/>
      <c r="J290" s="25"/>
      <c r="K290" s="25"/>
      <c r="L290" s="25"/>
      <c r="M290" s="25"/>
      <c r="N290" s="25"/>
      <c r="O290" s="25"/>
      <c r="P290" s="25"/>
      <c r="Q290" s="25"/>
      <c r="R290" s="25"/>
      <c r="S290" s="25"/>
      <c r="T290" s="25"/>
      <c r="U290" s="25"/>
      <c r="V290" s="25"/>
      <c r="W290" s="25"/>
      <c r="X290" s="25"/>
      <c r="Y290" s="25"/>
      <c r="Z290" s="25"/>
      <c r="AA290" s="25"/>
      <c r="AB290" s="25"/>
      <c r="AC290" s="25"/>
      <c r="AD290" s="25"/>
    </row>
    <row r="291" spans="1:30" ht="15.75" customHeight="1">
      <c r="A291" s="25"/>
      <c r="B291" s="25"/>
      <c r="C291" s="25"/>
      <c r="D291" s="25"/>
      <c r="E291" s="25"/>
      <c r="F291" s="25"/>
      <c r="G291" s="25"/>
      <c r="H291" s="25"/>
      <c r="I291" s="40"/>
      <c r="J291" s="25"/>
      <c r="K291" s="25"/>
      <c r="L291" s="25"/>
      <c r="M291" s="25"/>
      <c r="N291" s="25"/>
      <c r="O291" s="25"/>
      <c r="P291" s="25"/>
      <c r="Q291" s="25"/>
      <c r="R291" s="25"/>
      <c r="S291" s="25"/>
      <c r="T291" s="25"/>
      <c r="U291" s="25"/>
      <c r="V291" s="25"/>
      <c r="W291" s="25"/>
      <c r="X291" s="25"/>
      <c r="Y291" s="25"/>
      <c r="Z291" s="25"/>
      <c r="AA291" s="25"/>
      <c r="AB291" s="25"/>
      <c r="AC291" s="25"/>
      <c r="AD291" s="25"/>
    </row>
    <row r="292" spans="1:30" ht="15.75" customHeight="1">
      <c r="A292" s="25"/>
      <c r="B292" s="25"/>
      <c r="C292" s="25"/>
      <c r="D292" s="25"/>
      <c r="E292" s="25"/>
      <c r="F292" s="25"/>
      <c r="G292" s="25"/>
      <c r="H292" s="25"/>
      <c r="I292" s="40"/>
      <c r="J292" s="25"/>
      <c r="K292" s="25"/>
      <c r="L292" s="25"/>
      <c r="M292" s="25"/>
      <c r="N292" s="25"/>
      <c r="O292" s="25"/>
      <c r="P292" s="25"/>
      <c r="Q292" s="25"/>
      <c r="R292" s="25"/>
      <c r="S292" s="25"/>
      <c r="T292" s="25"/>
      <c r="U292" s="25"/>
      <c r="V292" s="25"/>
      <c r="W292" s="25"/>
      <c r="X292" s="25"/>
      <c r="Y292" s="25"/>
      <c r="Z292" s="25"/>
      <c r="AA292" s="25"/>
      <c r="AB292" s="25"/>
      <c r="AC292" s="25"/>
      <c r="AD292" s="25"/>
    </row>
    <row r="293" spans="1:30" ht="15.75" customHeight="1">
      <c r="A293" s="25"/>
      <c r="B293" s="25"/>
      <c r="C293" s="25"/>
      <c r="D293" s="25"/>
      <c r="E293" s="25"/>
      <c r="F293" s="25"/>
      <c r="G293" s="25"/>
      <c r="H293" s="25"/>
      <c r="I293" s="40"/>
      <c r="J293" s="25"/>
      <c r="K293" s="25"/>
      <c r="L293" s="25"/>
      <c r="M293" s="25"/>
      <c r="N293" s="25"/>
      <c r="O293" s="25"/>
      <c r="P293" s="25"/>
      <c r="Q293" s="25"/>
      <c r="R293" s="25"/>
      <c r="S293" s="25"/>
      <c r="T293" s="25"/>
      <c r="U293" s="25"/>
      <c r="V293" s="25"/>
      <c r="W293" s="25"/>
      <c r="X293" s="25"/>
      <c r="Y293" s="25"/>
      <c r="Z293" s="25"/>
      <c r="AA293" s="25"/>
      <c r="AB293" s="25"/>
      <c r="AC293" s="25"/>
      <c r="AD293" s="25"/>
    </row>
    <row r="294" spans="1:30" ht="15.75" customHeight="1">
      <c r="A294" s="25"/>
      <c r="B294" s="25"/>
      <c r="C294" s="25"/>
      <c r="D294" s="25"/>
      <c r="E294" s="25"/>
      <c r="F294" s="25"/>
      <c r="G294" s="25"/>
      <c r="H294" s="25"/>
      <c r="I294" s="40"/>
      <c r="J294" s="25"/>
      <c r="K294" s="25"/>
      <c r="L294" s="25"/>
      <c r="M294" s="25"/>
      <c r="N294" s="25"/>
      <c r="O294" s="25"/>
      <c r="P294" s="25"/>
      <c r="Q294" s="25"/>
      <c r="R294" s="25"/>
      <c r="S294" s="25"/>
      <c r="T294" s="25"/>
      <c r="U294" s="25"/>
      <c r="V294" s="25"/>
      <c r="W294" s="25"/>
      <c r="X294" s="25"/>
      <c r="Y294" s="25"/>
      <c r="Z294" s="25"/>
      <c r="AA294" s="25"/>
      <c r="AB294" s="25"/>
      <c r="AC294" s="25"/>
      <c r="AD294" s="25"/>
    </row>
    <row r="295" spans="1:30" ht="15.75" customHeight="1">
      <c r="A295" s="25"/>
      <c r="B295" s="25"/>
      <c r="C295" s="25"/>
      <c r="D295" s="25"/>
      <c r="E295" s="25"/>
      <c r="F295" s="25"/>
      <c r="G295" s="25"/>
      <c r="H295" s="25"/>
      <c r="I295" s="40"/>
      <c r="J295" s="25"/>
      <c r="K295" s="25"/>
      <c r="L295" s="25"/>
      <c r="M295" s="25"/>
      <c r="N295" s="25"/>
      <c r="O295" s="25"/>
      <c r="P295" s="25"/>
      <c r="Q295" s="25"/>
      <c r="R295" s="25"/>
      <c r="S295" s="25"/>
      <c r="T295" s="25"/>
      <c r="U295" s="25"/>
      <c r="V295" s="25"/>
      <c r="W295" s="25"/>
      <c r="X295" s="25"/>
      <c r="Y295" s="25"/>
      <c r="Z295" s="25"/>
      <c r="AA295" s="25"/>
      <c r="AB295" s="25"/>
      <c r="AC295" s="25"/>
      <c r="AD295" s="25"/>
    </row>
    <row r="296" spans="1:30" ht="15.75" customHeight="1">
      <c r="A296" s="25"/>
      <c r="B296" s="25"/>
      <c r="C296" s="25"/>
      <c r="D296" s="25"/>
      <c r="E296" s="25"/>
      <c r="F296" s="25"/>
      <c r="G296" s="25"/>
      <c r="H296" s="25"/>
      <c r="I296" s="40"/>
      <c r="J296" s="25"/>
      <c r="K296" s="25"/>
      <c r="L296" s="25"/>
      <c r="M296" s="25"/>
      <c r="N296" s="25"/>
      <c r="O296" s="25"/>
      <c r="P296" s="25"/>
      <c r="Q296" s="25"/>
      <c r="R296" s="25"/>
      <c r="S296" s="25"/>
      <c r="T296" s="25"/>
      <c r="U296" s="25"/>
      <c r="V296" s="25"/>
      <c r="W296" s="25"/>
      <c r="X296" s="25"/>
      <c r="Y296" s="25"/>
      <c r="Z296" s="25"/>
      <c r="AA296" s="25"/>
      <c r="AB296" s="25"/>
      <c r="AC296" s="25"/>
      <c r="AD296" s="25"/>
    </row>
    <row r="297" spans="1:30" ht="15.75" customHeight="1">
      <c r="A297" s="25"/>
      <c r="B297" s="25"/>
      <c r="C297" s="25"/>
      <c r="D297" s="25"/>
      <c r="E297" s="25"/>
      <c r="F297" s="25"/>
      <c r="G297" s="25"/>
      <c r="H297" s="25"/>
      <c r="I297" s="40"/>
      <c r="J297" s="25"/>
      <c r="K297" s="25"/>
      <c r="L297" s="25"/>
      <c r="M297" s="25"/>
      <c r="N297" s="25"/>
      <c r="O297" s="25"/>
      <c r="P297" s="25"/>
      <c r="Q297" s="25"/>
      <c r="R297" s="25"/>
      <c r="S297" s="25"/>
      <c r="T297" s="25"/>
      <c r="U297" s="25"/>
      <c r="V297" s="25"/>
      <c r="W297" s="25"/>
      <c r="X297" s="25"/>
      <c r="Y297" s="25"/>
      <c r="Z297" s="25"/>
      <c r="AA297" s="25"/>
      <c r="AB297" s="25"/>
      <c r="AC297" s="25"/>
      <c r="AD297" s="25"/>
    </row>
    <row r="298" spans="1:30" ht="15.75" customHeight="1">
      <c r="A298" s="25"/>
      <c r="B298" s="25"/>
      <c r="C298" s="25"/>
      <c r="D298" s="25"/>
      <c r="E298" s="25"/>
      <c r="F298" s="25"/>
      <c r="G298" s="25"/>
      <c r="H298" s="25"/>
      <c r="I298" s="40"/>
      <c r="J298" s="25"/>
      <c r="K298" s="25"/>
      <c r="L298" s="25"/>
      <c r="M298" s="25"/>
      <c r="N298" s="25"/>
      <c r="O298" s="25"/>
      <c r="P298" s="25"/>
      <c r="Q298" s="25"/>
      <c r="R298" s="25"/>
      <c r="S298" s="25"/>
      <c r="T298" s="25"/>
      <c r="U298" s="25"/>
      <c r="V298" s="25"/>
      <c r="W298" s="25"/>
      <c r="X298" s="25"/>
      <c r="Y298" s="25"/>
      <c r="Z298" s="25"/>
      <c r="AA298" s="25"/>
      <c r="AB298" s="25"/>
      <c r="AC298" s="25"/>
      <c r="AD298" s="25"/>
    </row>
    <row r="299" spans="1:30" ht="15.75" customHeight="1">
      <c r="A299" s="25"/>
      <c r="B299" s="25"/>
      <c r="C299" s="25"/>
      <c r="D299" s="25"/>
      <c r="E299" s="25"/>
      <c r="F299" s="25"/>
      <c r="G299" s="25"/>
      <c r="H299" s="25"/>
      <c r="I299" s="40"/>
      <c r="J299" s="25"/>
      <c r="K299" s="25"/>
      <c r="L299" s="25"/>
      <c r="M299" s="25"/>
      <c r="N299" s="25"/>
      <c r="O299" s="25"/>
      <c r="P299" s="25"/>
      <c r="Q299" s="25"/>
      <c r="R299" s="25"/>
      <c r="S299" s="25"/>
      <c r="T299" s="25"/>
      <c r="U299" s="25"/>
      <c r="V299" s="25"/>
      <c r="W299" s="25"/>
      <c r="X299" s="25"/>
      <c r="Y299" s="25"/>
      <c r="Z299" s="25"/>
      <c r="AA299" s="25"/>
      <c r="AB299" s="25"/>
      <c r="AC299" s="25"/>
      <c r="AD299" s="25"/>
    </row>
    <row r="300" spans="1:30" ht="15.75" customHeight="1">
      <c r="A300" s="25"/>
      <c r="B300" s="25"/>
      <c r="C300" s="25"/>
      <c r="D300" s="25"/>
      <c r="E300" s="25"/>
      <c r="F300" s="25"/>
      <c r="G300" s="25"/>
      <c r="H300" s="25"/>
      <c r="I300" s="40"/>
      <c r="J300" s="25"/>
      <c r="K300" s="25"/>
      <c r="L300" s="25"/>
      <c r="M300" s="25"/>
      <c r="N300" s="25"/>
      <c r="O300" s="25"/>
      <c r="P300" s="25"/>
      <c r="Q300" s="25"/>
      <c r="R300" s="25"/>
      <c r="S300" s="25"/>
      <c r="T300" s="25"/>
      <c r="U300" s="25"/>
      <c r="V300" s="25"/>
      <c r="W300" s="25"/>
      <c r="X300" s="25"/>
      <c r="Y300" s="25"/>
      <c r="Z300" s="25"/>
      <c r="AA300" s="25"/>
      <c r="AB300" s="25"/>
      <c r="AC300" s="25"/>
      <c r="AD300" s="25"/>
    </row>
    <row r="301" spans="1:30" ht="15.75" customHeight="1">
      <c r="A301" s="25"/>
      <c r="B301" s="25"/>
      <c r="C301" s="25"/>
      <c r="D301" s="25"/>
      <c r="E301" s="25"/>
      <c r="F301" s="25"/>
      <c r="G301" s="25"/>
      <c r="H301" s="25"/>
      <c r="I301" s="40"/>
      <c r="J301" s="25"/>
      <c r="K301" s="25"/>
      <c r="L301" s="25"/>
      <c r="M301" s="25"/>
      <c r="N301" s="25"/>
      <c r="O301" s="25"/>
      <c r="P301" s="25"/>
      <c r="Q301" s="25"/>
      <c r="R301" s="25"/>
      <c r="S301" s="25"/>
      <c r="T301" s="25"/>
      <c r="U301" s="25"/>
      <c r="V301" s="25"/>
      <c r="W301" s="25"/>
      <c r="X301" s="25"/>
      <c r="Y301" s="25"/>
      <c r="Z301" s="25"/>
      <c r="AA301" s="25"/>
      <c r="AB301" s="25"/>
      <c r="AC301" s="25"/>
      <c r="AD301" s="25"/>
    </row>
    <row r="302" spans="1:30" ht="15.75" customHeight="1">
      <c r="A302" s="25"/>
      <c r="B302" s="25"/>
      <c r="C302" s="25"/>
      <c r="D302" s="25"/>
      <c r="E302" s="25"/>
      <c r="F302" s="25"/>
      <c r="G302" s="25"/>
      <c r="H302" s="25"/>
      <c r="I302" s="40"/>
      <c r="J302" s="25"/>
      <c r="K302" s="25"/>
      <c r="L302" s="25"/>
      <c r="M302" s="25"/>
      <c r="N302" s="25"/>
      <c r="O302" s="25"/>
      <c r="P302" s="25"/>
      <c r="Q302" s="25"/>
      <c r="R302" s="25"/>
      <c r="S302" s="25"/>
      <c r="T302" s="25"/>
      <c r="U302" s="25"/>
      <c r="V302" s="25"/>
      <c r="W302" s="25"/>
      <c r="X302" s="25"/>
      <c r="Y302" s="25"/>
      <c r="Z302" s="25"/>
      <c r="AA302" s="25"/>
      <c r="AB302" s="25"/>
      <c r="AC302" s="25"/>
      <c r="AD302" s="25"/>
    </row>
    <row r="303" spans="1:30" ht="15.75" customHeight="1">
      <c r="A303" s="25"/>
      <c r="B303" s="25"/>
      <c r="C303" s="25"/>
      <c r="D303" s="25"/>
      <c r="E303" s="25"/>
      <c r="F303" s="25"/>
      <c r="G303" s="25"/>
      <c r="H303" s="25"/>
      <c r="I303" s="40"/>
      <c r="J303" s="25"/>
      <c r="K303" s="25"/>
      <c r="L303" s="25"/>
      <c r="M303" s="25"/>
      <c r="N303" s="25"/>
      <c r="O303" s="25"/>
      <c r="P303" s="25"/>
      <c r="Q303" s="25"/>
      <c r="R303" s="25"/>
      <c r="S303" s="25"/>
      <c r="T303" s="25"/>
      <c r="U303" s="25"/>
      <c r="V303" s="25"/>
      <c r="W303" s="25"/>
      <c r="X303" s="25"/>
      <c r="Y303" s="25"/>
      <c r="Z303" s="25"/>
      <c r="AA303" s="25"/>
      <c r="AB303" s="25"/>
      <c r="AC303" s="25"/>
      <c r="AD303" s="25"/>
    </row>
    <row r="304" spans="1:30" ht="15.75" customHeight="1">
      <c r="A304" s="25"/>
      <c r="B304" s="25"/>
      <c r="C304" s="25"/>
      <c r="D304" s="25"/>
      <c r="E304" s="25"/>
      <c r="F304" s="25"/>
      <c r="G304" s="25"/>
      <c r="H304" s="25"/>
      <c r="I304" s="40"/>
      <c r="J304" s="25"/>
      <c r="K304" s="25"/>
      <c r="L304" s="25"/>
      <c r="M304" s="25"/>
      <c r="N304" s="25"/>
      <c r="O304" s="25"/>
      <c r="P304" s="25"/>
      <c r="Q304" s="25"/>
      <c r="R304" s="25"/>
      <c r="S304" s="25"/>
      <c r="T304" s="25"/>
      <c r="U304" s="25"/>
      <c r="V304" s="25"/>
      <c r="W304" s="25"/>
      <c r="X304" s="25"/>
      <c r="Y304" s="25"/>
      <c r="Z304" s="25"/>
      <c r="AA304" s="25"/>
      <c r="AB304" s="25"/>
      <c r="AC304" s="25"/>
      <c r="AD304" s="25"/>
    </row>
    <row r="305" spans="1:30" ht="15.75" customHeight="1">
      <c r="A305" s="25"/>
      <c r="B305" s="25"/>
      <c r="C305" s="25"/>
      <c r="D305" s="25"/>
      <c r="E305" s="25"/>
      <c r="F305" s="25"/>
      <c r="G305" s="25"/>
      <c r="H305" s="25"/>
      <c r="I305" s="40"/>
      <c r="J305" s="25"/>
      <c r="K305" s="25"/>
      <c r="L305" s="25"/>
      <c r="M305" s="25"/>
      <c r="N305" s="25"/>
      <c r="O305" s="25"/>
      <c r="P305" s="25"/>
      <c r="Q305" s="25"/>
      <c r="R305" s="25"/>
      <c r="S305" s="25"/>
      <c r="T305" s="25"/>
      <c r="U305" s="25"/>
      <c r="V305" s="25"/>
      <c r="W305" s="25"/>
      <c r="X305" s="25"/>
      <c r="Y305" s="25"/>
      <c r="Z305" s="25"/>
      <c r="AA305" s="25"/>
      <c r="AB305" s="25"/>
      <c r="AC305" s="25"/>
      <c r="AD305" s="25"/>
    </row>
    <row r="306" spans="1:30" ht="15.75" customHeight="1">
      <c r="A306" s="25"/>
      <c r="B306" s="25"/>
      <c r="C306" s="25"/>
      <c r="D306" s="25"/>
      <c r="E306" s="25"/>
      <c r="F306" s="25"/>
      <c r="G306" s="25"/>
      <c r="H306" s="25"/>
      <c r="I306" s="40"/>
      <c r="J306" s="25"/>
      <c r="K306" s="25"/>
      <c r="L306" s="25"/>
      <c r="M306" s="25"/>
      <c r="N306" s="25"/>
      <c r="O306" s="25"/>
      <c r="P306" s="25"/>
      <c r="Q306" s="25"/>
      <c r="R306" s="25"/>
      <c r="S306" s="25"/>
      <c r="T306" s="25"/>
      <c r="U306" s="25"/>
      <c r="V306" s="25"/>
      <c r="W306" s="25"/>
      <c r="X306" s="25"/>
      <c r="Y306" s="25"/>
      <c r="Z306" s="25"/>
      <c r="AA306" s="25"/>
      <c r="AB306" s="25"/>
      <c r="AC306" s="25"/>
      <c r="AD306" s="25"/>
    </row>
    <row r="307" spans="1:30" ht="15.75" customHeight="1">
      <c r="A307" s="25"/>
      <c r="B307" s="25"/>
      <c r="C307" s="25"/>
      <c r="D307" s="25"/>
      <c r="E307" s="25"/>
      <c r="F307" s="25"/>
      <c r="G307" s="25"/>
      <c r="H307" s="25"/>
      <c r="I307" s="40"/>
      <c r="J307" s="25"/>
      <c r="K307" s="25"/>
      <c r="L307" s="25"/>
      <c r="M307" s="25"/>
      <c r="N307" s="25"/>
      <c r="O307" s="25"/>
      <c r="P307" s="25"/>
      <c r="Q307" s="25"/>
      <c r="R307" s="25"/>
      <c r="S307" s="25"/>
      <c r="T307" s="25"/>
      <c r="U307" s="25"/>
      <c r="V307" s="25"/>
      <c r="W307" s="25"/>
      <c r="X307" s="25"/>
      <c r="Y307" s="25"/>
      <c r="Z307" s="25"/>
      <c r="AA307" s="25"/>
      <c r="AB307" s="25"/>
      <c r="AC307" s="25"/>
      <c r="AD307" s="25"/>
    </row>
    <row r="308" spans="1:30" ht="15.75" customHeight="1">
      <c r="A308" s="25"/>
      <c r="B308" s="25"/>
      <c r="C308" s="25"/>
      <c r="D308" s="25"/>
      <c r="E308" s="25"/>
      <c r="F308" s="25"/>
      <c r="G308" s="25"/>
      <c r="H308" s="25"/>
      <c r="I308" s="40"/>
      <c r="J308" s="25"/>
      <c r="K308" s="25"/>
      <c r="L308" s="25"/>
      <c r="M308" s="25"/>
      <c r="N308" s="25"/>
      <c r="O308" s="25"/>
      <c r="P308" s="25"/>
      <c r="Q308" s="25"/>
      <c r="R308" s="25"/>
      <c r="S308" s="25"/>
      <c r="T308" s="25"/>
      <c r="U308" s="25"/>
      <c r="V308" s="25"/>
      <c r="W308" s="25"/>
      <c r="X308" s="25"/>
      <c r="Y308" s="25"/>
      <c r="Z308" s="25"/>
      <c r="AA308" s="25"/>
      <c r="AB308" s="25"/>
      <c r="AC308" s="25"/>
      <c r="AD308" s="25"/>
    </row>
    <row r="309" spans="1:30" ht="15.75" customHeight="1">
      <c r="A309" s="25"/>
      <c r="B309" s="25"/>
      <c r="C309" s="25"/>
      <c r="D309" s="25"/>
      <c r="E309" s="25"/>
      <c r="F309" s="25"/>
      <c r="G309" s="25"/>
      <c r="H309" s="25"/>
      <c r="I309" s="40"/>
      <c r="J309" s="25"/>
      <c r="K309" s="25"/>
      <c r="L309" s="25"/>
      <c r="M309" s="25"/>
      <c r="N309" s="25"/>
      <c r="O309" s="25"/>
      <c r="P309" s="25"/>
      <c r="Q309" s="25"/>
      <c r="R309" s="25"/>
      <c r="S309" s="25"/>
      <c r="T309" s="25"/>
      <c r="U309" s="25"/>
      <c r="V309" s="25"/>
      <c r="W309" s="25"/>
      <c r="X309" s="25"/>
      <c r="Y309" s="25"/>
      <c r="Z309" s="25"/>
      <c r="AA309" s="25"/>
      <c r="AB309" s="25"/>
      <c r="AC309" s="25"/>
      <c r="AD309" s="25"/>
    </row>
    <row r="310" spans="1:30" ht="15.75" customHeight="1">
      <c r="A310" s="25"/>
      <c r="B310" s="25"/>
      <c r="C310" s="25"/>
      <c r="D310" s="25"/>
      <c r="E310" s="25"/>
      <c r="F310" s="25"/>
      <c r="G310" s="25"/>
      <c r="H310" s="25"/>
      <c r="I310" s="40"/>
      <c r="J310" s="25"/>
      <c r="K310" s="25"/>
      <c r="L310" s="25"/>
      <c r="M310" s="25"/>
      <c r="N310" s="25"/>
      <c r="O310" s="25"/>
      <c r="P310" s="25"/>
      <c r="Q310" s="25"/>
      <c r="R310" s="25"/>
      <c r="S310" s="25"/>
      <c r="T310" s="25"/>
      <c r="U310" s="25"/>
      <c r="V310" s="25"/>
      <c r="W310" s="25"/>
      <c r="X310" s="25"/>
      <c r="Y310" s="25"/>
      <c r="Z310" s="25"/>
      <c r="AA310" s="25"/>
      <c r="AB310" s="25"/>
      <c r="AC310" s="25"/>
      <c r="AD310" s="25"/>
    </row>
    <row r="311" spans="1:30" ht="15.75" customHeight="1">
      <c r="A311" s="25"/>
      <c r="B311" s="25"/>
      <c r="C311" s="25"/>
      <c r="D311" s="25"/>
      <c r="E311" s="25"/>
      <c r="F311" s="25"/>
      <c r="G311" s="25"/>
      <c r="H311" s="25"/>
      <c r="I311" s="40"/>
      <c r="J311" s="25"/>
      <c r="K311" s="25"/>
      <c r="L311" s="25"/>
      <c r="M311" s="25"/>
      <c r="N311" s="25"/>
      <c r="O311" s="25"/>
      <c r="P311" s="25"/>
      <c r="Q311" s="25"/>
      <c r="R311" s="25"/>
      <c r="S311" s="25"/>
      <c r="T311" s="25"/>
      <c r="U311" s="25"/>
      <c r="V311" s="25"/>
      <c r="W311" s="25"/>
      <c r="X311" s="25"/>
      <c r="Y311" s="25"/>
      <c r="Z311" s="25"/>
      <c r="AA311" s="25"/>
      <c r="AB311" s="25"/>
      <c r="AC311" s="25"/>
      <c r="AD311" s="25"/>
    </row>
    <row r="312" spans="1:30" ht="15.75" customHeight="1">
      <c r="A312" s="25"/>
      <c r="B312" s="25"/>
      <c r="C312" s="25"/>
      <c r="D312" s="25"/>
      <c r="E312" s="25"/>
      <c r="F312" s="25"/>
      <c r="G312" s="25"/>
      <c r="H312" s="25"/>
      <c r="I312" s="40"/>
      <c r="J312" s="25"/>
      <c r="K312" s="25"/>
      <c r="L312" s="25"/>
      <c r="M312" s="25"/>
      <c r="N312" s="25"/>
      <c r="O312" s="25"/>
      <c r="P312" s="25"/>
      <c r="Q312" s="25"/>
      <c r="R312" s="25"/>
      <c r="S312" s="25"/>
      <c r="T312" s="25"/>
      <c r="U312" s="25"/>
      <c r="V312" s="25"/>
      <c r="W312" s="25"/>
      <c r="X312" s="25"/>
      <c r="Y312" s="25"/>
      <c r="Z312" s="25"/>
      <c r="AA312" s="25"/>
      <c r="AB312" s="25"/>
      <c r="AC312" s="25"/>
      <c r="AD312" s="25"/>
    </row>
    <row r="313" spans="1:30" ht="15.75" customHeight="1">
      <c r="A313" s="25"/>
      <c r="B313" s="25"/>
      <c r="C313" s="25"/>
      <c r="D313" s="25"/>
      <c r="E313" s="25"/>
      <c r="F313" s="25"/>
      <c r="G313" s="25"/>
      <c r="H313" s="25"/>
      <c r="I313" s="40"/>
      <c r="J313" s="25"/>
      <c r="K313" s="25"/>
      <c r="L313" s="25"/>
      <c r="M313" s="25"/>
      <c r="N313" s="25"/>
      <c r="O313" s="25"/>
      <c r="P313" s="25"/>
      <c r="Q313" s="25"/>
      <c r="R313" s="25"/>
      <c r="S313" s="25"/>
      <c r="T313" s="25"/>
      <c r="U313" s="25"/>
      <c r="V313" s="25"/>
      <c r="W313" s="25"/>
      <c r="X313" s="25"/>
      <c r="Y313" s="25"/>
      <c r="Z313" s="25"/>
      <c r="AA313" s="25"/>
      <c r="AB313" s="25"/>
      <c r="AC313" s="25"/>
      <c r="AD313" s="25"/>
    </row>
    <row r="314" spans="1:30" ht="15.75" customHeight="1">
      <c r="A314" s="25"/>
      <c r="B314" s="25"/>
      <c r="C314" s="25"/>
      <c r="D314" s="25"/>
      <c r="E314" s="25"/>
      <c r="F314" s="25"/>
      <c r="G314" s="25"/>
      <c r="H314" s="25"/>
      <c r="I314" s="40"/>
      <c r="J314" s="25"/>
      <c r="K314" s="25"/>
      <c r="L314" s="25"/>
      <c r="M314" s="25"/>
      <c r="N314" s="25"/>
      <c r="O314" s="25"/>
      <c r="P314" s="25"/>
      <c r="Q314" s="25"/>
      <c r="R314" s="25"/>
      <c r="S314" s="25"/>
      <c r="T314" s="25"/>
      <c r="U314" s="25"/>
      <c r="V314" s="25"/>
      <c r="W314" s="25"/>
      <c r="X314" s="25"/>
      <c r="Y314" s="25"/>
      <c r="Z314" s="25"/>
      <c r="AA314" s="25"/>
      <c r="AB314" s="25"/>
      <c r="AC314" s="25"/>
      <c r="AD314" s="25"/>
    </row>
    <row r="315" spans="1:30" ht="15.75" customHeight="1">
      <c r="A315" s="25"/>
      <c r="B315" s="25"/>
      <c r="C315" s="25"/>
      <c r="D315" s="25"/>
      <c r="E315" s="25"/>
      <c r="F315" s="25"/>
      <c r="G315" s="25"/>
      <c r="H315" s="25"/>
      <c r="I315" s="40"/>
      <c r="J315" s="25"/>
      <c r="K315" s="25"/>
      <c r="L315" s="25"/>
      <c r="M315" s="25"/>
      <c r="N315" s="25"/>
      <c r="O315" s="25"/>
      <c r="P315" s="25"/>
      <c r="Q315" s="25"/>
      <c r="R315" s="25"/>
      <c r="S315" s="25"/>
      <c r="T315" s="25"/>
      <c r="U315" s="25"/>
      <c r="V315" s="25"/>
      <c r="W315" s="25"/>
      <c r="X315" s="25"/>
      <c r="Y315" s="25"/>
      <c r="Z315" s="25"/>
      <c r="AA315" s="25"/>
      <c r="AB315" s="25"/>
      <c r="AC315" s="25"/>
      <c r="AD315" s="25"/>
    </row>
    <row r="316" spans="1:30" ht="15.75" customHeight="1">
      <c r="A316" s="25"/>
      <c r="B316" s="25"/>
      <c r="C316" s="25"/>
      <c r="D316" s="25"/>
      <c r="E316" s="25"/>
      <c r="F316" s="25"/>
      <c r="G316" s="25"/>
      <c r="H316" s="25"/>
      <c r="I316" s="40"/>
      <c r="J316" s="25"/>
      <c r="K316" s="25"/>
      <c r="L316" s="25"/>
      <c r="M316" s="25"/>
      <c r="N316" s="25"/>
      <c r="O316" s="25"/>
      <c r="P316" s="25"/>
      <c r="Q316" s="25"/>
      <c r="R316" s="25"/>
      <c r="S316" s="25"/>
      <c r="T316" s="25"/>
      <c r="U316" s="25"/>
      <c r="V316" s="25"/>
      <c r="W316" s="25"/>
      <c r="X316" s="25"/>
      <c r="Y316" s="25"/>
      <c r="Z316" s="25"/>
      <c r="AA316" s="25"/>
      <c r="AB316" s="25"/>
      <c r="AC316" s="25"/>
      <c r="AD316" s="25"/>
    </row>
    <row r="317" spans="1:30" ht="15.75" customHeight="1">
      <c r="A317" s="25"/>
      <c r="B317" s="25"/>
      <c r="C317" s="25"/>
      <c r="D317" s="25"/>
      <c r="E317" s="25"/>
      <c r="F317" s="25"/>
      <c r="G317" s="25"/>
      <c r="H317" s="25"/>
      <c r="I317" s="40"/>
      <c r="J317" s="25"/>
      <c r="K317" s="25"/>
      <c r="L317" s="25"/>
      <c r="M317" s="25"/>
      <c r="N317" s="25"/>
      <c r="O317" s="25"/>
      <c r="P317" s="25"/>
      <c r="Q317" s="25"/>
      <c r="R317" s="25"/>
      <c r="S317" s="25"/>
      <c r="T317" s="25"/>
      <c r="U317" s="25"/>
      <c r="V317" s="25"/>
      <c r="W317" s="25"/>
      <c r="X317" s="25"/>
      <c r="Y317" s="25"/>
      <c r="Z317" s="25"/>
      <c r="AA317" s="25"/>
      <c r="AB317" s="25"/>
      <c r="AC317" s="25"/>
      <c r="AD317" s="25"/>
    </row>
    <row r="318" spans="1:30" ht="15.75" customHeight="1">
      <c r="A318" s="25"/>
      <c r="B318" s="25"/>
      <c r="C318" s="25"/>
      <c r="D318" s="25"/>
      <c r="E318" s="25"/>
      <c r="F318" s="25"/>
      <c r="G318" s="25"/>
      <c r="H318" s="25"/>
      <c r="I318" s="40"/>
      <c r="J318" s="25"/>
      <c r="K318" s="25"/>
      <c r="L318" s="25"/>
      <c r="M318" s="25"/>
      <c r="N318" s="25"/>
      <c r="O318" s="25"/>
      <c r="P318" s="25"/>
      <c r="Q318" s="25"/>
      <c r="R318" s="25"/>
      <c r="S318" s="25"/>
      <c r="T318" s="25"/>
      <c r="U318" s="25"/>
      <c r="V318" s="25"/>
      <c r="W318" s="25"/>
      <c r="X318" s="25"/>
      <c r="Y318" s="25"/>
      <c r="Z318" s="25"/>
      <c r="AA318" s="25"/>
      <c r="AB318" s="25"/>
      <c r="AC318" s="25"/>
      <c r="AD318" s="25"/>
    </row>
    <row r="319" spans="1:30" ht="15.75" customHeight="1">
      <c r="A319" s="25"/>
      <c r="B319" s="25"/>
      <c r="C319" s="25"/>
      <c r="D319" s="25"/>
      <c r="E319" s="25"/>
      <c r="F319" s="25"/>
      <c r="G319" s="25"/>
      <c r="H319" s="25"/>
      <c r="I319" s="40"/>
      <c r="J319" s="25"/>
      <c r="K319" s="25"/>
      <c r="L319" s="25"/>
      <c r="M319" s="25"/>
      <c r="N319" s="25"/>
      <c r="O319" s="25"/>
      <c r="P319" s="25"/>
      <c r="Q319" s="25"/>
      <c r="R319" s="25"/>
      <c r="S319" s="25"/>
      <c r="T319" s="25"/>
      <c r="U319" s="25"/>
      <c r="V319" s="25"/>
      <c r="W319" s="25"/>
      <c r="X319" s="25"/>
      <c r="Y319" s="25"/>
      <c r="Z319" s="25"/>
      <c r="AA319" s="25"/>
      <c r="AB319" s="25"/>
      <c r="AC319" s="25"/>
      <c r="AD319" s="25"/>
    </row>
    <row r="320" spans="1:30" ht="15.75" customHeight="1">
      <c r="A320" s="25"/>
      <c r="B320" s="25"/>
      <c r="C320" s="25"/>
      <c r="D320" s="25"/>
      <c r="E320" s="25"/>
      <c r="F320" s="25"/>
      <c r="G320" s="25"/>
      <c r="H320" s="25"/>
      <c r="I320" s="40"/>
      <c r="J320" s="25"/>
      <c r="K320" s="25"/>
      <c r="L320" s="25"/>
      <c r="M320" s="25"/>
      <c r="N320" s="25"/>
      <c r="O320" s="25"/>
      <c r="P320" s="25"/>
      <c r="Q320" s="25"/>
      <c r="R320" s="25"/>
      <c r="S320" s="25"/>
      <c r="T320" s="25"/>
      <c r="U320" s="25"/>
      <c r="V320" s="25"/>
      <c r="W320" s="25"/>
      <c r="X320" s="25"/>
      <c r="Y320" s="25"/>
      <c r="Z320" s="25"/>
      <c r="AA320" s="25"/>
      <c r="AB320" s="25"/>
      <c r="AC320" s="25"/>
      <c r="AD320" s="25"/>
    </row>
    <row r="321" spans="1:30" ht="15.75" customHeight="1">
      <c r="A321" s="25"/>
      <c r="B321" s="25"/>
      <c r="C321" s="25"/>
      <c r="D321" s="25"/>
      <c r="E321" s="25"/>
      <c r="F321" s="25"/>
      <c r="G321" s="25"/>
      <c r="H321" s="25"/>
      <c r="I321" s="40"/>
      <c r="J321" s="25"/>
      <c r="K321" s="25"/>
      <c r="L321" s="25"/>
      <c r="M321" s="25"/>
      <c r="N321" s="25"/>
      <c r="O321" s="25"/>
      <c r="P321" s="25"/>
      <c r="Q321" s="25"/>
      <c r="R321" s="25"/>
      <c r="S321" s="25"/>
      <c r="T321" s="25"/>
      <c r="U321" s="25"/>
      <c r="V321" s="25"/>
      <c r="W321" s="25"/>
      <c r="X321" s="25"/>
      <c r="Y321" s="25"/>
      <c r="Z321" s="25"/>
      <c r="AA321" s="25"/>
      <c r="AB321" s="25"/>
      <c r="AC321" s="25"/>
      <c r="AD321" s="25"/>
    </row>
    <row r="322" spans="1:30" ht="15.75" customHeight="1">
      <c r="A322" s="25"/>
      <c r="B322" s="25"/>
      <c r="C322" s="25"/>
      <c r="D322" s="25"/>
      <c r="E322" s="25"/>
      <c r="F322" s="25"/>
      <c r="G322" s="25"/>
      <c r="H322" s="25"/>
      <c r="I322" s="40"/>
      <c r="J322" s="25"/>
      <c r="K322" s="25"/>
      <c r="L322" s="25"/>
      <c r="M322" s="25"/>
      <c r="N322" s="25"/>
      <c r="O322" s="25"/>
      <c r="P322" s="25"/>
      <c r="Q322" s="25"/>
      <c r="R322" s="25"/>
      <c r="S322" s="25"/>
      <c r="T322" s="25"/>
      <c r="U322" s="25"/>
      <c r="V322" s="25"/>
      <c r="W322" s="25"/>
      <c r="X322" s="25"/>
      <c r="Y322" s="25"/>
      <c r="Z322" s="25"/>
      <c r="AA322" s="25"/>
      <c r="AB322" s="25"/>
      <c r="AC322" s="25"/>
      <c r="AD322" s="25"/>
    </row>
    <row r="323" spans="1:30" ht="15.75" customHeight="1">
      <c r="A323" s="25"/>
      <c r="B323" s="25"/>
      <c r="C323" s="25"/>
      <c r="D323" s="25"/>
      <c r="E323" s="25"/>
      <c r="F323" s="25"/>
      <c r="G323" s="25"/>
      <c r="H323" s="25"/>
      <c r="I323" s="40"/>
      <c r="J323" s="25"/>
      <c r="K323" s="25"/>
      <c r="L323" s="25"/>
      <c r="M323" s="25"/>
      <c r="N323" s="25"/>
      <c r="O323" s="25"/>
      <c r="P323" s="25"/>
      <c r="Q323" s="25"/>
      <c r="R323" s="25"/>
      <c r="S323" s="25"/>
      <c r="T323" s="25"/>
      <c r="U323" s="25"/>
      <c r="V323" s="25"/>
      <c r="W323" s="25"/>
      <c r="X323" s="25"/>
      <c r="Y323" s="25"/>
      <c r="Z323" s="25"/>
      <c r="AA323" s="25"/>
      <c r="AB323" s="25"/>
      <c r="AC323" s="25"/>
      <c r="AD323" s="25"/>
    </row>
    <row r="324" spans="1:30" ht="15.75" customHeight="1">
      <c r="A324" s="25"/>
      <c r="B324" s="25"/>
      <c r="C324" s="25"/>
      <c r="D324" s="25"/>
      <c r="E324" s="25"/>
      <c r="F324" s="25"/>
      <c r="G324" s="25"/>
      <c r="H324" s="25"/>
      <c r="I324" s="40"/>
      <c r="J324" s="25"/>
      <c r="K324" s="25"/>
      <c r="L324" s="25"/>
      <c r="M324" s="25"/>
      <c r="N324" s="25"/>
      <c r="O324" s="25"/>
      <c r="P324" s="25"/>
      <c r="Q324" s="25"/>
      <c r="R324" s="25"/>
      <c r="S324" s="25"/>
      <c r="T324" s="25"/>
      <c r="U324" s="25"/>
      <c r="V324" s="25"/>
      <c r="W324" s="25"/>
      <c r="X324" s="25"/>
      <c r="Y324" s="25"/>
      <c r="Z324" s="25"/>
      <c r="AA324" s="25"/>
      <c r="AB324" s="25"/>
      <c r="AC324" s="25"/>
      <c r="AD324" s="25"/>
    </row>
    <row r="325" spans="1:30" ht="15.75" customHeight="1">
      <c r="A325" s="25"/>
      <c r="B325" s="25"/>
      <c r="C325" s="25"/>
      <c r="D325" s="25"/>
      <c r="E325" s="25"/>
      <c r="F325" s="25"/>
      <c r="G325" s="25"/>
      <c r="H325" s="25"/>
      <c r="I325" s="40"/>
      <c r="J325" s="25"/>
      <c r="K325" s="25"/>
      <c r="L325" s="25"/>
      <c r="M325" s="25"/>
      <c r="N325" s="25"/>
      <c r="O325" s="25"/>
      <c r="P325" s="25"/>
      <c r="Q325" s="25"/>
      <c r="R325" s="25"/>
      <c r="S325" s="25"/>
      <c r="T325" s="25"/>
      <c r="U325" s="25"/>
      <c r="V325" s="25"/>
      <c r="W325" s="25"/>
      <c r="X325" s="25"/>
      <c r="Y325" s="25"/>
      <c r="Z325" s="25"/>
      <c r="AA325" s="25"/>
      <c r="AB325" s="25"/>
      <c r="AC325" s="25"/>
      <c r="AD325" s="25"/>
    </row>
    <row r="326" spans="1:30" ht="15.75" customHeight="1">
      <c r="A326" s="25"/>
      <c r="B326" s="25"/>
      <c r="C326" s="25"/>
      <c r="D326" s="25"/>
      <c r="E326" s="25"/>
      <c r="F326" s="25"/>
      <c r="G326" s="25"/>
      <c r="H326" s="25"/>
      <c r="I326" s="40"/>
      <c r="J326" s="25"/>
      <c r="K326" s="25"/>
      <c r="L326" s="25"/>
      <c r="M326" s="25"/>
      <c r="N326" s="25"/>
      <c r="O326" s="25"/>
      <c r="P326" s="25"/>
      <c r="Q326" s="25"/>
      <c r="R326" s="25"/>
      <c r="S326" s="25"/>
      <c r="T326" s="25"/>
      <c r="U326" s="25"/>
      <c r="V326" s="25"/>
      <c r="W326" s="25"/>
      <c r="X326" s="25"/>
      <c r="Y326" s="25"/>
      <c r="Z326" s="25"/>
      <c r="AA326" s="25"/>
      <c r="AB326" s="25"/>
      <c r="AC326" s="25"/>
      <c r="AD326" s="25"/>
    </row>
    <row r="327" spans="1:30" ht="15.75" customHeight="1">
      <c r="A327" s="25"/>
      <c r="B327" s="25"/>
      <c r="C327" s="25"/>
      <c r="D327" s="25"/>
      <c r="E327" s="25"/>
      <c r="F327" s="25"/>
      <c r="G327" s="25"/>
      <c r="H327" s="25"/>
      <c r="I327" s="40"/>
      <c r="J327" s="25"/>
      <c r="K327" s="25"/>
      <c r="L327" s="25"/>
      <c r="M327" s="25"/>
      <c r="N327" s="25"/>
      <c r="O327" s="25"/>
      <c r="P327" s="25"/>
      <c r="Q327" s="25"/>
      <c r="R327" s="25"/>
      <c r="S327" s="25"/>
      <c r="T327" s="25"/>
      <c r="U327" s="25"/>
      <c r="V327" s="25"/>
      <c r="W327" s="25"/>
      <c r="X327" s="25"/>
      <c r="Y327" s="25"/>
      <c r="Z327" s="25"/>
      <c r="AA327" s="25"/>
      <c r="AB327" s="25"/>
      <c r="AC327" s="25"/>
      <c r="AD327" s="25"/>
    </row>
    <row r="328" spans="1:30" ht="15.75" customHeight="1">
      <c r="A328" s="25"/>
      <c r="B328" s="25"/>
      <c r="C328" s="25"/>
      <c r="D328" s="25"/>
      <c r="E328" s="25"/>
      <c r="F328" s="25"/>
      <c r="G328" s="25"/>
      <c r="H328" s="25"/>
      <c r="I328" s="40"/>
      <c r="J328" s="25"/>
      <c r="K328" s="25"/>
      <c r="L328" s="25"/>
      <c r="M328" s="25"/>
      <c r="N328" s="25"/>
      <c r="O328" s="25"/>
      <c r="P328" s="25"/>
      <c r="Q328" s="25"/>
      <c r="R328" s="25"/>
      <c r="S328" s="25"/>
      <c r="T328" s="25"/>
      <c r="U328" s="25"/>
      <c r="V328" s="25"/>
      <c r="W328" s="25"/>
      <c r="X328" s="25"/>
      <c r="Y328" s="25"/>
      <c r="Z328" s="25"/>
      <c r="AA328" s="25"/>
      <c r="AB328" s="25"/>
      <c r="AC328" s="25"/>
      <c r="AD328" s="25"/>
    </row>
    <row r="329" spans="1:30" ht="15.75" customHeight="1">
      <c r="A329" s="25"/>
      <c r="B329" s="25"/>
      <c r="C329" s="25"/>
      <c r="D329" s="25"/>
      <c r="E329" s="25"/>
      <c r="F329" s="25"/>
      <c r="G329" s="25"/>
      <c r="H329" s="25"/>
      <c r="I329" s="40"/>
      <c r="J329" s="25"/>
      <c r="K329" s="25"/>
      <c r="L329" s="25"/>
      <c r="M329" s="25"/>
      <c r="N329" s="25"/>
      <c r="O329" s="25"/>
      <c r="P329" s="25"/>
      <c r="Q329" s="25"/>
      <c r="R329" s="25"/>
      <c r="S329" s="25"/>
      <c r="T329" s="25"/>
      <c r="U329" s="25"/>
      <c r="V329" s="25"/>
      <c r="W329" s="25"/>
      <c r="X329" s="25"/>
      <c r="Y329" s="25"/>
      <c r="Z329" s="25"/>
      <c r="AA329" s="25"/>
      <c r="AB329" s="25"/>
      <c r="AC329" s="25"/>
      <c r="AD329" s="25"/>
    </row>
    <row r="330" spans="1:30" ht="15.75" customHeight="1">
      <c r="A330" s="25"/>
      <c r="B330" s="25"/>
      <c r="C330" s="25"/>
      <c r="D330" s="25"/>
      <c r="E330" s="25"/>
      <c r="F330" s="25"/>
      <c r="G330" s="25"/>
      <c r="H330" s="25"/>
      <c r="I330" s="40"/>
      <c r="J330" s="25"/>
      <c r="K330" s="25"/>
      <c r="L330" s="25"/>
      <c r="M330" s="25"/>
      <c r="N330" s="25"/>
      <c r="O330" s="25"/>
      <c r="P330" s="25"/>
      <c r="Q330" s="25"/>
      <c r="R330" s="25"/>
      <c r="S330" s="25"/>
      <c r="T330" s="25"/>
      <c r="U330" s="25"/>
      <c r="V330" s="25"/>
      <c r="W330" s="25"/>
      <c r="X330" s="25"/>
      <c r="Y330" s="25"/>
      <c r="Z330" s="25"/>
      <c r="AA330" s="25"/>
      <c r="AB330" s="25"/>
      <c r="AC330" s="25"/>
      <c r="AD330" s="25"/>
    </row>
    <row r="331" spans="1:30" ht="15.75" customHeight="1">
      <c r="A331" s="25"/>
      <c r="B331" s="25"/>
      <c r="C331" s="25"/>
      <c r="D331" s="25"/>
      <c r="E331" s="25"/>
      <c r="F331" s="25"/>
      <c r="G331" s="25"/>
      <c r="H331" s="25"/>
      <c r="I331" s="40"/>
      <c r="J331" s="25"/>
      <c r="K331" s="25"/>
      <c r="L331" s="25"/>
      <c r="M331" s="25"/>
      <c r="N331" s="25"/>
      <c r="O331" s="25"/>
      <c r="P331" s="25"/>
      <c r="Q331" s="25"/>
      <c r="R331" s="25"/>
      <c r="S331" s="25"/>
      <c r="T331" s="25"/>
      <c r="U331" s="25"/>
      <c r="V331" s="25"/>
      <c r="W331" s="25"/>
      <c r="X331" s="25"/>
      <c r="Y331" s="25"/>
      <c r="Z331" s="25"/>
      <c r="AA331" s="25"/>
      <c r="AB331" s="25"/>
      <c r="AC331" s="25"/>
      <c r="AD331" s="25"/>
    </row>
    <row r="332" spans="1:30" ht="15.75" customHeight="1">
      <c r="A332" s="25"/>
      <c r="B332" s="25"/>
      <c r="C332" s="25"/>
      <c r="D332" s="25"/>
      <c r="E332" s="25"/>
      <c r="F332" s="25"/>
      <c r="G332" s="25"/>
      <c r="H332" s="25"/>
      <c r="I332" s="40"/>
      <c r="J332" s="25"/>
      <c r="K332" s="25"/>
      <c r="L332" s="25"/>
      <c r="M332" s="25"/>
      <c r="N332" s="25"/>
      <c r="O332" s="25"/>
      <c r="P332" s="25"/>
      <c r="Q332" s="25"/>
      <c r="R332" s="25"/>
      <c r="S332" s="25"/>
      <c r="T332" s="25"/>
      <c r="U332" s="25"/>
      <c r="V332" s="25"/>
      <c r="W332" s="25"/>
      <c r="X332" s="25"/>
      <c r="Y332" s="25"/>
      <c r="Z332" s="25"/>
      <c r="AA332" s="25"/>
      <c r="AB332" s="25"/>
      <c r="AC332" s="25"/>
      <c r="AD332" s="25"/>
    </row>
    <row r="333" spans="1:30" ht="15.75" customHeight="1">
      <c r="A333" s="25"/>
      <c r="B333" s="25"/>
      <c r="C333" s="25"/>
      <c r="D333" s="25"/>
      <c r="E333" s="25"/>
      <c r="F333" s="25"/>
      <c r="G333" s="25"/>
      <c r="H333" s="25"/>
      <c r="I333" s="40"/>
      <c r="J333" s="25"/>
      <c r="K333" s="25"/>
      <c r="L333" s="25"/>
      <c r="M333" s="25"/>
      <c r="N333" s="25"/>
      <c r="O333" s="25"/>
      <c r="P333" s="25"/>
      <c r="Q333" s="25"/>
      <c r="R333" s="25"/>
      <c r="S333" s="25"/>
      <c r="T333" s="25"/>
      <c r="U333" s="25"/>
      <c r="V333" s="25"/>
      <c r="W333" s="25"/>
      <c r="X333" s="25"/>
      <c r="Y333" s="25"/>
      <c r="Z333" s="25"/>
      <c r="AA333" s="25"/>
      <c r="AB333" s="25"/>
      <c r="AC333" s="25"/>
      <c r="AD333" s="25"/>
    </row>
    <row r="334" spans="1:30" ht="15.75" customHeight="1">
      <c r="A334" s="25"/>
      <c r="B334" s="25"/>
      <c r="C334" s="25"/>
      <c r="D334" s="25"/>
      <c r="E334" s="25"/>
      <c r="F334" s="25"/>
      <c r="G334" s="25"/>
      <c r="H334" s="25"/>
      <c r="I334" s="40"/>
      <c r="J334" s="25"/>
      <c r="K334" s="25"/>
      <c r="L334" s="25"/>
      <c r="M334" s="25"/>
      <c r="N334" s="25"/>
      <c r="O334" s="25"/>
      <c r="P334" s="25"/>
      <c r="Q334" s="25"/>
      <c r="R334" s="25"/>
      <c r="S334" s="25"/>
      <c r="T334" s="25"/>
      <c r="U334" s="25"/>
      <c r="V334" s="25"/>
      <c r="W334" s="25"/>
      <c r="X334" s="25"/>
      <c r="Y334" s="25"/>
      <c r="Z334" s="25"/>
      <c r="AA334" s="25"/>
      <c r="AB334" s="25"/>
      <c r="AC334" s="25"/>
      <c r="AD334" s="25"/>
    </row>
    <row r="335" spans="1:30" ht="15.75" customHeight="1">
      <c r="A335" s="25"/>
      <c r="B335" s="25"/>
      <c r="C335" s="25"/>
      <c r="D335" s="25"/>
      <c r="E335" s="25"/>
      <c r="F335" s="25"/>
      <c r="G335" s="25"/>
      <c r="H335" s="25"/>
      <c r="I335" s="40"/>
      <c r="J335" s="25"/>
      <c r="K335" s="25"/>
      <c r="L335" s="25"/>
      <c r="M335" s="25"/>
      <c r="N335" s="25"/>
      <c r="O335" s="25"/>
      <c r="P335" s="25"/>
      <c r="Q335" s="25"/>
      <c r="R335" s="25"/>
      <c r="S335" s="25"/>
      <c r="T335" s="25"/>
      <c r="U335" s="25"/>
      <c r="V335" s="25"/>
      <c r="W335" s="25"/>
      <c r="X335" s="25"/>
      <c r="Y335" s="25"/>
      <c r="Z335" s="25"/>
      <c r="AA335" s="25"/>
      <c r="AB335" s="25"/>
      <c r="AC335" s="25"/>
      <c r="AD335" s="25"/>
    </row>
    <row r="336" spans="1:30" ht="15.75" customHeight="1">
      <c r="A336" s="25"/>
      <c r="B336" s="25"/>
      <c r="C336" s="25"/>
      <c r="D336" s="25"/>
      <c r="E336" s="25"/>
      <c r="F336" s="25"/>
      <c r="G336" s="25"/>
      <c r="H336" s="25"/>
      <c r="I336" s="40"/>
      <c r="J336" s="25"/>
      <c r="K336" s="25"/>
      <c r="L336" s="25"/>
      <c r="M336" s="25"/>
      <c r="N336" s="25"/>
      <c r="O336" s="25"/>
      <c r="P336" s="25"/>
      <c r="Q336" s="25"/>
      <c r="R336" s="25"/>
      <c r="S336" s="25"/>
      <c r="T336" s="25"/>
      <c r="U336" s="25"/>
      <c r="V336" s="25"/>
      <c r="W336" s="25"/>
      <c r="X336" s="25"/>
      <c r="Y336" s="25"/>
      <c r="Z336" s="25"/>
      <c r="AA336" s="25"/>
      <c r="AB336" s="25"/>
      <c r="AC336" s="25"/>
      <c r="AD336" s="25"/>
    </row>
    <row r="337" spans="1:30" ht="15.75" customHeight="1">
      <c r="A337" s="25"/>
      <c r="B337" s="25"/>
      <c r="C337" s="25"/>
      <c r="D337" s="25"/>
      <c r="E337" s="25"/>
      <c r="F337" s="25"/>
      <c r="G337" s="25"/>
      <c r="H337" s="25"/>
      <c r="I337" s="40"/>
      <c r="J337" s="25"/>
      <c r="K337" s="25"/>
      <c r="L337" s="25"/>
      <c r="M337" s="25"/>
      <c r="N337" s="25"/>
      <c r="O337" s="25"/>
      <c r="P337" s="25"/>
      <c r="Q337" s="25"/>
      <c r="R337" s="25"/>
      <c r="S337" s="25"/>
      <c r="T337" s="25"/>
      <c r="U337" s="25"/>
      <c r="V337" s="25"/>
      <c r="W337" s="25"/>
      <c r="X337" s="25"/>
      <c r="Y337" s="25"/>
      <c r="Z337" s="25"/>
      <c r="AA337" s="25"/>
      <c r="AB337" s="25"/>
      <c r="AC337" s="25"/>
      <c r="AD337" s="25"/>
    </row>
    <row r="338" spans="1:30" ht="15.75" customHeight="1">
      <c r="A338" s="25"/>
      <c r="B338" s="25"/>
      <c r="C338" s="25"/>
      <c r="D338" s="25"/>
      <c r="E338" s="25"/>
      <c r="F338" s="25"/>
      <c r="G338" s="25"/>
      <c r="H338" s="25"/>
      <c r="I338" s="40"/>
      <c r="J338" s="25"/>
      <c r="K338" s="25"/>
      <c r="L338" s="25"/>
      <c r="M338" s="25"/>
      <c r="N338" s="25"/>
      <c r="O338" s="25"/>
      <c r="P338" s="25"/>
      <c r="Q338" s="25"/>
      <c r="R338" s="25"/>
      <c r="S338" s="25"/>
      <c r="T338" s="25"/>
      <c r="U338" s="25"/>
      <c r="V338" s="25"/>
      <c r="W338" s="25"/>
      <c r="X338" s="25"/>
      <c r="Y338" s="25"/>
      <c r="Z338" s="25"/>
      <c r="AA338" s="25"/>
      <c r="AB338" s="25"/>
      <c r="AC338" s="25"/>
      <c r="AD338" s="25"/>
    </row>
    <row r="339" spans="1:30" ht="15.75" customHeight="1">
      <c r="A339" s="25"/>
      <c r="B339" s="25"/>
      <c r="C339" s="25"/>
      <c r="D339" s="25"/>
      <c r="E339" s="25"/>
      <c r="F339" s="25"/>
      <c r="G339" s="25"/>
      <c r="H339" s="25"/>
      <c r="I339" s="40"/>
      <c r="J339" s="25"/>
      <c r="K339" s="25"/>
      <c r="L339" s="25"/>
      <c r="M339" s="25"/>
      <c r="N339" s="25"/>
      <c r="O339" s="25"/>
      <c r="P339" s="25"/>
      <c r="Q339" s="25"/>
      <c r="R339" s="25"/>
      <c r="S339" s="25"/>
      <c r="T339" s="25"/>
      <c r="U339" s="25"/>
      <c r="V339" s="25"/>
      <c r="W339" s="25"/>
      <c r="X339" s="25"/>
      <c r="Y339" s="25"/>
      <c r="Z339" s="25"/>
      <c r="AA339" s="25"/>
      <c r="AB339" s="25"/>
      <c r="AC339" s="25"/>
      <c r="AD339" s="25"/>
    </row>
    <row r="340" spans="1:30" ht="15.75" customHeight="1">
      <c r="A340" s="25"/>
      <c r="B340" s="25"/>
      <c r="C340" s="25"/>
      <c r="D340" s="25"/>
      <c r="E340" s="25"/>
      <c r="F340" s="25"/>
      <c r="G340" s="25"/>
      <c r="H340" s="25"/>
      <c r="I340" s="40"/>
      <c r="J340" s="25"/>
      <c r="K340" s="25"/>
      <c r="L340" s="25"/>
      <c r="M340" s="25"/>
      <c r="N340" s="25"/>
      <c r="O340" s="25"/>
      <c r="P340" s="25"/>
      <c r="Q340" s="25"/>
      <c r="R340" s="25"/>
      <c r="S340" s="25"/>
      <c r="T340" s="25"/>
      <c r="U340" s="25"/>
      <c r="V340" s="25"/>
      <c r="W340" s="25"/>
      <c r="X340" s="25"/>
      <c r="Y340" s="25"/>
      <c r="Z340" s="25"/>
      <c r="AA340" s="25"/>
      <c r="AB340" s="25"/>
      <c r="AC340" s="25"/>
      <c r="AD340" s="25"/>
    </row>
    <row r="341" spans="1:30" ht="15.75" customHeight="1">
      <c r="A341" s="25"/>
      <c r="B341" s="25"/>
      <c r="C341" s="25"/>
      <c r="D341" s="25"/>
      <c r="E341" s="25"/>
      <c r="F341" s="25"/>
      <c r="G341" s="25"/>
      <c r="H341" s="25"/>
      <c r="I341" s="40"/>
      <c r="J341" s="25"/>
      <c r="K341" s="25"/>
      <c r="L341" s="25"/>
      <c r="M341" s="25"/>
      <c r="N341" s="25"/>
      <c r="O341" s="25"/>
      <c r="P341" s="25"/>
      <c r="Q341" s="25"/>
      <c r="R341" s="25"/>
      <c r="S341" s="25"/>
      <c r="T341" s="25"/>
      <c r="U341" s="25"/>
      <c r="V341" s="25"/>
      <c r="W341" s="25"/>
      <c r="X341" s="25"/>
      <c r="Y341" s="25"/>
      <c r="Z341" s="25"/>
      <c r="AA341" s="25"/>
      <c r="AB341" s="25"/>
      <c r="AC341" s="25"/>
      <c r="AD341" s="25"/>
    </row>
    <row r="342" spans="1:30" ht="15.75" customHeight="1">
      <c r="A342" s="25"/>
      <c r="B342" s="25"/>
      <c r="C342" s="25"/>
      <c r="D342" s="25"/>
      <c r="E342" s="25"/>
      <c r="F342" s="25"/>
      <c r="G342" s="25"/>
      <c r="H342" s="25"/>
      <c r="I342" s="40"/>
      <c r="J342" s="25"/>
      <c r="K342" s="25"/>
      <c r="L342" s="25"/>
      <c r="M342" s="25"/>
      <c r="N342" s="25"/>
      <c r="O342" s="25"/>
      <c r="P342" s="25"/>
      <c r="Q342" s="25"/>
      <c r="R342" s="25"/>
      <c r="S342" s="25"/>
      <c r="T342" s="25"/>
      <c r="U342" s="25"/>
      <c r="V342" s="25"/>
      <c r="W342" s="25"/>
      <c r="X342" s="25"/>
      <c r="Y342" s="25"/>
      <c r="Z342" s="25"/>
      <c r="AA342" s="25"/>
      <c r="AB342" s="25"/>
      <c r="AC342" s="25"/>
      <c r="AD342" s="25"/>
    </row>
    <row r="343" spans="1:30" ht="15.75" customHeight="1">
      <c r="A343" s="25"/>
      <c r="B343" s="25"/>
      <c r="C343" s="25"/>
      <c r="D343" s="25"/>
      <c r="E343" s="25"/>
      <c r="F343" s="25"/>
      <c r="G343" s="25"/>
      <c r="H343" s="25"/>
      <c r="I343" s="40"/>
      <c r="J343" s="25"/>
      <c r="K343" s="25"/>
      <c r="L343" s="25"/>
      <c r="M343" s="25"/>
      <c r="N343" s="25"/>
      <c r="O343" s="25"/>
      <c r="P343" s="25"/>
      <c r="Q343" s="25"/>
      <c r="R343" s="25"/>
      <c r="S343" s="25"/>
      <c r="T343" s="25"/>
      <c r="U343" s="25"/>
      <c r="V343" s="25"/>
      <c r="W343" s="25"/>
      <c r="X343" s="25"/>
      <c r="Y343" s="25"/>
      <c r="Z343" s="25"/>
      <c r="AA343" s="25"/>
      <c r="AB343" s="25"/>
      <c r="AC343" s="25"/>
      <c r="AD343" s="25"/>
    </row>
    <row r="344" spans="1:30" ht="15.75" customHeight="1">
      <c r="A344" s="25"/>
      <c r="B344" s="25"/>
      <c r="C344" s="25"/>
      <c r="D344" s="25"/>
      <c r="E344" s="25"/>
      <c r="F344" s="25"/>
      <c r="G344" s="25"/>
      <c r="H344" s="25"/>
      <c r="I344" s="40"/>
      <c r="J344" s="25"/>
      <c r="K344" s="25"/>
      <c r="L344" s="25"/>
      <c r="M344" s="25"/>
      <c r="N344" s="25"/>
      <c r="O344" s="25"/>
      <c r="P344" s="25"/>
      <c r="Q344" s="25"/>
      <c r="R344" s="25"/>
      <c r="S344" s="25"/>
      <c r="T344" s="25"/>
      <c r="U344" s="25"/>
      <c r="V344" s="25"/>
      <c r="W344" s="25"/>
      <c r="X344" s="25"/>
      <c r="Y344" s="25"/>
      <c r="Z344" s="25"/>
      <c r="AA344" s="25"/>
      <c r="AB344" s="25"/>
      <c r="AC344" s="25"/>
      <c r="AD344" s="25"/>
    </row>
    <row r="345" spans="1:30" ht="15.75" customHeight="1">
      <c r="A345" s="25"/>
      <c r="B345" s="25"/>
      <c r="C345" s="25"/>
      <c r="D345" s="25"/>
      <c r="E345" s="25"/>
      <c r="F345" s="25"/>
      <c r="G345" s="25"/>
      <c r="H345" s="25"/>
      <c r="I345" s="40"/>
      <c r="J345" s="25"/>
      <c r="K345" s="25"/>
      <c r="L345" s="25"/>
      <c r="M345" s="25"/>
      <c r="N345" s="25"/>
      <c r="O345" s="25"/>
      <c r="P345" s="25"/>
      <c r="Q345" s="25"/>
      <c r="R345" s="25"/>
      <c r="S345" s="25"/>
      <c r="T345" s="25"/>
      <c r="U345" s="25"/>
      <c r="V345" s="25"/>
      <c r="W345" s="25"/>
      <c r="X345" s="25"/>
      <c r="Y345" s="25"/>
      <c r="Z345" s="25"/>
      <c r="AA345" s="25"/>
      <c r="AB345" s="25"/>
      <c r="AC345" s="25"/>
      <c r="AD345" s="25"/>
    </row>
    <row r="346" spans="1:30" ht="15.75" customHeight="1">
      <c r="A346" s="25"/>
      <c r="B346" s="25"/>
      <c r="C346" s="25"/>
      <c r="D346" s="25"/>
      <c r="E346" s="25"/>
      <c r="F346" s="25"/>
      <c r="G346" s="25"/>
      <c r="H346" s="25"/>
      <c r="I346" s="40"/>
      <c r="J346" s="25"/>
      <c r="K346" s="25"/>
      <c r="L346" s="25"/>
      <c r="M346" s="25"/>
      <c r="N346" s="25"/>
      <c r="O346" s="25"/>
      <c r="P346" s="25"/>
      <c r="Q346" s="25"/>
      <c r="R346" s="25"/>
      <c r="S346" s="25"/>
      <c r="T346" s="25"/>
      <c r="U346" s="25"/>
      <c r="V346" s="25"/>
      <c r="W346" s="25"/>
      <c r="X346" s="25"/>
      <c r="Y346" s="25"/>
      <c r="Z346" s="25"/>
      <c r="AA346" s="25"/>
      <c r="AB346" s="25"/>
      <c r="AC346" s="25"/>
      <c r="AD346" s="25"/>
    </row>
    <row r="347" spans="1:30" ht="15.75" customHeight="1">
      <c r="A347" s="25"/>
      <c r="B347" s="25"/>
      <c r="C347" s="25"/>
      <c r="D347" s="25"/>
      <c r="E347" s="25"/>
      <c r="F347" s="25"/>
      <c r="G347" s="25"/>
      <c r="H347" s="25"/>
      <c r="I347" s="40"/>
      <c r="J347" s="25"/>
      <c r="K347" s="25"/>
      <c r="L347" s="25"/>
      <c r="M347" s="25"/>
      <c r="N347" s="25"/>
      <c r="O347" s="25"/>
      <c r="P347" s="25"/>
      <c r="Q347" s="25"/>
      <c r="R347" s="25"/>
      <c r="S347" s="25"/>
      <c r="T347" s="25"/>
      <c r="U347" s="25"/>
      <c r="V347" s="25"/>
      <c r="W347" s="25"/>
      <c r="X347" s="25"/>
      <c r="Y347" s="25"/>
      <c r="Z347" s="25"/>
      <c r="AA347" s="25"/>
      <c r="AB347" s="25"/>
      <c r="AC347" s="25"/>
      <c r="AD347" s="25"/>
    </row>
    <row r="348" spans="1:30" ht="15.75" customHeight="1">
      <c r="A348" s="25"/>
      <c r="B348" s="25"/>
      <c r="C348" s="25"/>
      <c r="D348" s="25"/>
      <c r="E348" s="25"/>
      <c r="F348" s="25"/>
      <c r="G348" s="25"/>
      <c r="H348" s="25"/>
      <c r="I348" s="40"/>
      <c r="J348" s="25"/>
      <c r="K348" s="25"/>
      <c r="L348" s="25"/>
      <c r="M348" s="25"/>
      <c r="N348" s="25"/>
      <c r="O348" s="25"/>
      <c r="P348" s="25"/>
      <c r="Q348" s="25"/>
      <c r="R348" s="25"/>
      <c r="S348" s="25"/>
      <c r="T348" s="25"/>
      <c r="U348" s="25"/>
      <c r="V348" s="25"/>
      <c r="W348" s="25"/>
      <c r="X348" s="25"/>
      <c r="Y348" s="25"/>
      <c r="Z348" s="25"/>
      <c r="AA348" s="25"/>
      <c r="AB348" s="25"/>
      <c r="AC348" s="25"/>
      <c r="AD348" s="25"/>
    </row>
    <row r="349" spans="1:30" ht="15.75" customHeight="1">
      <c r="A349" s="25"/>
      <c r="B349" s="25"/>
      <c r="C349" s="25"/>
      <c r="D349" s="25"/>
      <c r="E349" s="25"/>
      <c r="F349" s="25"/>
      <c r="G349" s="25"/>
      <c r="H349" s="25"/>
      <c r="I349" s="40"/>
      <c r="J349" s="25"/>
      <c r="K349" s="25"/>
      <c r="L349" s="25"/>
      <c r="M349" s="25"/>
      <c r="N349" s="25"/>
      <c r="O349" s="25"/>
      <c r="P349" s="25"/>
      <c r="Q349" s="25"/>
      <c r="R349" s="25"/>
      <c r="S349" s="25"/>
      <c r="T349" s="25"/>
      <c r="U349" s="25"/>
      <c r="V349" s="25"/>
      <c r="W349" s="25"/>
      <c r="X349" s="25"/>
      <c r="Y349" s="25"/>
      <c r="Z349" s="25"/>
      <c r="AA349" s="25"/>
      <c r="AB349" s="25"/>
      <c r="AC349" s="25"/>
      <c r="AD349" s="25"/>
    </row>
    <row r="350" spans="1:30" ht="15.75" customHeight="1">
      <c r="A350" s="25"/>
      <c r="B350" s="25"/>
      <c r="C350" s="25"/>
      <c r="D350" s="25"/>
      <c r="E350" s="25"/>
      <c r="F350" s="25"/>
      <c r="G350" s="25"/>
      <c r="H350" s="25"/>
      <c r="I350" s="40"/>
      <c r="J350" s="25"/>
      <c r="K350" s="25"/>
      <c r="L350" s="25"/>
      <c r="M350" s="25"/>
      <c r="N350" s="25"/>
      <c r="O350" s="25"/>
      <c r="P350" s="25"/>
      <c r="Q350" s="25"/>
      <c r="R350" s="25"/>
      <c r="S350" s="25"/>
      <c r="T350" s="25"/>
      <c r="U350" s="25"/>
      <c r="V350" s="25"/>
      <c r="W350" s="25"/>
      <c r="X350" s="25"/>
      <c r="Y350" s="25"/>
      <c r="Z350" s="25"/>
      <c r="AA350" s="25"/>
      <c r="AB350" s="25"/>
      <c r="AC350" s="25"/>
      <c r="AD350" s="25"/>
    </row>
    <row r="351" spans="1:30" ht="15.75" customHeight="1">
      <c r="A351" s="25"/>
      <c r="B351" s="25"/>
      <c r="C351" s="25"/>
      <c r="D351" s="25"/>
      <c r="E351" s="25"/>
      <c r="F351" s="25"/>
      <c r="G351" s="25"/>
      <c r="H351" s="25"/>
      <c r="I351" s="40"/>
      <c r="J351" s="25"/>
      <c r="K351" s="25"/>
      <c r="L351" s="25"/>
      <c r="M351" s="25"/>
      <c r="N351" s="25"/>
      <c r="O351" s="25"/>
      <c r="P351" s="25"/>
      <c r="Q351" s="25"/>
      <c r="R351" s="25"/>
      <c r="S351" s="25"/>
      <c r="T351" s="25"/>
      <c r="U351" s="25"/>
      <c r="V351" s="25"/>
      <c r="W351" s="25"/>
      <c r="X351" s="25"/>
      <c r="Y351" s="25"/>
      <c r="Z351" s="25"/>
      <c r="AA351" s="25"/>
      <c r="AB351" s="25"/>
      <c r="AC351" s="25"/>
      <c r="AD351" s="25"/>
    </row>
    <row r="352" spans="1:30" ht="15.75" customHeight="1">
      <c r="A352" s="25"/>
      <c r="B352" s="25"/>
      <c r="C352" s="25"/>
      <c r="D352" s="25"/>
      <c r="E352" s="25"/>
      <c r="F352" s="25"/>
      <c r="G352" s="25"/>
      <c r="H352" s="25"/>
      <c r="I352" s="40"/>
      <c r="J352" s="25"/>
      <c r="K352" s="25"/>
      <c r="L352" s="25"/>
      <c r="M352" s="25"/>
      <c r="N352" s="25"/>
      <c r="O352" s="25"/>
      <c r="P352" s="25"/>
      <c r="Q352" s="25"/>
      <c r="R352" s="25"/>
      <c r="S352" s="25"/>
      <c r="T352" s="25"/>
      <c r="U352" s="25"/>
      <c r="V352" s="25"/>
      <c r="W352" s="25"/>
      <c r="X352" s="25"/>
      <c r="Y352" s="25"/>
      <c r="Z352" s="25"/>
      <c r="AA352" s="25"/>
      <c r="AB352" s="25"/>
      <c r="AC352" s="25"/>
      <c r="AD352" s="25"/>
    </row>
    <row r="353" spans="1:30" ht="15.75" customHeight="1">
      <c r="A353" s="25"/>
      <c r="B353" s="25"/>
      <c r="C353" s="25"/>
      <c r="D353" s="25"/>
      <c r="E353" s="25"/>
      <c r="F353" s="25"/>
      <c r="G353" s="25"/>
      <c r="H353" s="25"/>
      <c r="I353" s="40"/>
      <c r="J353" s="25"/>
      <c r="K353" s="25"/>
      <c r="L353" s="25"/>
      <c r="M353" s="25"/>
      <c r="N353" s="25"/>
      <c r="O353" s="25"/>
      <c r="P353" s="25"/>
      <c r="Q353" s="25"/>
      <c r="R353" s="25"/>
      <c r="S353" s="25"/>
      <c r="T353" s="25"/>
      <c r="U353" s="25"/>
      <c r="V353" s="25"/>
      <c r="W353" s="25"/>
      <c r="X353" s="25"/>
      <c r="Y353" s="25"/>
      <c r="Z353" s="25"/>
      <c r="AA353" s="25"/>
      <c r="AB353" s="25"/>
      <c r="AC353" s="25"/>
      <c r="AD353" s="25"/>
    </row>
    <row r="354" spans="1:30" ht="15.75" customHeight="1">
      <c r="A354" s="25"/>
      <c r="B354" s="25"/>
      <c r="C354" s="25"/>
      <c r="D354" s="25"/>
      <c r="E354" s="25"/>
      <c r="F354" s="25"/>
      <c r="G354" s="25"/>
      <c r="H354" s="25"/>
      <c r="I354" s="40"/>
      <c r="J354" s="25"/>
      <c r="K354" s="25"/>
      <c r="L354" s="25"/>
      <c r="M354" s="25"/>
      <c r="N354" s="25"/>
      <c r="O354" s="25"/>
      <c r="P354" s="25"/>
      <c r="Q354" s="25"/>
      <c r="R354" s="25"/>
      <c r="S354" s="25"/>
      <c r="T354" s="25"/>
      <c r="U354" s="25"/>
      <c r="V354" s="25"/>
      <c r="W354" s="25"/>
      <c r="X354" s="25"/>
      <c r="Y354" s="25"/>
      <c r="Z354" s="25"/>
      <c r="AA354" s="25"/>
      <c r="AB354" s="25"/>
      <c r="AC354" s="25"/>
      <c r="AD354" s="25"/>
    </row>
    <row r="355" spans="1:30" ht="15.75" customHeight="1">
      <c r="A355" s="25"/>
      <c r="B355" s="25"/>
      <c r="C355" s="25"/>
      <c r="D355" s="25"/>
      <c r="E355" s="25"/>
      <c r="F355" s="25"/>
      <c r="G355" s="25"/>
      <c r="H355" s="25"/>
      <c r="I355" s="40"/>
      <c r="J355" s="25"/>
      <c r="K355" s="25"/>
      <c r="L355" s="25"/>
      <c r="M355" s="25"/>
      <c r="N355" s="25"/>
      <c r="O355" s="25"/>
      <c r="P355" s="25"/>
      <c r="Q355" s="25"/>
      <c r="R355" s="25"/>
      <c r="S355" s="25"/>
      <c r="T355" s="25"/>
      <c r="U355" s="25"/>
      <c r="V355" s="25"/>
      <c r="W355" s="25"/>
      <c r="X355" s="25"/>
      <c r="Y355" s="25"/>
      <c r="Z355" s="25"/>
      <c r="AA355" s="25"/>
      <c r="AB355" s="25"/>
      <c r="AC355" s="25"/>
      <c r="AD355" s="25"/>
    </row>
    <row r="356" spans="1:30" ht="15.75" customHeight="1">
      <c r="A356" s="25"/>
      <c r="B356" s="25"/>
      <c r="C356" s="25"/>
      <c r="D356" s="25"/>
      <c r="E356" s="25"/>
      <c r="F356" s="25"/>
      <c r="G356" s="25"/>
      <c r="H356" s="25"/>
      <c r="I356" s="40"/>
      <c r="J356" s="25"/>
      <c r="K356" s="25"/>
      <c r="L356" s="25"/>
      <c r="M356" s="25"/>
      <c r="N356" s="25"/>
      <c r="O356" s="25"/>
      <c r="P356" s="25"/>
      <c r="Q356" s="25"/>
      <c r="R356" s="25"/>
      <c r="S356" s="25"/>
      <c r="T356" s="25"/>
      <c r="U356" s="25"/>
      <c r="V356" s="25"/>
      <c r="W356" s="25"/>
      <c r="X356" s="25"/>
      <c r="Y356" s="25"/>
      <c r="Z356" s="25"/>
      <c r="AA356" s="25"/>
      <c r="AB356" s="25"/>
      <c r="AC356" s="25"/>
      <c r="AD356" s="25"/>
    </row>
    <row r="357" spans="1:30" ht="15.75" customHeight="1">
      <c r="A357" s="25"/>
      <c r="B357" s="25"/>
      <c r="C357" s="25"/>
      <c r="D357" s="25"/>
      <c r="E357" s="25"/>
      <c r="F357" s="25"/>
      <c r="G357" s="25"/>
      <c r="H357" s="25"/>
      <c r="I357" s="40"/>
      <c r="J357" s="25"/>
      <c r="K357" s="25"/>
      <c r="L357" s="25"/>
      <c r="M357" s="25"/>
      <c r="N357" s="25"/>
      <c r="O357" s="25"/>
      <c r="P357" s="25"/>
      <c r="Q357" s="25"/>
      <c r="R357" s="25"/>
      <c r="S357" s="25"/>
      <c r="T357" s="25"/>
      <c r="U357" s="25"/>
      <c r="V357" s="25"/>
      <c r="W357" s="25"/>
      <c r="X357" s="25"/>
      <c r="Y357" s="25"/>
      <c r="Z357" s="25"/>
      <c r="AA357" s="25"/>
      <c r="AB357" s="25"/>
      <c r="AC357" s="25"/>
      <c r="AD357" s="25"/>
    </row>
    <row r="358" spans="1:30" ht="15.75" customHeight="1">
      <c r="A358" s="25"/>
      <c r="B358" s="25"/>
      <c r="C358" s="25"/>
      <c r="D358" s="25"/>
      <c r="E358" s="25"/>
      <c r="F358" s="25"/>
      <c r="G358" s="25"/>
      <c r="H358" s="25"/>
      <c r="I358" s="40"/>
      <c r="J358" s="25"/>
      <c r="K358" s="25"/>
      <c r="L358" s="25"/>
      <c r="M358" s="25"/>
      <c r="N358" s="25"/>
      <c r="O358" s="25"/>
      <c r="P358" s="25"/>
      <c r="Q358" s="25"/>
      <c r="R358" s="25"/>
      <c r="S358" s="25"/>
      <c r="T358" s="25"/>
      <c r="U358" s="25"/>
      <c r="V358" s="25"/>
      <c r="W358" s="25"/>
      <c r="X358" s="25"/>
      <c r="Y358" s="25"/>
      <c r="Z358" s="25"/>
      <c r="AA358" s="25"/>
      <c r="AB358" s="25"/>
      <c r="AC358" s="25"/>
      <c r="AD358" s="25"/>
    </row>
    <row r="359" spans="1:30" ht="15.75" customHeight="1">
      <c r="A359" s="25"/>
      <c r="B359" s="25"/>
      <c r="C359" s="25"/>
      <c r="D359" s="25"/>
      <c r="E359" s="25"/>
      <c r="F359" s="25"/>
      <c r="G359" s="25"/>
      <c r="H359" s="25"/>
      <c r="I359" s="40"/>
      <c r="J359" s="25"/>
      <c r="K359" s="25"/>
      <c r="L359" s="25"/>
      <c r="M359" s="25"/>
      <c r="N359" s="25"/>
      <c r="O359" s="25"/>
      <c r="P359" s="25"/>
      <c r="Q359" s="25"/>
      <c r="R359" s="25"/>
      <c r="S359" s="25"/>
      <c r="T359" s="25"/>
      <c r="U359" s="25"/>
      <c r="V359" s="25"/>
      <c r="W359" s="25"/>
      <c r="X359" s="25"/>
      <c r="Y359" s="25"/>
      <c r="Z359" s="25"/>
      <c r="AA359" s="25"/>
      <c r="AB359" s="25"/>
      <c r="AC359" s="25"/>
      <c r="AD359" s="25"/>
    </row>
    <row r="360" spans="1:30" ht="15.75" customHeight="1">
      <c r="A360" s="25"/>
      <c r="B360" s="25"/>
      <c r="C360" s="25"/>
      <c r="D360" s="25"/>
      <c r="E360" s="25"/>
      <c r="F360" s="25"/>
      <c r="G360" s="25"/>
      <c r="H360" s="25"/>
      <c r="I360" s="40"/>
      <c r="J360" s="25"/>
      <c r="K360" s="25"/>
      <c r="L360" s="25"/>
      <c r="M360" s="25"/>
      <c r="N360" s="25"/>
      <c r="O360" s="25"/>
      <c r="P360" s="25"/>
      <c r="Q360" s="25"/>
      <c r="R360" s="25"/>
      <c r="S360" s="25"/>
      <c r="T360" s="25"/>
      <c r="U360" s="25"/>
      <c r="V360" s="25"/>
      <c r="W360" s="25"/>
      <c r="X360" s="25"/>
      <c r="Y360" s="25"/>
      <c r="Z360" s="25"/>
      <c r="AA360" s="25"/>
      <c r="AB360" s="25"/>
      <c r="AC360" s="25"/>
      <c r="AD360" s="25"/>
    </row>
    <row r="361" spans="1:30" ht="15.75" customHeight="1">
      <c r="A361" s="25"/>
      <c r="B361" s="25"/>
      <c r="C361" s="25"/>
      <c r="D361" s="25"/>
      <c r="E361" s="25"/>
      <c r="F361" s="25"/>
      <c r="G361" s="25"/>
      <c r="H361" s="25"/>
      <c r="I361" s="40"/>
      <c r="J361" s="25"/>
      <c r="K361" s="25"/>
      <c r="L361" s="25"/>
      <c r="M361" s="25"/>
      <c r="N361" s="25"/>
      <c r="O361" s="25"/>
      <c r="P361" s="25"/>
      <c r="Q361" s="25"/>
      <c r="R361" s="25"/>
      <c r="S361" s="25"/>
      <c r="T361" s="25"/>
      <c r="U361" s="25"/>
      <c r="V361" s="25"/>
      <c r="W361" s="25"/>
      <c r="X361" s="25"/>
      <c r="Y361" s="25"/>
      <c r="Z361" s="25"/>
      <c r="AA361" s="25"/>
      <c r="AB361" s="25"/>
      <c r="AC361" s="25"/>
      <c r="AD361" s="25"/>
    </row>
    <row r="362" spans="1:30" ht="15.75" customHeight="1">
      <c r="A362" s="25"/>
      <c r="B362" s="25"/>
      <c r="C362" s="25"/>
      <c r="D362" s="25"/>
      <c r="E362" s="25"/>
      <c r="F362" s="25"/>
      <c r="G362" s="25"/>
      <c r="H362" s="25"/>
      <c r="I362" s="40"/>
      <c r="J362" s="25"/>
      <c r="K362" s="25"/>
      <c r="L362" s="25"/>
      <c r="M362" s="25"/>
      <c r="N362" s="25"/>
      <c r="O362" s="25"/>
      <c r="P362" s="25"/>
      <c r="Q362" s="25"/>
      <c r="R362" s="25"/>
      <c r="S362" s="25"/>
      <c r="T362" s="25"/>
      <c r="U362" s="25"/>
      <c r="V362" s="25"/>
      <c r="W362" s="25"/>
      <c r="X362" s="25"/>
      <c r="Y362" s="25"/>
      <c r="Z362" s="25"/>
      <c r="AA362" s="25"/>
      <c r="AB362" s="25"/>
      <c r="AC362" s="25"/>
      <c r="AD362" s="25"/>
    </row>
    <row r="363" spans="1:30" ht="15.75" customHeight="1">
      <c r="A363" s="25"/>
      <c r="B363" s="25"/>
      <c r="C363" s="25"/>
      <c r="D363" s="25"/>
      <c r="E363" s="25"/>
      <c r="F363" s="25"/>
      <c r="G363" s="25"/>
      <c r="H363" s="25"/>
      <c r="I363" s="40"/>
      <c r="J363" s="25"/>
      <c r="K363" s="25"/>
      <c r="L363" s="25"/>
      <c r="M363" s="25"/>
      <c r="N363" s="25"/>
      <c r="O363" s="25"/>
      <c r="P363" s="25"/>
      <c r="Q363" s="25"/>
      <c r="R363" s="25"/>
      <c r="S363" s="25"/>
      <c r="T363" s="25"/>
      <c r="U363" s="25"/>
      <c r="V363" s="25"/>
      <c r="W363" s="25"/>
      <c r="X363" s="25"/>
      <c r="Y363" s="25"/>
      <c r="Z363" s="25"/>
      <c r="AA363" s="25"/>
      <c r="AB363" s="25"/>
      <c r="AC363" s="25"/>
      <c r="AD363" s="25"/>
    </row>
    <row r="364" spans="1:30" ht="15.75" customHeight="1">
      <c r="A364" s="25"/>
      <c r="B364" s="25"/>
      <c r="C364" s="25"/>
      <c r="D364" s="25"/>
      <c r="E364" s="25"/>
      <c r="F364" s="25"/>
      <c r="G364" s="25"/>
      <c r="H364" s="25"/>
      <c r="I364" s="40"/>
      <c r="J364" s="25"/>
      <c r="K364" s="25"/>
      <c r="L364" s="25"/>
      <c r="M364" s="25"/>
      <c r="N364" s="25"/>
      <c r="O364" s="25"/>
      <c r="P364" s="25"/>
      <c r="Q364" s="25"/>
      <c r="R364" s="25"/>
      <c r="S364" s="25"/>
      <c r="T364" s="25"/>
      <c r="U364" s="25"/>
      <c r="V364" s="25"/>
      <c r="W364" s="25"/>
      <c r="X364" s="25"/>
      <c r="Y364" s="25"/>
      <c r="Z364" s="25"/>
      <c r="AA364" s="25"/>
      <c r="AB364" s="25"/>
      <c r="AC364" s="25"/>
      <c r="AD364" s="25"/>
    </row>
    <row r="365" spans="1:30" ht="15.75" customHeight="1">
      <c r="A365" s="25"/>
      <c r="B365" s="25"/>
      <c r="C365" s="25"/>
      <c r="D365" s="25"/>
      <c r="E365" s="25"/>
      <c r="F365" s="25"/>
      <c r="G365" s="25"/>
      <c r="H365" s="25"/>
      <c r="I365" s="40"/>
      <c r="J365" s="25"/>
      <c r="K365" s="25"/>
      <c r="L365" s="25"/>
      <c r="M365" s="25"/>
      <c r="N365" s="25"/>
      <c r="O365" s="25"/>
      <c r="P365" s="25"/>
      <c r="Q365" s="25"/>
      <c r="R365" s="25"/>
      <c r="S365" s="25"/>
      <c r="T365" s="25"/>
      <c r="U365" s="25"/>
      <c r="V365" s="25"/>
      <c r="W365" s="25"/>
      <c r="X365" s="25"/>
      <c r="Y365" s="25"/>
      <c r="Z365" s="25"/>
      <c r="AA365" s="25"/>
      <c r="AB365" s="25"/>
      <c r="AC365" s="25"/>
      <c r="AD365" s="25"/>
    </row>
    <row r="366" spans="1:30" ht="15.75" customHeight="1">
      <c r="A366" s="25"/>
      <c r="B366" s="25"/>
      <c r="C366" s="25"/>
      <c r="D366" s="25"/>
      <c r="E366" s="25"/>
      <c r="F366" s="25"/>
      <c r="G366" s="25"/>
      <c r="H366" s="25"/>
      <c r="I366" s="40"/>
      <c r="J366" s="25"/>
      <c r="K366" s="25"/>
      <c r="L366" s="25"/>
      <c r="M366" s="25"/>
      <c r="N366" s="25"/>
      <c r="O366" s="25"/>
      <c r="P366" s="25"/>
      <c r="Q366" s="25"/>
      <c r="R366" s="25"/>
      <c r="S366" s="25"/>
      <c r="T366" s="25"/>
      <c r="U366" s="25"/>
      <c r="V366" s="25"/>
      <c r="W366" s="25"/>
      <c r="X366" s="25"/>
      <c r="Y366" s="25"/>
      <c r="Z366" s="25"/>
      <c r="AA366" s="25"/>
      <c r="AB366" s="25"/>
      <c r="AC366" s="25"/>
      <c r="AD366" s="25"/>
    </row>
    <row r="367" spans="1:30" ht="15.75" customHeight="1">
      <c r="A367" s="25"/>
      <c r="B367" s="25"/>
      <c r="C367" s="25"/>
      <c r="D367" s="25"/>
      <c r="E367" s="25"/>
      <c r="F367" s="25"/>
      <c r="G367" s="25"/>
      <c r="H367" s="25"/>
      <c r="I367" s="40"/>
      <c r="J367" s="25"/>
      <c r="K367" s="25"/>
      <c r="L367" s="25"/>
      <c r="M367" s="25"/>
      <c r="N367" s="25"/>
      <c r="O367" s="25"/>
      <c r="P367" s="25"/>
      <c r="Q367" s="25"/>
      <c r="R367" s="25"/>
      <c r="S367" s="25"/>
      <c r="T367" s="25"/>
      <c r="U367" s="25"/>
      <c r="V367" s="25"/>
      <c r="W367" s="25"/>
      <c r="X367" s="25"/>
      <c r="Y367" s="25"/>
      <c r="Z367" s="25"/>
      <c r="AA367" s="25"/>
      <c r="AB367" s="25"/>
      <c r="AC367" s="25"/>
      <c r="AD367" s="25"/>
    </row>
    <row r="368" spans="1:30" ht="15.75" customHeight="1">
      <c r="A368" s="25"/>
      <c r="B368" s="25"/>
      <c r="C368" s="25"/>
      <c r="D368" s="25"/>
      <c r="E368" s="25"/>
      <c r="F368" s="25"/>
      <c r="G368" s="25"/>
      <c r="H368" s="25"/>
      <c r="I368" s="40"/>
      <c r="J368" s="25"/>
      <c r="K368" s="25"/>
      <c r="L368" s="25"/>
      <c r="M368" s="25"/>
      <c r="N368" s="25"/>
      <c r="O368" s="25"/>
      <c r="P368" s="25"/>
      <c r="Q368" s="25"/>
      <c r="R368" s="25"/>
      <c r="S368" s="25"/>
      <c r="T368" s="25"/>
      <c r="U368" s="25"/>
      <c r="V368" s="25"/>
      <c r="W368" s="25"/>
      <c r="X368" s="25"/>
      <c r="Y368" s="25"/>
      <c r="Z368" s="25"/>
      <c r="AA368" s="25"/>
      <c r="AB368" s="25"/>
      <c r="AC368" s="25"/>
      <c r="AD368" s="25"/>
    </row>
    <row r="369" spans="1:30" ht="15.75" customHeight="1">
      <c r="A369" s="25"/>
      <c r="B369" s="25"/>
      <c r="C369" s="25"/>
      <c r="D369" s="25"/>
      <c r="E369" s="25"/>
      <c r="F369" s="25"/>
      <c r="G369" s="25"/>
      <c r="H369" s="25"/>
      <c r="I369" s="40"/>
      <c r="J369" s="25"/>
      <c r="K369" s="25"/>
      <c r="L369" s="25"/>
      <c r="M369" s="25"/>
      <c r="N369" s="25"/>
      <c r="O369" s="25"/>
      <c r="P369" s="25"/>
      <c r="Q369" s="25"/>
      <c r="R369" s="25"/>
      <c r="S369" s="25"/>
      <c r="T369" s="25"/>
      <c r="U369" s="25"/>
      <c r="V369" s="25"/>
      <c r="W369" s="25"/>
      <c r="X369" s="25"/>
      <c r="Y369" s="25"/>
      <c r="Z369" s="25"/>
      <c r="AA369" s="25"/>
      <c r="AB369" s="25"/>
      <c r="AC369" s="25"/>
      <c r="AD369" s="25"/>
    </row>
    <row r="370" spans="1:30" ht="15.75" customHeight="1">
      <c r="A370" s="25"/>
      <c r="B370" s="25"/>
      <c r="C370" s="25"/>
      <c r="D370" s="25"/>
      <c r="E370" s="25"/>
      <c r="F370" s="25"/>
      <c r="G370" s="25"/>
      <c r="H370" s="25"/>
      <c r="I370" s="40"/>
      <c r="J370" s="25"/>
      <c r="K370" s="25"/>
      <c r="L370" s="25"/>
      <c r="M370" s="25"/>
      <c r="N370" s="25"/>
      <c r="O370" s="25"/>
      <c r="P370" s="25"/>
      <c r="Q370" s="25"/>
      <c r="R370" s="25"/>
      <c r="S370" s="25"/>
      <c r="T370" s="25"/>
      <c r="U370" s="25"/>
      <c r="V370" s="25"/>
      <c r="W370" s="25"/>
      <c r="X370" s="25"/>
      <c r="Y370" s="25"/>
      <c r="Z370" s="25"/>
      <c r="AA370" s="25"/>
      <c r="AB370" s="25"/>
      <c r="AC370" s="25"/>
      <c r="AD370" s="25"/>
    </row>
    <row r="371" spans="1:30" ht="15.75" customHeight="1">
      <c r="A371" s="25"/>
      <c r="B371" s="25"/>
      <c r="C371" s="25"/>
      <c r="D371" s="25"/>
      <c r="E371" s="25"/>
      <c r="F371" s="25"/>
      <c r="G371" s="25"/>
      <c r="H371" s="25"/>
      <c r="I371" s="40"/>
      <c r="J371" s="25"/>
      <c r="K371" s="25"/>
      <c r="L371" s="25"/>
      <c r="M371" s="25"/>
      <c r="N371" s="25"/>
      <c r="O371" s="25"/>
      <c r="P371" s="25"/>
      <c r="Q371" s="25"/>
      <c r="R371" s="25"/>
      <c r="S371" s="25"/>
      <c r="T371" s="25"/>
      <c r="U371" s="25"/>
      <c r="V371" s="25"/>
      <c r="W371" s="25"/>
      <c r="X371" s="25"/>
      <c r="Y371" s="25"/>
      <c r="Z371" s="25"/>
      <c r="AA371" s="25"/>
      <c r="AB371" s="25"/>
      <c r="AC371" s="25"/>
      <c r="AD371" s="25"/>
    </row>
    <row r="372" spans="1:30" ht="15.75" customHeight="1">
      <c r="A372" s="25"/>
      <c r="B372" s="25"/>
      <c r="C372" s="25"/>
      <c r="D372" s="25"/>
      <c r="E372" s="25"/>
      <c r="F372" s="25"/>
      <c r="G372" s="25"/>
      <c r="H372" s="25"/>
      <c r="I372" s="40"/>
      <c r="J372" s="25"/>
      <c r="K372" s="25"/>
      <c r="L372" s="25"/>
      <c r="M372" s="25"/>
      <c r="N372" s="25"/>
      <c r="O372" s="25"/>
      <c r="P372" s="25"/>
      <c r="Q372" s="25"/>
      <c r="R372" s="25"/>
      <c r="S372" s="25"/>
      <c r="T372" s="25"/>
      <c r="U372" s="25"/>
      <c r="V372" s="25"/>
      <c r="W372" s="25"/>
      <c r="X372" s="25"/>
      <c r="Y372" s="25"/>
      <c r="Z372" s="25"/>
      <c r="AA372" s="25"/>
      <c r="AB372" s="25"/>
      <c r="AC372" s="25"/>
      <c r="AD372" s="25"/>
    </row>
    <row r="373" spans="1:30" ht="15.75" customHeight="1">
      <c r="A373" s="25"/>
      <c r="B373" s="25"/>
      <c r="C373" s="25"/>
      <c r="D373" s="25"/>
      <c r="E373" s="25"/>
      <c r="F373" s="25"/>
      <c r="G373" s="25"/>
      <c r="H373" s="25"/>
      <c r="I373" s="40"/>
      <c r="J373" s="25"/>
      <c r="K373" s="25"/>
      <c r="L373" s="25"/>
      <c r="M373" s="25"/>
      <c r="N373" s="25"/>
      <c r="O373" s="25"/>
      <c r="P373" s="25"/>
      <c r="Q373" s="25"/>
      <c r="R373" s="25"/>
      <c r="S373" s="25"/>
      <c r="T373" s="25"/>
      <c r="U373" s="25"/>
      <c r="V373" s="25"/>
      <c r="W373" s="25"/>
      <c r="X373" s="25"/>
      <c r="Y373" s="25"/>
      <c r="Z373" s="25"/>
      <c r="AA373" s="25"/>
      <c r="AB373" s="25"/>
      <c r="AC373" s="25"/>
      <c r="AD373" s="25"/>
    </row>
    <row r="374" spans="1:30" ht="15.75" customHeight="1">
      <c r="A374" s="25"/>
      <c r="B374" s="25"/>
      <c r="C374" s="25"/>
      <c r="D374" s="25"/>
      <c r="E374" s="25"/>
      <c r="F374" s="25"/>
      <c r="G374" s="25"/>
      <c r="H374" s="25"/>
      <c r="I374" s="40"/>
      <c r="J374" s="25"/>
      <c r="K374" s="25"/>
      <c r="L374" s="25"/>
      <c r="M374" s="25"/>
      <c r="N374" s="25"/>
      <c r="O374" s="25"/>
      <c r="P374" s="25"/>
      <c r="Q374" s="25"/>
      <c r="R374" s="25"/>
      <c r="S374" s="25"/>
      <c r="T374" s="25"/>
      <c r="U374" s="25"/>
      <c r="V374" s="25"/>
      <c r="W374" s="25"/>
      <c r="X374" s="25"/>
      <c r="Y374" s="25"/>
      <c r="Z374" s="25"/>
      <c r="AA374" s="25"/>
      <c r="AB374" s="25"/>
      <c r="AC374" s="25"/>
      <c r="AD374" s="25"/>
    </row>
    <row r="375" spans="1:30" ht="15.75" customHeight="1">
      <c r="A375" s="25"/>
      <c r="B375" s="25"/>
      <c r="C375" s="25"/>
      <c r="D375" s="25"/>
      <c r="E375" s="25"/>
      <c r="F375" s="25"/>
      <c r="G375" s="25"/>
      <c r="H375" s="25"/>
      <c r="I375" s="40"/>
      <c r="J375" s="25"/>
      <c r="K375" s="25"/>
      <c r="L375" s="25"/>
      <c r="M375" s="25"/>
      <c r="N375" s="25"/>
      <c r="O375" s="25"/>
      <c r="P375" s="25"/>
      <c r="Q375" s="25"/>
      <c r="R375" s="25"/>
      <c r="S375" s="25"/>
      <c r="T375" s="25"/>
      <c r="U375" s="25"/>
      <c r="V375" s="25"/>
      <c r="W375" s="25"/>
      <c r="X375" s="25"/>
      <c r="Y375" s="25"/>
      <c r="Z375" s="25"/>
      <c r="AA375" s="25"/>
      <c r="AB375" s="25"/>
      <c r="AC375" s="25"/>
      <c r="AD375" s="25"/>
    </row>
    <row r="376" spans="1:30" ht="15.75" customHeight="1">
      <c r="A376" s="25"/>
      <c r="B376" s="25"/>
      <c r="C376" s="25"/>
      <c r="D376" s="25"/>
      <c r="E376" s="25"/>
      <c r="F376" s="25"/>
      <c r="G376" s="25"/>
      <c r="H376" s="25"/>
      <c r="I376" s="40"/>
      <c r="J376" s="25"/>
      <c r="K376" s="25"/>
      <c r="L376" s="25"/>
      <c r="M376" s="25"/>
      <c r="N376" s="25"/>
      <c r="O376" s="25"/>
      <c r="P376" s="25"/>
      <c r="Q376" s="25"/>
      <c r="R376" s="25"/>
      <c r="S376" s="25"/>
      <c r="T376" s="25"/>
      <c r="U376" s="25"/>
      <c r="V376" s="25"/>
      <c r="W376" s="25"/>
      <c r="X376" s="25"/>
      <c r="Y376" s="25"/>
      <c r="Z376" s="25"/>
      <c r="AA376" s="25"/>
      <c r="AB376" s="25"/>
      <c r="AC376" s="25"/>
      <c r="AD376" s="25"/>
    </row>
    <row r="377" spans="1:30" ht="15.75" customHeight="1">
      <c r="A377" s="25"/>
      <c r="B377" s="25"/>
      <c r="C377" s="25"/>
      <c r="D377" s="25"/>
      <c r="E377" s="25"/>
      <c r="F377" s="25"/>
      <c r="G377" s="25"/>
      <c r="H377" s="25"/>
      <c r="I377" s="40"/>
      <c r="J377" s="25"/>
      <c r="K377" s="25"/>
      <c r="L377" s="25"/>
      <c r="M377" s="25"/>
      <c r="N377" s="25"/>
      <c r="O377" s="25"/>
      <c r="P377" s="25"/>
      <c r="Q377" s="25"/>
      <c r="R377" s="25"/>
      <c r="S377" s="25"/>
      <c r="T377" s="25"/>
      <c r="U377" s="25"/>
      <c r="V377" s="25"/>
      <c r="W377" s="25"/>
      <c r="X377" s="25"/>
      <c r="Y377" s="25"/>
      <c r="Z377" s="25"/>
      <c r="AA377" s="25"/>
      <c r="AB377" s="25"/>
      <c r="AC377" s="25"/>
      <c r="AD377" s="25"/>
    </row>
    <row r="378" spans="1:30" ht="15.75" customHeight="1">
      <c r="A378" s="25"/>
      <c r="B378" s="25"/>
      <c r="C378" s="25"/>
      <c r="D378" s="25"/>
      <c r="E378" s="25"/>
      <c r="F378" s="25"/>
      <c r="G378" s="25"/>
      <c r="H378" s="25"/>
      <c r="I378" s="40"/>
      <c r="J378" s="25"/>
      <c r="K378" s="25"/>
      <c r="L378" s="25"/>
      <c r="M378" s="25"/>
      <c r="N378" s="25"/>
      <c r="O378" s="25"/>
      <c r="P378" s="25"/>
      <c r="Q378" s="25"/>
      <c r="R378" s="25"/>
      <c r="S378" s="25"/>
      <c r="T378" s="25"/>
      <c r="U378" s="25"/>
      <c r="V378" s="25"/>
      <c r="W378" s="25"/>
      <c r="X378" s="25"/>
      <c r="Y378" s="25"/>
      <c r="Z378" s="25"/>
      <c r="AA378" s="25"/>
      <c r="AB378" s="25"/>
      <c r="AC378" s="25"/>
      <c r="AD378" s="25"/>
    </row>
    <row r="379" spans="1:30" ht="15.75" customHeight="1">
      <c r="A379" s="25"/>
      <c r="B379" s="25"/>
      <c r="C379" s="25"/>
      <c r="D379" s="25"/>
      <c r="E379" s="25"/>
      <c r="F379" s="25"/>
      <c r="G379" s="25"/>
      <c r="H379" s="25"/>
      <c r="I379" s="40"/>
      <c r="J379" s="25"/>
      <c r="K379" s="25"/>
      <c r="L379" s="25"/>
      <c r="M379" s="25"/>
      <c r="N379" s="25"/>
      <c r="O379" s="25"/>
      <c r="P379" s="25"/>
      <c r="Q379" s="25"/>
      <c r="R379" s="25"/>
      <c r="S379" s="25"/>
      <c r="T379" s="25"/>
      <c r="U379" s="25"/>
      <c r="V379" s="25"/>
      <c r="W379" s="25"/>
      <c r="X379" s="25"/>
      <c r="Y379" s="25"/>
      <c r="Z379" s="25"/>
      <c r="AA379" s="25"/>
      <c r="AB379" s="25"/>
      <c r="AC379" s="25"/>
      <c r="AD379" s="25"/>
    </row>
    <row r="380" spans="1:30" ht="15.75" customHeight="1">
      <c r="A380" s="25"/>
      <c r="B380" s="25"/>
      <c r="C380" s="25"/>
      <c r="D380" s="25"/>
      <c r="E380" s="25"/>
      <c r="F380" s="25"/>
      <c r="G380" s="25"/>
      <c r="H380" s="25"/>
      <c r="I380" s="40"/>
      <c r="J380" s="25"/>
      <c r="K380" s="25"/>
      <c r="L380" s="25"/>
      <c r="M380" s="25"/>
      <c r="N380" s="25"/>
      <c r="O380" s="25"/>
      <c r="P380" s="25"/>
      <c r="Q380" s="25"/>
      <c r="R380" s="25"/>
      <c r="S380" s="25"/>
      <c r="T380" s="25"/>
      <c r="U380" s="25"/>
      <c r="V380" s="25"/>
      <c r="W380" s="25"/>
      <c r="X380" s="25"/>
      <c r="Y380" s="25"/>
      <c r="Z380" s="25"/>
      <c r="AA380" s="25"/>
      <c r="AB380" s="25"/>
      <c r="AC380" s="25"/>
      <c r="AD380" s="25"/>
    </row>
    <row r="381" spans="1:30" ht="15.75" customHeight="1">
      <c r="A381" s="25"/>
      <c r="B381" s="25"/>
      <c r="C381" s="25"/>
      <c r="D381" s="25"/>
      <c r="E381" s="25"/>
      <c r="F381" s="25"/>
      <c r="G381" s="25"/>
      <c r="H381" s="25"/>
      <c r="I381" s="40"/>
      <c r="J381" s="25"/>
      <c r="K381" s="25"/>
      <c r="L381" s="25"/>
      <c r="M381" s="25"/>
      <c r="N381" s="25"/>
      <c r="O381" s="25"/>
      <c r="P381" s="25"/>
      <c r="Q381" s="25"/>
      <c r="R381" s="25"/>
      <c r="S381" s="25"/>
      <c r="T381" s="25"/>
      <c r="U381" s="25"/>
      <c r="V381" s="25"/>
      <c r="W381" s="25"/>
      <c r="X381" s="25"/>
      <c r="Y381" s="25"/>
      <c r="Z381" s="25"/>
      <c r="AA381" s="25"/>
      <c r="AB381" s="25"/>
      <c r="AC381" s="25"/>
      <c r="AD381" s="25"/>
    </row>
    <row r="382" spans="1:30" ht="15.75" customHeight="1">
      <c r="A382" s="25"/>
      <c r="B382" s="25"/>
      <c r="C382" s="25"/>
      <c r="D382" s="25"/>
      <c r="E382" s="25"/>
      <c r="F382" s="25"/>
      <c r="G382" s="25"/>
      <c r="H382" s="25"/>
      <c r="I382" s="40"/>
      <c r="J382" s="25"/>
      <c r="K382" s="25"/>
      <c r="L382" s="25"/>
      <c r="M382" s="25"/>
      <c r="N382" s="25"/>
      <c r="O382" s="25"/>
      <c r="P382" s="25"/>
      <c r="Q382" s="25"/>
      <c r="R382" s="25"/>
      <c r="S382" s="25"/>
      <c r="T382" s="25"/>
      <c r="U382" s="25"/>
      <c r="V382" s="25"/>
      <c r="W382" s="25"/>
      <c r="X382" s="25"/>
      <c r="Y382" s="25"/>
      <c r="Z382" s="25"/>
      <c r="AA382" s="25"/>
      <c r="AB382" s="25"/>
      <c r="AC382" s="25"/>
      <c r="AD382" s="25"/>
    </row>
    <row r="383" spans="1:30" ht="15.75" customHeight="1">
      <c r="A383" s="25"/>
      <c r="B383" s="25"/>
      <c r="C383" s="25"/>
      <c r="D383" s="25"/>
      <c r="E383" s="25"/>
      <c r="F383" s="25"/>
      <c r="G383" s="25"/>
      <c r="H383" s="25"/>
      <c r="I383" s="40"/>
      <c r="J383" s="25"/>
      <c r="K383" s="25"/>
      <c r="L383" s="25"/>
      <c r="M383" s="25"/>
      <c r="N383" s="25"/>
      <c r="O383" s="25"/>
      <c r="P383" s="25"/>
      <c r="Q383" s="25"/>
      <c r="R383" s="25"/>
      <c r="S383" s="25"/>
      <c r="T383" s="25"/>
      <c r="U383" s="25"/>
      <c r="V383" s="25"/>
      <c r="W383" s="25"/>
      <c r="X383" s="25"/>
      <c r="Y383" s="25"/>
      <c r="Z383" s="25"/>
      <c r="AA383" s="25"/>
      <c r="AB383" s="25"/>
      <c r="AC383" s="25"/>
      <c r="AD383" s="25"/>
    </row>
    <row r="384" spans="1:30" ht="15.75" customHeight="1">
      <c r="A384" s="25"/>
      <c r="B384" s="25"/>
      <c r="C384" s="25"/>
      <c r="D384" s="25"/>
      <c r="E384" s="25"/>
      <c r="F384" s="25"/>
      <c r="G384" s="25"/>
      <c r="H384" s="25"/>
      <c r="I384" s="40"/>
      <c r="J384" s="25"/>
      <c r="K384" s="25"/>
      <c r="L384" s="25"/>
      <c r="M384" s="25"/>
      <c r="N384" s="25"/>
      <c r="O384" s="25"/>
      <c r="P384" s="25"/>
      <c r="Q384" s="25"/>
      <c r="R384" s="25"/>
      <c r="S384" s="25"/>
      <c r="T384" s="25"/>
      <c r="U384" s="25"/>
      <c r="V384" s="25"/>
      <c r="W384" s="25"/>
      <c r="X384" s="25"/>
      <c r="Y384" s="25"/>
      <c r="Z384" s="25"/>
      <c r="AA384" s="25"/>
      <c r="AB384" s="25"/>
      <c r="AC384" s="25"/>
      <c r="AD384" s="25"/>
    </row>
    <row r="385" spans="1:30" ht="15.75" customHeight="1">
      <c r="A385" s="25"/>
      <c r="B385" s="25"/>
      <c r="C385" s="25"/>
      <c r="D385" s="25"/>
      <c r="E385" s="25"/>
      <c r="F385" s="25"/>
      <c r="G385" s="25"/>
      <c r="H385" s="25"/>
      <c r="I385" s="40"/>
      <c r="J385" s="25"/>
      <c r="K385" s="25"/>
      <c r="L385" s="25"/>
      <c r="M385" s="25"/>
      <c r="N385" s="25"/>
      <c r="O385" s="25"/>
      <c r="P385" s="25"/>
      <c r="Q385" s="25"/>
      <c r="R385" s="25"/>
      <c r="S385" s="25"/>
      <c r="T385" s="25"/>
      <c r="U385" s="25"/>
      <c r="V385" s="25"/>
      <c r="W385" s="25"/>
      <c r="X385" s="25"/>
      <c r="Y385" s="25"/>
      <c r="Z385" s="25"/>
      <c r="AA385" s="25"/>
      <c r="AB385" s="25"/>
      <c r="AC385" s="25"/>
      <c r="AD385" s="25"/>
    </row>
    <row r="386" spans="1:30" ht="15.75" customHeight="1">
      <c r="A386" s="25"/>
      <c r="B386" s="25"/>
      <c r="C386" s="25"/>
      <c r="D386" s="25"/>
      <c r="E386" s="25"/>
      <c r="F386" s="25"/>
      <c r="G386" s="25"/>
      <c r="H386" s="25"/>
      <c r="I386" s="40"/>
      <c r="J386" s="25"/>
      <c r="K386" s="25"/>
      <c r="L386" s="25"/>
      <c r="M386" s="25"/>
      <c r="N386" s="25"/>
      <c r="O386" s="25"/>
      <c r="P386" s="25"/>
      <c r="Q386" s="25"/>
      <c r="R386" s="25"/>
      <c r="S386" s="25"/>
      <c r="T386" s="25"/>
      <c r="U386" s="25"/>
      <c r="V386" s="25"/>
      <c r="W386" s="25"/>
      <c r="X386" s="25"/>
      <c r="Y386" s="25"/>
      <c r="Z386" s="25"/>
      <c r="AA386" s="25"/>
      <c r="AB386" s="25"/>
      <c r="AC386" s="25"/>
      <c r="AD386" s="25"/>
    </row>
    <row r="387" spans="1:30" ht="15.75" customHeight="1">
      <c r="A387" s="25"/>
      <c r="B387" s="25"/>
      <c r="C387" s="25"/>
      <c r="D387" s="25"/>
      <c r="E387" s="25"/>
      <c r="F387" s="25"/>
      <c r="G387" s="25"/>
      <c r="H387" s="25"/>
      <c r="I387" s="40"/>
      <c r="J387" s="25"/>
      <c r="K387" s="25"/>
      <c r="L387" s="25"/>
      <c r="M387" s="25"/>
      <c r="N387" s="25"/>
      <c r="O387" s="25"/>
      <c r="P387" s="25"/>
      <c r="Q387" s="25"/>
      <c r="R387" s="25"/>
      <c r="S387" s="25"/>
      <c r="T387" s="25"/>
      <c r="U387" s="25"/>
      <c r="V387" s="25"/>
      <c r="W387" s="25"/>
      <c r="X387" s="25"/>
      <c r="Y387" s="25"/>
      <c r="Z387" s="25"/>
      <c r="AA387" s="25"/>
      <c r="AB387" s="25"/>
      <c r="AC387" s="25"/>
      <c r="AD387" s="25"/>
    </row>
    <row r="388" spans="1:30" ht="15.75" customHeight="1">
      <c r="A388" s="25"/>
      <c r="B388" s="25"/>
      <c r="C388" s="25"/>
      <c r="D388" s="25"/>
      <c r="E388" s="25"/>
      <c r="F388" s="25"/>
      <c r="G388" s="25"/>
      <c r="H388" s="25"/>
      <c r="I388" s="40"/>
      <c r="J388" s="25"/>
      <c r="K388" s="25"/>
      <c r="L388" s="25"/>
      <c r="M388" s="25"/>
      <c r="N388" s="25"/>
      <c r="O388" s="25"/>
      <c r="P388" s="25"/>
      <c r="Q388" s="25"/>
      <c r="R388" s="25"/>
      <c r="S388" s="25"/>
      <c r="T388" s="25"/>
      <c r="U388" s="25"/>
      <c r="V388" s="25"/>
      <c r="W388" s="25"/>
      <c r="X388" s="25"/>
      <c r="Y388" s="25"/>
      <c r="Z388" s="25"/>
      <c r="AA388" s="25"/>
      <c r="AB388" s="25"/>
      <c r="AC388" s="25"/>
      <c r="AD388" s="25"/>
    </row>
    <row r="389" spans="1:30" ht="15.75" customHeight="1">
      <c r="A389" s="25"/>
      <c r="B389" s="25"/>
      <c r="C389" s="25"/>
      <c r="D389" s="25"/>
      <c r="E389" s="25"/>
      <c r="F389" s="25"/>
      <c r="G389" s="25"/>
      <c r="H389" s="25"/>
      <c r="I389" s="40"/>
      <c r="J389" s="25"/>
      <c r="K389" s="25"/>
      <c r="L389" s="25"/>
      <c r="M389" s="25"/>
      <c r="N389" s="25"/>
      <c r="O389" s="25"/>
      <c r="P389" s="25"/>
      <c r="Q389" s="25"/>
      <c r="R389" s="25"/>
      <c r="S389" s="25"/>
      <c r="T389" s="25"/>
      <c r="U389" s="25"/>
      <c r="V389" s="25"/>
      <c r="W389" s="25"/>
      <c r="X389" s="25"/>
      <c r="Y389" s="25"/>
      <c r="Z389" s="25"/>
      <c r="AA389" s="25"/>
      <c r="AB389" s="25"/>
      <c r="AC389" s="25"/>
      <c r="AD389" s="25"/>
    </row>
    <row r="390" spans="1:30" ht="15.75" customHeight="1">
      <c r="A390" s="25"/>
      <c r="B390" s="25"/>
      <c r="C390" s="25"/>
      <c r="D390" s="25"/>
      <c r="E390" s="25"/>
      <c r="F390" s="25"/>
      <c r="G390" s="25"/>
      <c r="H390" s="25"/>
      <c r="I390" s="40"/>
      <c r="J390" s="25"/>
      <c r="K390" s="25"/>
      <c r="L390" s="25"/>
      <c r="M390" s="25"/>
      <c r="N390" s="25"/>
      <c r="O390" s="25"/>
      <c r="P390" s="25"/>
      <c r="Q390" s="25"/>
      <c r="R390" s="25"/>
      <c r="S390" s="25"/>
      <c r="T390" s="25"/>
      <c r="U390" s="25"/>
      <c r="V390" s="25"/>
      <c r="W390" s="25"/>
      <c r="X390" s="25"/>
      <c r="Y390" s="25"/>
      <c r="Z390" s="25"/>
      <c r="AA390" s="25"/>
      <c r="AB390" s="25"/>
      <c r="AC390" s="25"/>
      <c r="AD390" s="25"/>
    </row>
    <row r="391" spans="1:30" ht="15.75" customHeight="1">
      <c r="A391" s="25"/>
      <c r="B391" s="25"/>
      <c r="C391" s="25"/>
      <c r="D391" s="25"/>
      <c r="E391" s="25"/>
      <c r="F391" s="25"/>
      <c r="G391" s="25"/>
      <c r="H391" s="25"/>
      <c r="I391" s="40"/>
      <c r="J391" s="25"/>
      <c r="K391" s="25"/>
      <c r="L391" s="25"/>
      <c r="M391" s="25"/>
      <c r="N391" s="25"/>
      <c r="O391" s="25"/>
      <c r="P391" s="25"/>
      <c r="Q391" s="25"/>
      <c r="R391" s="25"/>
      <c r="S391" s="25"/>
      <c r="T391" s="25"/>
      <c r="U391" s="25"/>
      <c r="V391" s="25"/>
      <c r="W391" s="25"/>
      <c r="X391" s="25"/>
      <c r="Y391" s="25"/>
      <c r="Z391" s="25"/>
      <c r="AA391" s="25"/>
      <c r="AB391" s="25"/>
      <c r="AC391" s="25"/>
      <c r="AD391" s="25"/>
    </row>
    <row r="392" spans="1:30" ht="15.75" customHeight="1">
      <c r="A392" s="25"/>
      <c r="B392" s="25"/>
      <c r="C392" s="25"/>
      <c r="D392" s="25"/>
      <c r="E392" s="25"/>
      <c r="F392" s="25"/>
      <c r="G392" s="25"/>
      <c r="H392" s="25"/>
      <c r="I392" s="40"/>
      <c r="J392" s="25"/>
      <c r="K392" s="25"/>
      <c r="L392" s="25"/>
      <c r="M392" s="25"/>
      <c r="N392" s="25"/>
      <c r="O392" s="25"/>
      <c r="P392" s="25"/>
      <c r="Q392" s="25"/>
      <c r="R392" s="25"/>
      <c r="S392" s="25"/>
      <c r="T392" s="25"/>
      <c r="U392" s="25"/>
      <c r="V392" s="25"/>
      <c r="W392" s="25"/>
      <c r="X392" s="25"/>
      <c r="Y392" s="25"/>
      <c r="Z392" s="25"/>
      <c r="AA392" s="25"/>
      <c r="AB392" s="25"/>
      <c r="AC392" s="25"/>
      <c r="AD392" s="25"/>
    </row>
    <row r="393" spans="1:30" ht="15.75" customHeight="1">
      <c r="A393" s="25"/>
      <c r="B393" s="25"/>
      <c r="C393" s="25"/>
      <c r="D393" s="25"/>
      <c r="E393" s="25"/>
      <c r="F393" s="25"/>
      <c r="G393" s="25"/>
      <c r="H393" s="25"/>
      <c r="I393" s="40"/>
      <c r="J393" s="25"/>
      <c r="K393" s="25"/>
      <c r="L393" s="25"/>
      <c r="M393" s="25"/>
      <c r="N393" s="25"/>
      <c r="O393" s="25"/>
      <c r="P393" s="25"/>
      <c r="Q393" s="25"/>
      <c r="R393" s="25"/>
      <c r="S393" s="25"/>
      <c r="T393" s="25"/>
      <c r="U393" s="25"/>
      <c r="V393" s="25"/>
      <c r="W393" s="25"/>
      <c r="X393" s="25"/>
      <c r="Y393" s="25"/>
      <c r="Z393" s="25"/>
      <c r="AA393" s="25"/>
      <c r="AB393" s="25"/>
      <c r="AC393" s="25"/>
      <c r="AD393" s="25"/>
    </row>
    <row r="394" spans="1:30" ht="15.75" customHeight="1">
      <c r="A394" s="25"/>
      <c r="B394" s="25"/>
      <c r="C394" s="25"/>
      <c r="D394" s="25"/>
      <c r="E394" s="25"/>
      <c r="F394" s="25"/>
      <c r="G394" s="25"/>
      <c r="H394" s="25"/>
      <c r="I394" s="40"/>
      <c r="J394" s="25"/>
      <c r="K394" s="25"/>
      <c r="L394" s="25"/>
      <c r="M394" s="25"/>
      <c r="N394" s="25"/>
      <c r="O394" s="25"/>
      <c r="P394" s="25"/>
      <c r="Q394" s="25"/>
      <c r="R394" s="25"/>
      <c r="S394" s="25"/>
      <c r="T394" s="25"/>
      <c r="U394" s="25"/>
      <c r="V394" s="25"/>
      <c r="W394" s="25"/>
      <c r="X394" s="25"/>
      <c r="Y394" s="25"/>
      <c r="Z394" s="25"/>
      <c r="AA394" s="25"/>
      <c r="AB394" s="25"/>
      <c r="AC394" s="25"/>
      <c r="AD394" s="25"/>
    </row>
    <row r="395" spans="1:30" ht="15.75" customHeight="1">
      <c r="A395" s="25"/>
      <c r="B395" s="25"/>
      <c r="C395" s="25"/>
      <c r="D395" s="25"/>
      <c r="E395" s="25"/>
      <c r="F395" s="25"/>
      <c r="G395" s="25"/>
      <c r="H395" s="25"/>
      <c r="I395" s="40"/>
      <c r="J395" s="25"/>
      <c r="K395" s="25"/>
      <c r="L395" s="25"/>
      <c r="M395" s="25"/>
      <c r="N395" s="25"/>
      <c r="O395" s="25"/>
      <c r="P395" s="25"/>
      <c r="Q395" s="25"/>
      <c r="R395" s="25"/>
      <c r="S395" s="25"/>
      <c r="T395" s="25"/>
      <c r="U395" s="25"/>
      <c r="V395" s="25"/>
      <c r="W395" s="25"/>
      <c r="X395" s="25"/>
      <c r="Y395" s="25"/>
      <c r="Z395" s="25"/>
      <c r="AA395" s="25"/>
      <c r="AB395" s="25"/>
      <c r="AC395" s="25"/>
      <c r="AD395" s="25"/>
    </row>
    <row r="396" spans="1:30" ht="15.75" customHeight="1">
      <c r="A396" s="25"/>
      <c r="B396" s="25"/>
      <c r="C396" s="25"/>
      <c r="D396" s="25"/>
      <c r="E396" s="25"/>
      <c r="F396" s="25"/>
      <c r="G396" s="25"/>
      <c r="H396" s="25"/>
      <c r="I396" s="40"/>
      <c r="J396" s="25"/>
      <c r="K396" s="25"/>
      <c r="L396" s="25"/>
      <c r="M396" s="25"/>
      <c r="N396" s="25"/>
      <c r="O396" s="25"/>
      <c r="P396" s="25"/>
      <c r="Q396" s="25"/>
      <c r="R396" s="25"/>
      <c r="S396" s="25"/>
      <c r="T396" s="25"/>
      <c r="U396" s="25"/>
      <c r="V396" s="25"/>
      <c r="W396" s="25"/>
      <c r="X396" s="25"/>
      <c r="Y396" s="25"/>
      <c r="Z396" s="25"/>
      <c r="AA396" s="25"/>
      <c r="AB396" s="25"/>
      <c r="AC396" s="25"/>
      <c r="AD396" s="25"/>
    </row>
    <row r="397" spans="1:30" ht="15.75" customHeight="1">
      <c r="A397" s="25"/>
      <c r="B397" s="25"/>
      <c r="C397" s="25"/>
      <c r="D397" s="25"/>
      <c r="E397" s="25"/>
      <c r="F397" s="25"/>
      <c r="G397" s="25"/>
      <c r="H397" s="25"/>
      <c r="I397" s="40"/>
      <c r="J397" s="25"/>
      <c r="K397" s="25"/>
      <c r="L397" s="25"/>
      <c r="M397" s="25"/>
      <c r="N397" s="25"/>
      <c r="O397" s="25"/>
      <c r="P397" s="25"/>
      <c r="Q397" s="25"/>
      <c r="R397" s="25"/>
      <c r="S397" s="25"/>
      <c r="T397" s="25"/>
      <c r="U397" s="25"/>
      <c r="V397" s="25"/>
      <c r="W397" s="25"/>
      <c r="X397" s="25"/>
      <c r="Y397" s="25"/>
      <c r="Z397" s="25"/>
      <c r="AA397" s="25"/>
      <c r="AB397" s="25"/>
      <c r="AC397" s="25"/>
      <c r="AD397" s="25"/>
    </row>
    <row r="398" spans="1:30" ht="15.75" customHeight="1">
      <c r="A398" s="25"/>
      <c r="B398" s="25"/>
      <c r="C398" s="25"/>
      <c r="D398" s="25"/>
      <c r="E398" s="25"/>
      <c r="F398" s="25"/>
      <c r="G398" s="25"/>
      <c r="H398" s="25"/>
      <c r="I398" s="40"/>
      <c r="J398" s="25"/>
      <c r="K398" s="25"/>
      <c r="L398" s="25"/>
      <c r="M398" s="25"/>
      <c r="N398" s="25"/>
      <c r="O398" s="25"/>
      <c r="P398" s="25"/>
      <c r="Q398" s="25"/>
      <c r="R398" s="25"/>
      <c r="S398" s="25"/>
      <c r="T398" s="25"/>
      <c r="U398" s="25"/>
      <c r="V398" s="25"/>
      <c r="W398" s="25"/>
      <c r="X398" s="25"/>
      <c r="Y398" s="25"/>
      <c r="Z398" s="25"/>
      <c r="AA398" s="25"/>
      <c r="AB398" s="25"/>
      <c r="AC398" s="25"/>
      <c r="AD398" s="25"/>
    </row>
    <row r="399" spans="1:30" ht="15.75" customHeight="1">
      <c r="A399" s="25"/>
      <c r="B399" s="25"/>
      <c r="C399" s="25"/>
      <c r="D399" s="25"/>
      <c r="E399" s="25"/>
      <c r="F399" s="25"/>
      <c r="G399" s="25"/>
      <c r="H399" s="25"/>
      <c r="I399" s="40"/>
      <c r="J399" s="25"/>
      <c r="K399" s="25"/>
      <c r="L399" s="25"/>
      <c r="M399" s="25"/>
      <c r="N399" s="25"/>
      <c r="O399" s="25"/>
      <c r="P399" s="25"/>
      <c r="Q399" s="25"/>
      <c r="R399" s="25"/>
      <c r="S399" s="25"/>
      <c r="T399" s="25"/>
      <c r="U399" s="25"/>
      <c r="V399" s="25"/>
      <c r="W399" s="25"/>
      <c r="X399" s="25"/>
      <c r="Y399" s="25"/>
      <c r="Z399" s="25"/>
      <c r="AA399" s="25"/>
      <c r="AB399" s="25"/>
      <c r="AC399" s="25"/>
      <c r="AD399" s="25"/>
    </row>
    <row r="400" spans="1:30" ht="15.75" customHeight="1">
      <c r="A400" s="25"/>
      <c r="B400" s="25"/>
      <c r="C400" s="25"/>
      <c r="D400" s="25"/>
      <c r="E400" s="25"/>
      <c r="F400" s="25"/>
      <c r="G400" s="25"/>
      <c r="H400" s="25"/>
      <c r="I400" s="40"/>
      <c r="J400" s="25"/>
      <c r="K400" s="25"/>
      <c r="L400" s="25"/>
      <c r="M400" s="25"/>
      <c r="N400" s="25"/>
      <c r="O400" s="25"/>
      <c r="P400" s="25"/>
      <c r="Q400" s="25"/>
      <c r="R400" s="25"/>
      <c r="S400" s="25"/>
      <c r="T400" s="25"/>
      <c r="U400" s="25"/>
      <c r="V400" s="25"/>
      <c r="W400" s="25"/>
      <c r="X400" s="25"/>
      <c r="Y400" s="25"/>
      <c r="Z400" s="25"/>
      <c r="AA400" s="25"/>
      <c r="AB400" s="25"/>
      <c r="AC400" s="25"/>
      <c r="AD400" s="25"/>
    </row>
    <row r="401" spans="1:30" ht="15.75" customHeight="1">
      <c r="A401" s="25"/>
      <c r="B401" s="25"/>
      <c r="C401" s="25"/>
      <c r="D401" s="25"/>
      <c r="E401" s="25"/>
      <c r="F401" s="25"/>
      <c r="G401" s="25"/>
      <c r="H401" s="25"/>
      <c r="I401" s="40"/>
      <c r="J401" s="25"/>
      <c r="K401" s="25"/>
      <c r="L401" s="25"/>
      <c r="M401" s="25"/>
      <c r="N401" s="25"/>
      <c r="O401" s="25"/>
      <c r="P401" s="25"/>
      <c r="Q401" s="25"/>
      <c r="R401" s="25"/>
      <c r="S401" s="25"/>
      <c r="T401" s="25"/>
      <c r="U401" s="25"/>
      <c r="V401" s="25"/>
      <c r="W401" s="25"/>
      <c r="X401" s="25"/>
      <c r="Y401" s="25"/>
      <c r="Z401" s="25"/>
      <c r="AA401" s="25"/>
      <c r="AB401" s="25"/>
      <c r="AC401" s="25"/>
      <c r="AD401" s="25"/>
    </row>
    <row r="402" spans="1:30" ht="15.75" customHeight="1">
      <c r="A402" s="25"/>
      <c r="B402" s="25"/>
      <c r="C402" s="25"/>
      <c r="D402" s="25"/>
      <c r="E402" s="25"/>
      <c r="F402" s="25"/>
      <c r="G402" s="25"/>
      <c r="H402" s="25"/>
      <c r="I402" s="40"/>
      <c r="J402" s="25"/>
      <c r="K402" s="25"/>
      <c r="L402" s="25"/>
      <c r="M402" s="25"/>
      <c r="N402" s="25"/>
      <c r="O402" s="25"/>
      <c r="P402" s="25"/>
      <c r="Q402" s="25"/>
      <c r="R402" s="25"/>
      <c r="S402" s="25"/>
      <c r="T402" s="25"/>
      <c r="U402" s="25"/>
      <c r="V402" s="25"/>
      <c r="W402" s="25"/>
      <c r="X402" s="25"/>
      <c r="Y402" s="25"/>
      <c r="Z402" s="25"/>
      <c r="AA402" s="25"/>
      <c r="AB402" s="25"/>
      <c r="AC402" s="25"/>
      <c r="AD402" s="25"/>
    </row>
    <row r="403" spans="1:30" ht="15.75" customHeight="1">
      <c r="A403" s="25"/>
      <c r="B403" s="25"/>
      <c r="C403" s="25"/>
      <c r="D403" s="25"/>
      <c r="E403" s="25"/>
      <c r="F403" s="25"/>
      <c r="G403" s="25"/>
      <c r="H403" s="25"/>
      <c r="I403" s="40"/>
      <c r="J403" s="25"/>
      <c r="K403" s="25"/>
      <c r="L403" s="25"/>
      <c r="M403" s="25"/>
      <c r="N403" s="25"/>
      <c r="O403" s="25"/>
      <c r="P403" s="25"/>
      <c r="Q403" s="25"/>
      <c r="R403" s="25"/>
      <c r="S403" s="25"/>
      <c r="T403" s="25"/>
      <c r="U403" s="25"/>
      <c r="V403" s="25"/>
      <c r="W403" s="25"/>
      <c r="X403" s="25"/>
      <c r="Y403" s="25"/>
      <c r="Z403" s="25"/>
      <c r="AA403" s="25"/>
      <c r="AB403" s="25"/>
      <c r="AC403" s="25"/>
      <c r="AD403" s="25"/>
    </row>
    <row r="404" spans="1:30" ht="15.75" customHeight="1">
      <c r="A404" s="25"/>
      <c r="B404" s="25"/>
      <c r="C404" s="25"/>
      <c r="D404" s="25"/>
      <c r="E404" s="25"/>
      <c r="F404" s="25"/>
      <c r="G404" s="25"/>
      <c r="H404" s="25"/>
      <c r="I404" s="40"/>
      <c r="J404" s="25"/>
      <c r="K404" s="25"/>
      <c r="L404" s="25"/>
      <c r="M404" s="25"/>
      <c r="N404" s="25"/>
      <c r="O404" s="25"/>
      <c r="P404" s="25"/>
      <c r="Q404" s="25"/>
      <c r="R404" s="25"/>
      <c r="S404" s="25"/>
      <c r="T404" s="25"/>
      <c r="U404" s="25"/>
      <c r="V404" s="25"/>
      <c r="W404" s="25"/>
      <c r="X404" s="25"/>
      <c r="Y404" s="25"/>
      <c r="Z404" s="25"/>
      <c r="AA404" s="25"/>
      <c r="AB404" s="25"/>
      <c r="AC404" s="25"/>
      <c r="AD404" s="25"/>
    </row>
    <row r="405" spans="1:30" ht="15.75" customHeight="1">
      <c r="A405" s="25"/>
      <c r="B405" s="25"/>
      <c r="C405" s="25"/>
      <c r="D405" s="25"/>
      <c r="E405" s="25"/>
      <c r="F405" s="25"/>
      <c r="G405" s="25"/>
      <c r="H405" s="25"/>
      <c r="I405" s="40"/>
      <c r="J405" s="25"/>
      <c r="K405" s="25"/>
      <c r="L405" s="25"/>
      <c r="M405" s="25"/>
      <c r="N405" s="25"/>
      <c r="O405" s="25"/>
      <c r="P405" s="25"/>
      <c r="Q405" s="25"/>
      <c r="R405" s="25"/>
      <c r="S405" s="25"/>
      <c r="T405" s="25"/>
      <c r="U405" s="25"/>
      <c r="V405" s="25"/>
      <c r="W405" s="25"/>
      <c r="X405" s="25"/>
      <c r="Y405" s="25"/>
      <c r="Z405" s="25"/>
      <c r="AA405" s="25"/>
      <c r="AB405" s="25"/>
      <c r="AC405" s="25"/>
      <c r="AD405" s="25"/>
    </row>
    <row r="406" spans="1:30" ht="15.75" customHeight="1">
      <c r="A406" s="25"/>
      <c r="B406" s="25"/>
      <c r="C406" s="25"/>
      <c r="D406" s="25"/>
      <c r="E406" s="25"/>
      <c r="F406" s="25"/>
      <c r="G406" s="25"/>
      <c r="H406" s="25"/>
      <c r="I406" s="40"/>
      <c r="J406" s="25"/>
      <c r="K406" s="25"/>
      <c r="L406" s="25"/>
      <c r="M406" s="25"/>
      <c r="N406" s="25"/>
      <c r="O406" s="25"/>
      <c r="P406" s="25"/>
      <c r="Q406" s="25"/>
      <c r="R406" s="25"/>
      <c r="S406" s="25"/>
      <c r="T406" s="25"/>
      <c r="U406" s="25"/>
      <c r="V406" s="25"/>
      <c r="W406" s="25"/>
      <c r="X406" s="25"/>
      <c r="Y406" s="25"/>
      <c r="Z406" s="25"/>
      <c r="AA406" s="25"/>
      <c r="AB406" s="25"/>
      <c r="AC406" s="25"/>
      <c r="AD406" s="25"/>
    </row>
    <row r="407" spans="1:30" ht="15.75" customHeight="1">
      <c r="A407" s="25"/>
      <c r="B407" s="25"/>
      <c r="C407" s="25"/>
      <c r="D407" s="25"/>
      <c r="E407" s="25"/>
      <c r="F407" s="25"/>
      <c r="G407" s="25"/>
      <c r="H407" s="25"/>
      <c r="I407" s="40"/>
      <c r="J407" s="25"/>
      <c r="K407" s="25"/>
      <c r="L407" s="25"/>
      <c r="M407" s="25"/>
      <c r="N407" s="25"/>
      <c r="O407" s="25"/>
      <c r="P407" s="25"/>
      <c r="Q407" s="25"/>
      <c r="R407" s="25"/>
      <c r="S407" s="25"/>
      <c r="T407" s="25"/>
      <c r="U407" s="25"/>
      <c r="V407" s="25"/>
      <c r="W407" s="25"/>
      <c r="X407" s="25"/>
      <c r="Y407" s="25"/>
      <c r="Z407" s="25"/>
      <c r="AA407" s="25"/>
      <c r="AB407" s="25"/>
      <c r="AC407" s="25"/>
      <c r="AD407" s="25"/>
    </row>
    <row r="408" spans="1:30" ht="15.75" customHeight="1">
      <c r="A408" s="25"/>
      <c r="B408" s="25"/>
      <c r="C408" s="25"/>
      <c r="D408" s="25"/>
      <c r="E408" s="25"/>
      <c r="F408" s="25"/>
      <c r="G408" s="25"/>
      <c r="H408" s="25"/>
      <c r="I408" s="40"/>
      <c r="J408" s="25"/>
      <c r="K408" s="25"/>
      <c r="L408" s="25"/>
      <c r="M408" s="25"/>
      <c r="N408" s="25"/>
      <c r="O408" s="25"/>
      <c r="P408" s="25"/>
      <c r="Q408" s="25"/>
      <c r="R408" s="25"/>
      <c r="S408" s="25"/>
      <c r="T408" s="25"/>
      <c r="U408" s="25"/>
      <c r="V408" s="25"/>
      <c r="W408" s="25"/>
      <c r="X408" s="25"/>
      <c r="Y408" s="25"/>
      <c r="Z408" s="25"/>
      <c r="AA408" s="25"/>
      <c r="AB408" s="25"/>
      <c r="AC408" s="25"/>
      <c r="AD408" s="25"/>
    </row>
    <row r="409" spans="1:30" ht="15.75" customHeight="1">
      <c r="A409" s="25"/>
      <c r="B409" s="25"/>
      <c r="C409" s="25"/>
      <c r="D409" s="25"/>
      <c r="E409" s="25"/>
      <c r="F409" s="25"/>
      <c r="G409" s="25"/>
      <c r="H409" s="25"/>
      <c r="I409" s="40"/>
      <c r="J409" s="25"/>
      <c r="K409" s="25"/>
      <c r="L409" s="25"/>
      <c r="M409" s="25"/>
      <c r="N409" s="25"/>
      <c r="O409" s="25"/>
      <c r="P409" s="25"/>
      <c r="Q409" s="25"/>
      <c r="R409" s="25"/>
      <c r="S409" s="25"/>
      <c r="T409" s="25"/>
      <c r="U409" s="25"/>
      <c r="V409" s="25"/>
      <c r="W409" s="25"/>
      <c r="X409" s="25"/>
      <c r="Y409" s="25"/>
      <c r="Z409" s="25"/>
      <c r="AA409" s="25"/>
      <c r="AB409" s="25"/>
      <c r="AC409" s="25"/>
      <c r="AD409" s="25"/>
    </row>
    <row r="410" spans="1:30" ht="15.75" customHeight="1">
      <c r="A410" s="25"/>
      <c r="B410" s="25"/>
      <c r="C410" s="25"/>
      <c r="D410" s="25"/>
      <c r="E410" s="25"/>
      <c r="F410" s="25"/>
      <c r="G410" s="25"/>
      <c r="H410" s="25"/>
      <c r="I410" s="40"/>
      <c r="J410" s="25"/>
      <c r="K410" s="25"/>
      <c r="L410" s="25"/>
      <c r="M410" s="25"/>
      <c r="N410" s="25"/>
      <c r="O410" s="25"/>
      <c r="P410" s="25"/>
      <c r="Q410" s="25"/>
      <c r="R410" s="25"/>
      <c r="S410" s="25"/>
      <c r="T410" s="25"/>
      <c r="U410" s="25"/>
      <c r="V410" s="25"/>
      <c r="W410" s="25"/>
      <c r="X410" s="25"/>
      <c r="Y410" s="25"/>
      <c r="Z410" s="25"/>
      <c r="AA410" s="25"/>
      <c r="AB410" s="25"/>
      <c r="AC410" s="25"/>
      <c r="AD410" s="25"/>
    </row>
    <row r="411" spans="1:30" ht="15.75" customHeight="1">
      <c r="A411" s="25"/>
      <c r="B411" s="25"/>
      <c r="C411" s="25"/>
      <c r="D411" s="25"/>
      <c r="E411" s="25"/>
      <c r="F411" s="25"/>
      <c r="G411" s="25"/>
      <c r="H411" s="25"/>
      <c r="I411" s="40"/>
      <c r="J411" s="25"/>
      <c r="K411" s="25"/>
      <c r="L411" s="25"/>
      <c r="M411" s="25"/>
      <c r="N411" s="25"/>
      <c r="O411" s="25"/>
      <c r="P411" s="25"/>
      <c r="Q411" s="25"/>
      <c r="R411" s="25"/>
      <c r="S411" s="25"/>
      <c r="T411" s="25"/>
      <c r="U411" s="25"/>
      <c r="V411" s="25"/>
      <c r="W411" s="25"/>
      <c r="X411" s="25"/>
      <c r="Y411" s="25"/>
      <c r="Z411" s="25"/>
      <c r="AA411" s="25"/>
      <c r="AB411" s="25"/>
      <c r="AC411" s="25"/>
      <c r="AD411" s="25"/>
    </row>
    <row r="412" spans="1:30" ht="15.75" customHeight="1">
      <c r="A412" s="25"/>
      <c r="B412" s="25"/>
      <c r="C412" s="25"/>
      <c r="D412" s="25"/>
      <c r="E412" s="25"/>
      <c r="F412" s="25"/>
      <c r="G412" s="25"/>
      <c r="H412" s="25"/>
      <c r="I412" s="40"/>
      <c r="J412" s="25"/>
      <c r="K412" s="25"/>
      <c r="L412" s="25"/>
      <c r="M412" s="25"/>
      <c r="N412" s="25"/>
      <c r="O412" s="25"/>
      <c r="P412" s="25"/>
      <c r="Q412" s="25"/>
      <c r="R412" s="25"/>
      <c r="S412" s="25"/>
      <c r="T412" s="25"/>
      <c r="U412" s="25"/>
      <c r="V412" s="25"/>
      <c r="W412" s="25"/>
      <c r="X412" s="25"/>
      <c r="Y412" s="25"/>
      <c r="Z412" s="25"/>
      <c r="AA412" s="25"/>
      <c r="AB412" s="25"/>
      <c r="AC412" s="25"/>
      <c r="AD412" s="25"/>
    </row>
    <row r="413" spans="1:30" ht="15.75" customHeight="1">
      <c r="A413" s="25"/>
      <c r="B413" s="25"/>
      <c r="C413" s="25"/>
      <c r="D413" s="25"/>
      <c r="E413" s="25"/>
      <c r="F413" s="25"/>
      <c r="G413" s="25"/>
      <c r="H413" s="25"/>
      <c r="I413" s="40"/>
      <c r="J413" s="25"/>
      <c r="K413" s="25"/>
      <c r="L413" s="25"/>
      <c r="M413" s="25"/>
      <c r="N413" s="25"/>
      <c r="O413" s="25"/>
      <c r="P413" s="25"/>
      <c r="Q413" s="25"/>
      <c r="R413" s="25"/>
      <c r="S413" s="25"/>
      <c r="T413" s="25"/>
      <c r="U413" s="25"/>
      <c r="V413" s="25"/>
      <c r="W413" s="25"/>
      <c r="X413" s="25"/>
      <c r="Y413" s="25"/>
      <c r="Z413" s="25"/>
      <c r="AA413" s="25"/>
      <c r="AB413" s="25"/>
      <c r="AC413" s="25"/>
      <c r="AD413" s="25"/>
    </row>
    <row r="414" spans="1:30" ht="15.75" customHeight="1">
      <c r="A414" s="25"/>
      <c r="B414" s="25"/>
      <c r="C414" s="25"/>
      <c r="D414" s="25"/>
      <c r="E414" s="25"/>
      <c r="F414" s="25"/>
      <c r="G414" s="25"/>
      <c r="H414" s="25"/>
      <c r="I414" s="40"/>
      <c r="J414" s="25"/>
      <c r="K414" s="25"/>
      <c r="L414" s="25"/>
      <c r="M414" s="25"/>
      <c r="N414" s="25"/>
      <c r="O414" s="25"/>
      <c r="P414" s="25"/>
      <c r="Q414" s="25"/>
      <c r="R414" s="25"/>
      <c r="S414" s="25"/>
      <c r="T414" s="25"/>
      <c r="U414" s="25"/>
      <c r="V414" s="25"/>
      <c r="W414" s="25"/>
      <c r="X414" s="25"/>
      <c r="Y414" s="25"/>
      <c r="Z414" s="25"/>
      <c r="AA414" s="25"/>
      <c r="AB414" s="25"/>
      <c r="AC414" s="25"/>
      <c r="AD414" s="25"/>
    </row>
    <row r="415" spans="1:30" ht="15.75" customHeight="1">
      <c r="A415" s="25"/>
      <c r="B415" s="25"/>
      <c r="C415" s="25"/>
      <c r="D415" s="25"/>
      <c r="E415" s="25"/>
      <c r="F415" s="25"/>
      <c r="G415" s="25"/>
      <c r="H415" s="25"/>
      <c r="I415" s="40"/>
      <c r="J415" s="25"/>
      <c r="K415" s="25"/>
      <c r="L415" s="25"/>
      <c r="M415" s="25"/>
      <c r="N415" s="25"/>
      <c r="O415" s="25"/>
      <c r="P415" s="25"/>
      <c r="Q415" s="25"/>
      <c r="R415" s="25"/>
      <c r="S415" s="25"/>
      <c r="T415" s="25"/>
      <c r="U415" s="25"/>
      <c r="V415" s="25"/>
      <c r="W415" s="25"/>
      <c r="X415" s="25"/>
      <c r="Y415" s="25"/>
      <c r="Z415" s="25"/>
      <c r="AA415" s="25"/>
      <c r="AB415" s="25"/>
      <c r="AC415" s="25"/>
      <c r="AD415" s="25"/>
    </row>
    <row r="416" spans="1:30" ht="15.75" customHeight="1">
      <c r="A416" s="25"/>
      <c r="B416" s="25"/>
      <c r="C416" s="25"/>
      <c r="D416" s="25"/>
      <c r="E416" s="25"/>
      <c r="F416" s="25"/>
      <c r="G416" s="25"/>
      <c r="H416" s="25"/>
      <c r="I416" s="40"/>
      <c r="J416" s="25"/>
      <c r="K416" s="25"/>
      <c r="L416" s="25"/>
      <c r="M416" s="25"/>
      <c r="N416" s="25"/>
      <c r="O416" s="25"/>
      <c r="P416" s="25"/>
      <c r="Q416" s="25"/>
      <c r="R416" s="25"/>
      <c r="S416" s="25"/>
      <c r="T416" s="25"/>
      <c r="U416" s="25"/>
      <c r="V416" s="25"/>
      <c r="W416" s="25"/>
      <c r="X416" s="25"/>
      <c r="Y416" s="25"/>
      <c r="Z416" s="25"/>
      <c r="AA416" s="25"/>
      <c r="AB416" s="25"/>
      <c r="AC416" s="25"/>
      <c r="AD416" s="25"/>
    </row>
    <row r="417" spans="1:30" ht="15.75" customHeight="1">
      <c r="A417" s="25"/>
      <c r="B417" s="25"/>
      <c r="C417" s="25"/>
      <c r="D417" s="25"/>
      <c r="E417" s="25"/>
      <c r="F417" s="25"/>
      <c r="G417" s="25"/>
      <c r="H417" s="25"/>
      <c r="I417" s="40"/>
      <c r="J417" s="25"/>
      <c r="K417" s="25"/>
      <c r="L417" s="25"/>
      <c r="M417" s="25"/>
      <c r="N417" s="25"/>
      <c r="O417" s="25"/>
      <c r="P417" s="25"/>
      <c r="Q417" s="25"/>
      <c r="R417" s="25"/>
      <c r="S417" s="25"/>
      <c r="T417" s="25"/>
      <c r="U417" s="25"/>
      <c r="V417" s="25"/>
      <c r="W417" s="25"/>
      <c r="X417" s="25"/>
      <c r="Y417" s="25"/>
      <c r="Z417" s="25"/>
      <c r="AA417" s="25"/>
      <c r="AB417" s="25"/>
      <c r="AC417" s="25"/>
      <c r="AD417" s="25"/>
    </row>
    <row r="418" spans="1:30" ht="15.75" customHeight="1">
      <c r="A418" s="25"/>
      <c r="B418" s="25"/>
      <c r="C418" s="25"/>
      <c r="D418" s="25"/>
      <c r="E418" s="25"/>
      <c r="F418" s="25"/>
      <c r="G418" s="25"/>
      <c r="H418" s="25"/>
      <c r="I418" s="40"/>
      <c r="J418" s="25"/>
      <c r="K418" s="25"/>
      <c r="L418" s="25"/>
      <c r="M418" s="25"/>
      <c r="N418" s="25"/>
      <c r="O418" s="25"/>
      <c r="P418" s="25"/>
      <c r="Q418" s="25"/>
      <c r="R418" s="25"/>
      <c r="S418" s="25"/>
      <c r="T418" s="25"/>
      <c r="U418" s="25"/>
      <c r="V418" s="25"/>
      <c r="W418" s="25"/>
      <c r="X418" s="25"/>
      <c r="Y418" s="25"/>
      <c r="Z418" s="25"/>
      <c r="AA418" s="25"/>
      <c r="AB418" s="25"/>
      <c r="AC418" s="25"/>
      <c r="AD418" s="25"/>
    </row>
    <row r="419" spans="1:30" ht="15.75" customHeight="1">
      <c r="A419" s="25"/>
      <c r="B419" s="25"/>
      <c r="C419" s="25"/>
      <c r="D419" s="25"/>
      <c r="E419" s="25"/>
      <c r="F419" s="25"/>
      <c r="G419" s="25"/>
      <c r="H419" s="25"/>
      <c r="I419" s="40"/>
      <c r="J419" s="25"/>
      <c r="K419" s="25"/>
      <c r="L419" s="25"/>
      <c r="M419" s="25"/>
      <c r="N419" s="25"/>
      <c r="O419" s="25"/>
      <c r="P419" s="25"/>
      <c r="Q419" s="25"/>
      <c r="R419" s="25"/>
      <c r="S419" s="25"/>
      <c r="T419" s="25"/>
      <c r="U419" s="25"/>
      <c r="V419" s="25"/>
      <c r="W419" s="25"/>
      <c r="X419" s="25"/>
      <c r="Y419" s="25"/>
      <c r="Z419" s="25"/>
      <c r="AA419" s="25"/>
      <c r="AB419" s="25"/>
      <c r="AC419" s="25"/>
      <c r="AD419" s="25"/>
    </row>
    <row r="420" spans="1:30" ht="15.75" customHeight="1">
      <c r="A420" s="25"/>
      <c r="B420" s="25"/>
      <c r="C420" s="25"/>
      <c r="D420" s="25"/>
      <c r="E420" s="25"/>
      <c r="F420" s="25"/>
      <c r="G420" s="25"/>
      <c r="H420" s="25"/>
      <c r="I420" s="40"/>
      <c r="J420" s="25"/>
      <c r="K420" s="25"/>
      <c r="L420" s="25"/>
      <c r="M420" s="25"/>
      <c r="N420" s="25"/>
      <c r="O420" s="25"/>
      <c r="P420" s="25"/>
      <c r="Q420" s="25"/>
      <c r="R420" s="25"/>
      <c r="S420" s="25"/>
      <c r="T420" s="25"/>
      <c r="U420" s="25"/>
      <c r="V420" s="25"/>
      <c r="W420" s="25"/>
      <c r="X420" s="25"/>
      <c r="Y420" s="25"/>
      <c r="Z420" s="25"/>
      <c r="AA420" s="25"/>
      <c r="AB420" s="25"/>
      <c r="AC420" s="25"/>
      <c r="AD420" s="25"/>
    </row>
    <row r="421" spans="1:30" ht="15.75" customHeight="1">
      <c r="A421" s="25"/>
      <c r="B421" s="25"/>
      <c r="C421" s="25"/>
      <c r="D421" s="25"/>
      <c r="E421" s="25"/>
      <c r="F421" s="25"/>
      <c r="G421" s="25"/>
      <c r="H421" s="25"/>
      <c r="I421" s="40"/>
      <c r="J421" s="25"/>
      <c r="K421" s="25"/>
      <c r="L421" s="25"/>
      <c r="M421" s="25"/>
      <c r="N421" s="25"/>
      <c r="O421" s="25"/>
      <c r="P421" s="25"/>
      <c r="Q421" s="25"/>
      <c r="R421" s="25"/>
      <c r="S421" s="25"/>
      <c r="T421" s="25"/>
      <c r="U421" s="25"/>
      <c r="V421" s="25"/>
      <c r="W421" s="25"/>
      <c r="X421" s="25"/>
      <c r="Y421" s="25"/>
      <c r="Z421" s="25"/>
      <c r="AA421" s="25"/>
      <c r="AB421" s="25"/>
      <c r="AC421" s="25"/>
      <c r="AD421" s="25"/>
    </row>
    <row r="422" spans="1:30" ht="15.75" customHeight="1">
      <c r="A422" s="25"/>
      <c r="B422" s="25"/>
      <c r="C422" s="25"/>
      <c r="D422" s="25"/>
      <c r="E422" s="25"/>
      <c r="F422" s="25"/>
      <c r="G422" s="25"/>
      <c r="H422" s="25"/>
      <c r="I422" s="40"/>
      <c r="J422" s="25"/>
      <c r="K422" s="25"/>
      <c r="L422" s="25"/>
      <c r="M422" s="25"/>
      <c r="N422" s="25"/>
      <c r="O422" s="25"/>
      <c r="P422" s="25"/>
      <c r="Q422" s="25"/>
      <c r="R422" s="25"/>
      <c r="S422" s="25"/>
      <c r="T422" s="25"/>
      <c r="U422" s="25"/>
      <c r="V422" s="25"/>
      <c r="W422" s="25"/>
      <c r="X422" s="25"/>
      <c r="Y422" s="25"/>
      <c r="Z422" s="25"/>
      <c r="AA422" s="25"/>
      <c r="AB422" s="25"/>
      <c r="AC422" s="25"/>
      <c r="AD422" s="25"/>
    </row>
    <row r="423" spans="1:30" ht="15.75" customHeight="1">
      <c r="A423" s="25"/>
      <c r="B423" s="25"/>
      <c r="C423" s="25"/>
      <c r="D423" s="25"/>
      <c r="E423" s="25"/>
      <c r="F423" s="25"/>
      <c r="G423" s="25"/>
      <c r="H423" s="25"/>
      <c r="I423" s="40"/>
      <c r="J423" s="25"/>
      <c r="K423" s="25"/>
      <c r="L423" s="25"/>
      <c r="M423" s="25"/>
      <c r="N423" s="25"/>
      <c r="O423" s="25"/>
      <c r="P423" s="25"/>
      <c r="Q423" s="25"/>
      <c r="R423" s="25"/>
      <c r="S423" s="25"/>
      <c r="T423" s="25"/>
      <c r="U423" s="25"/>
      <c r="V423" s="25"/>
      <c r="W423" s="25"/>
      <c r="X423" s="25"/>
      <c r="Y423" s="25"/>
      <c r="Z423" s="25"/>
      <c r="AA423" s="25"/>
      <c r="AB423" s="25"/>
      <c r="AC423" s="25"/>
      <c r="AD423" s="25"/>
    </row>
    <row r="424" spans="1:30" ht="15.75" customHeight="1">
      <c r="A424" s="25"/>
      <c r="B424" s="25"/>
      <c r="C424" s="25"/>
      <c r="D424" s="25"/>
      <c r="E424" s="25"/>
      <c r="F424" s="25"/>
      <c r="G424" s="25"/>
      <c r="H424" s="25"/>
      <c r="I424" s="40"/>
      <c r="J424" s="25"/>
      <c r="K424" s="25"/>
      <c r="L424" s="25"/>
      <c r="M424" s="25"/>
      <c r="N424" s="25"/>
      <c r="O424" s="25"/>
      <c r="P424" s="25"/>
      <c r="Q424" s="25"/>
      <c r="R424" s="25"/>
      <c r="S424" s="25"/>
      <c r="T424" s="25"/>
      <c r="U424" s="25"/>
      <c r="V424" s="25"/>
      <c r="W424" s="25"/>
      <c r="X424" s="25"/>
      <c r="Y424" s="25"/>
      <c r="Z424" s="25"/>
      <c r="AA424" s="25"/>
      <c r="AB424" s="25"/>
      <c r="AC424" s="25"/>
      <c r="AD424" s="25"/>
    </row>
    <row r="425" spans="1:30" ht="15.75" customHeight="1">
      <c r="A425" s="25"/>
      <c r="B425" s="25"/>
      <c r="C425" s="25"/>
      <c r="D425" s="25"/>
      <c r="E425" s="25"/>
      <c r="F425" s="25"/>
      <c r="G425" s="25"/>
      <c r="H425" s="25"/>
      <c r="I425" s="40"/>
      <c r="J425" s="25"/>
      <c r="K425" s="25"/>
      <c r="L425" s="25"/>
      <c r="M425" s="25"/>
      <c r="N425" s="25"/>
      <c r="O425" s="25"/>
      <c r="P425" s="25"/>
      <c r="Q425" s="25"/>
      <c r="R425" s="25"/>
      <c r="S425" s="25"/>
      <c r="T425" s="25"/>
      <c r="U425" s="25"/>
      <c r="V425" s="25"/>
      <c r="W425" s="25"/>
      <c r="X425" s="25"/>
      <c r="Y425" s="25"/>
      <c r="Z425" s="25"/>
      <c r="AA425" s="25"/>
      <c r="AB425" s="25"/>
      <c r="AC425" s="25"/>
      <c r="AD425" s="25"/>
    </row>
    <row r="426" spans="1:30" ht="15.75" customHeight="1">
      <c r="A426" s="25"/>
      <c r="B426" s="25"/>
      <c r="C426" s="25"/>
      <c r="D426" s="25"/>
      <c r="E426" s="25"/>
      <c r="F426" s="25"/>
      <c r="G426" s="25"/>
      <c r="H426" s="25"/>
      <c r="I426" s="40"/>
      <c r="J426" s="25"/>
      <c r="K426" s="25"/>
      <c r="L426" s="25"/>
      <c r="M426" s="25"/>
      <c r="N426" s="25"/>
      <c r="O426" s="25"/>
      <c r="P426" s="25"/>
      <c r="Q426" s="25"/>
      <c r="R426" s="25"/>
      <c r="S426" s="25"/>
      <c r="T426" s="25"/>
      <c r="U426" s="25"/>
      <c r="V426" s="25"/>
      <c r="W426" s="25"/>
      <c r="X426" s="25"/>
      <c r="Y426" s="25"/>
      <c r="Z426" s="25"/>
      <c r="AA426" s="25"/>
      <c r="AB426" s="25"/>
      <c r="AC426" s="25"/>
      <c r="AD426" s="25"/>
    </row>
    <row r="427" spans="1:30" ht="15.75" customHeight="1">
      <c r="A427" s="25"/>
      <c r="B427" s="25"/>
      <c r="C427" s="25"/>
      <c r="D427" s="25"/>
      <c r="E427" s="25"/>
      <c r="F427" s="25"/>
      <c r="G427" s="25"/>
      <c r="H427" s="25"/>
      <c r="I427" s="40"/>
      <c r="J427" s="25"/>
      <c r="K427" s="25"/>
      <c r="L427" s="25"/>
      <c r="M427" s="25"/>
      <c r="N427" s="25"/>
      <c r="O427" s="25"/>
      <c r="P427" s="25"/>
      <c r="Q427" s="25"/>
      <c r="R427" s="25"/>
      <c r="S427" s="25"/>
      <c r="T427" s="25"/>
      <c r="U427" s="25"/>
      <c r="V427" s="25"/>
      <c r="W427" s="25"/>
      <c r="X427" s="25"/>
      <c r="Y427" s="25"/>
      <c r="Z427" s="25"/>
      <c r="AA427" s="25"/>
      <c r="AB427" s="25"/>
      <c r="AC427" s="25"/>
      <c r="AD427" s="25"/>
    </row>
    <row r="428" spans="1:30" ht="15.75" customHeight="1">
      <c r="A428" s="25"/>
      <c r="B428" s="25"/>
      <c r="C428" s="25"/>
      <c r="D428" s="25"/>
      <c r="E428" s="25"/>
      <c r="F428" s="25"/>
      <c r="G428" s="25"/>
      <c r="H428" s="25"/>
      <c r="I428" s="40"/>
      <c r="J428" s="25"/>
      <c r="K428" s="25"/>
      <c r="L428" s="25"/>
      <c r="M428" s="25"/>
      <c r="N428" s="25"/>
      <c r="O428" s="25"/>
      <c r="P428" s="25"/>
      <c r="Q428" s="25"/>
      <c r="R428" s="25"/>
      <c r="S428" s="25"/>
      <c r="T428" s="25"/>
      <c r="U428" s="25"/>
      <c r="V428" s="25"/>
      <c r="W428" s="25"/>
      <c r="X428" s="25"/>
      <c r="Y428" s="25"/>
      <c r="Z428" s="25"/>
      <c r="AA428" s="25"/>
      <c r="AB428" s="25"/>
      <c r="AC428" s="25"/>
      <c r="AD428" s="25"/>
    </row>
    <row r="429" spans="1:30" ht="15.75" customHeight="1">
      <c r="A429" s="25"/>
      <c r="B429" s="25"/>
      <c r="C429" s="25"/>
      <c r="D429" s="25"/>
      <c r="E429" s="25"/>
      <c r="F429" s="25"/>
      <c r="G429" s="25"/>
      <c r="H429" s="25"/>
      <c r="I429" s="40"/>
      <c r="J429" s="25"/>
      <c r="K429" s="25"/>
      <c r="L429" s="25"/>
      <c r="M429" s="25"/>
      <c r="N429" s="25"/>
      <c r="O429" s="25"/>
      <c r="P429" s="25"/>
      <c r="Q429" s="25"/>
      <c r="R429" s="25"/>
      <c r="S429" s="25"/>
      <c r="T429" s="25"/>
      <c r="U429" s="25"/>
      <c r="V429" s="25"/>
      <c r="W429" s="25"/>
      <c r="X429" s="25"/>
      <c r="Y429" s="25"/>
      <c r="Z429" s="25"/>
      <c r="AA429" s="25"/>
      <c r="AB429" s="25"/>
      <c r="AC429" s="25"/>
      <c r="AD429" s="25"/>
    </row>
    <row r="430" spans="1:30" ht="15.75" customHeight="1">
      <c r="A430" s="25"/>
      <c r="B430" s="25"/>
      <c r="C430" s="25"/>
      <c r="D430" s="25"/>
      <c r="E430" s="25"/>
      <c r="F430" s="25"/>
      <c r="G430" s="25"/>
      <c r="H430" s="25"/>
      <c r="I430" s="40"/>
      <c r="J430" s="25"/>
      <c r="K430" s="25"/>
      <c r="L430" s="25"/>
      <c r="M430" s="25"/>
      <c r="N430" s="25"/>
      <c r="O430" s="25"/>
      <c r="P430" s="25"/>
      <c r="Q430" s="25"/>
      <c r="R430" s="25"/>
      <c r="S430" s="25"/>
      <c r="T430" s="25"/>
      <c r="U430" s="25"/>
      <c r="V430" s="25"/>
      <c r="W430" s="25"/>
      <c r="X430" s="25"/>
      <c r="Y430" s="25"/>
      <c r="Z430" s="25"/>
      <c r="AA430" s="25"/>
      <c r="AB430" s="25"/>
      <c r="AC430" s="25"/>
      <c r="AD430" s="25"/>
    </row>
    <row r="431" spans="1:30" ht="15.75" customHeight="1">
      <c r="A431" s="25"/>
      <c r="B431" s="25"/>
      <c r="C431" s="25"/>
      <c r="D431" s="25"/>
      <c r="E431" s="25"/>
      <c r="F431" s="25"/>
      <c r="G431" s="25"/>
      <c r="H431" s="25"/>
      <c r="I431" s="40"/>
      <c r="J431" s="25"/>
      <c r="K431" s="25"/>
      <c r="L431" s="25"/>
      <c r="M431" s="25"/>
      <c r="N431" s="25"/>
      <c r="O431" s="25"/>
      <c r="P431" s="25"/>
      <c r="Q431" s="25"/>
      <c r="R431" s="25"/>
      <c r="S431" s="25"/>
      <c r="T431" s="25"/>
      <c r="U431" s="25"/>
      <c r="V431" s="25"/>
      <c r="W431" s="25"/>
      <c r="X431" s="25"/>
      <c r="Y431" s="25"/>
      <c r="Z431" s="25"/>
      <c r="AA431" s="25"/>
      <c r="AB431" s="25"/>
      <c r="AC431" s="25"/>
      <c r="AD431" s="25"/>
    </row>
    <row r="432" spans="1:30" ht="15.75" customHeight="1">
      <c r="A432" s="25"/>
      <c r="B432" s="25"/>
      <c r="C432" s="25"/>
      <c r="D432" s="25"/>
      <c r="E432" s="25"/>
      <c r="F432" s="25"/>
      <c r="G432" s="25"/>
      <c r="H432" s="25"/>
      <c r="I432" s="40"/>
      <c r="J432" s="25"/>
      <c r="K432" s="25"/>
      <c r="L432" s="25"/>
      <c r="M432" s="25"/>
      <c r="N432" s="25"/>
      <c r="O432" s="25"/>
      <c r="P432" s="25"/>
      <c r="Q432" s="25"/>
      <c r="R432" s="25"/>
      <c r="S432" s="25"/>
      <c r="T432" s="25"/>
      <c r="U432" s="25"/>
      <c r="V432" s="25"/>
      <c r="W432" s="25"/>
      <c r="X432" s="25"/>
      <c r="Y432" s="25"/>
      <c r="Z432" s="25"/>
      <c r="AA432" s="25"/>
      <c r="AB432" s="25"/>
      <c r="AC432" s="25"/>
      <c r="AD432" s="25"/>
    </row>
    <row r="433" spans="1:30" ht="15.75" customHeight="1">
      <c r="A433" s="25"/>
      <c r="B433" s="25"/>
      <c r="C433" s="25"/>
      <c r="D433" s="25"/>
      <c r="E433" s="25"/>
      <c r="F433" s="25"/>
      <c r="G433" s="25"/>
      <c r="H433" s="25"/>
      <c r="I433" s="40"/>
      <c r="J433" s="25"/>
      <c r="K433" s="25"/>
      <c r="L433" s="25"/>
      <c r="M433" s="25"/>
      <c r="N433" s="25"/>
      <c r="O433" s="25"/>
      <c r="P433" s="25"/>
      <c r="Q433" s="25"/>
      <c r="R433" s="25"/>
      <c r="S433" s="25"/>
      <c r="T433" s="25"/>
      <c r="U433" s="25"/>
      <c r="V433" s="25"/>
      <c r="W433" s="25"/>
      <c r="X433" s="25"/>
      <c r="Y433" s="25"/>
      <c r="Z433" s="25"/>
      <c r="AA433" s="25"/>
      <c r="AB433" s="25"/>
      <c r="AC433" s="25"/>
      <c r="AD433" s="25"/>
    </row>
    <row r="434" spans="1:30" ht="15.75" customHeight="1">
      <c r="A434" s="25"/>
      <c r="B434" s="25"/>
      <c r="C434" s="25"/>
      <c r="D434" s="25"/>
      <c r="E434" s="25"/>
      <c r="F434" s="25"/>
      <c r="G434" s="25"/>
      <c r="H434" s="25"/>
      <c r="I434" s="40"/>
      <c r="J434" s="25"/>
      <c r="K434" s="25"/>
      <c r="L434" s="25"/>
      <c r="M434" s="25"/>
      <c r="N434" s="25"/>
      <c r="O434" s="25"/>
      <c r="P434" s="25"/>
      <c r="Q434" s="25"/>
      <c r="R434" s="25"/>
      <c r="S434" s="25"/>
      <c r="T434" s="25"/>
      <c r="U434" s="25"/>
      <c r="V434" s="25"/>
      <c r="W434" s="25"/>
      <c r="X434" s="25"/>
      <c r="Y434" s="25"/>
      <c r="Z434" s="25"/>
      <c r="AA434" s="25"/>
      <c r="AB434" s="25"/>
      <c r="AC434" s="25"/>
      <c r="AD434" s="25"/>
    </row>
    <row r="435" spans="1:30" ht="15.75" customHeight="1">
      <c r="A435" s="25"/>
      <c r="B435" s="25"/>
      <c r="C435" s="25"/>
      <c r="D435" s="25"/>
      <c r="E435" s="25"/>
      <c r="F435" s="25"/>
      <c r="G435" s="25"/>
      <c r="H435" s="25"/>
      <c r="I435" s="40"/>
      <c r="J435" s="25"/>
      <c r="K435" s="25"/>
      <c r="L435" s="25"/>
      <c r="M435" s="25"/>
      <c r="N435" s="25"/>
      <c r="O435" s="25"/>
      <c r="P435" s="25"/>
      <c r="Q435" s="25"/>
      <c r="R435" s="25"/>
      <c r="S435" s="25"/>
      <c r="T435" s="25"/>
      <c r="U435" s="25"/>
      <c r="V435" s="25"/>
      <c r="W435" s="25"/>
      <c r="X435" s="25"/>
      <c r="Y435" s="25"/>
      <c r="Z435" s="25"/>
      <c r="AA435" s="25"/>
      <c r="AB435" s="25"/>
      <c r="AC435" s="25"/>
      <c r="AD435" s="25"/>
    </row>
    <row r="436" spans="1:30" ht="15.75" customHeight="1">
      <c r="A436" s="25"/>
      <c r="B436" s="25"/>
      <c r="C436" s="25"/>
      <c r="D436" s="25"/>
      <c r="E436" s="25"/>
      <c r="F436" s="25"/>
      <c r="G436" s="25"/>
      <c r="H436" s="25"/>
      <c r="I436" s="40"/>
      <c r="J436" s="25"/>
      <c r="K436" s="25"/>
      <c r="L436" s="25"/>
      <c r="M436" s="25"/>
      <c r="N436" s="25"/>
      <c r="O436" s="25"/>
      <c r="P436" s="25"/>
      <c r="Q436" s="25"/>
      <c r="R436" s="25"/>
      <c r="S436" s="25"/>
      <c r="T436" s="25"/>
      <c r="U436" s="25"/>
      <c r="V436" s="25"/>
      <c r="W436" s="25"/>
      <c r="X436" s="25"/>
      <c r="Y436" s="25"/>
      <c r="Z436" s="25"/>
      <c r="AA436" s="25"/>
      <c r="AB436" s="25"/>
      <c r="AC436" s="25"/>
      <c r="AD436" s="25"/>
    </row>
    <row r="437" spans="1:30" ht="15.75" customHeight="1">
      <c r="A437" s="25"/>
      <c r="B437" s="25"/>
      <c r="C437" s="25"/>
      <c r="D437" s="25"/>
      <c r="E437" s="25"/>
      <c r="F437" s="25"/>
      <c r="G437" s="25"/>
      <c r="H437" s="25"/>
      <c r="I437" s="40"/>
      <c r="J437" s="25"/>
      <c r="K437" s="25"/>
      <c r="L437" s="25"/>
      <c r="M437" s="25"/>
      <c r="N437" s="25"/>
      <c r="O437" s="25"/>
      <c r="P437" s="25"/>
      <c r="Q437" s="25"/>
      <c r="R437" s="25"/>
      <c r="S437" s="25"/>
      <c r="T437" s="25"/>
      <c r="U437" s="25"/>
      <c r="V437" s="25"/>
      <c r="W437" s="25"/>
      <c r="X437" s="25"/>
      <c r="Y437" s="25"/>
      <c r="Z437" s="25"/>
      <c r="AA437" s="25"/>
      <c r="AB437" s="25"/>
      <c r="AC437" s="25"/>
      <c r="AD437" s="25"/>
    </row>
    <row r="438" spans="1:30" ht="15.75" customHeight="1">
      <c r="A438" s="25"/>
      <c r="B438" s="25"/>
      <c r="C438" s="25"/>
      <c r="D438" s="25"/>
      <c r="E438" s="25"/>
      <c r="F438" s="25"/>
      <c r="G438" s="25"/>
      <c r="H438" s="25"/>
      <c r="I438" s="40"/>
      <c r="J438" s="25"/>
      <c r="K438" s="25"/>
      <c r="L438" s="25"/>
      <c r="M438" s="25"/>
      <c r="N438" s="25"/>
      <c r="O438" s="25"/>
      <c r="P438" s="25"/>
      <c r="Q438" s="25"/>
      <c r="R438" s="25"/>
      <c r="S438" s="25"/>
      <c r="T438" s="25"/>
      <c r="U438" s="25"/>
      <c r="V438" s="25"/>
      <c r="W438" s="25"/>
      <c r="X438" s="25"/>
      <c r="Y438" s="25"/>
      <c r="Z438" s="25"/>
      <c r="AA438" s="25"/>
      <c r="AB438" s="25"/>
      <c r="AC438" s="25"/>
      <c r="AD438" s="25"/>
    </row>
    <row r="439" spans="1:30" ht="15.75" customHeight="1">
      <c r="A439" s="25"/>
      <c r="B439" s="25"/>
      <c r="C439" s="25"/>
      <c r="D439" s="25"/>
      <c r="E439" s="25"/>
      <c r="F439" s="25"/>
      <c r="G439" s="25"/>
      <c r="H439" s="25"/>
      <c r="I439" s="40"/>
      <c r="J439" s="25"/>
      <c r="K439" s="25"/>
      <c r="L439" s="25"/>
      <c r="M439" s="25"/>
      <c r="N439" s="25"/>
      <c r="O439" s="25"/>
      <c r="P439" s="25"/>
      <c r="Q439" s="25"/>
      <c r="R439" s="25"/>
      <c r="S439" s="25"/>
      <c r="T439" s="25"/>
      <c r="U439" s="25"/>
      <c r="V439" s="25"/>
      <c r="W439" s="25"/>
      <c r="X439" s="25"/>
      <c r="Y439" s="25"/>
      <c r="Z439" s="25"/>
      <c r="AA439" s="25"/>
      <c r="AB439" s="25"/>
      <c r="AC439" s="25"/>
      <c r="AD439" s="25"/>
    </row>
    <row r="440" spans="1:30" ht="15.75" customHeight="1">
      <c r="A440" s="25"/>
      <c r="B440" s="25"/>
      <c r="C440" s="25"/>
      <c r="D440" s="25"/>
      <c r="E440" s="25"/>
      <c r="F440" s="25"/>
      <c r="G440" s="25"/>
      <c r="H440" s="25"/>
      <c r="I440" s="40"/>
      <c r="J440" s="25"/>
      <c r="K440" s="25"/>
      <c r="L440" s="25"/>
      <c r="M440" s="25"/>
      <c r="N440" s="25"/>
      <c r="O440" s="25"/>
      <c r="P440" s="25"/>
      <c r="Q440" s="25"/>
      <c r="R440" s="25"/>
      <c r="S440" s="25"/>
      <c r="T440" s="25"/>
      <c r="U440" s="25"/>
      <c r="V440" s="25"/>
      <c r="W440" s="25"/>
      <c r="X440" s="25"/>
      <c r="Y440" s="25"/>
      <c r="Z440" s="25"/>
      <c r="AA440" s="25"/>
      <c r="AB440" s="25"/>
      <c r="AC440" s="25"/>
      <c r="AD440" s="25"/>
    </row>
    <row r="441" spans="1:30" ht="15.75" customHeight="1">
      <c r="A441" s="25"/>
      <c r="B441" s="25"/>
      <c r="C441" s="25"/>
      <c r="D441" s="25"/>
      <c r="E441" s="25"/>
      <c r="F441" s="25"/>
      <c r="G441" s="25"/>
      <c r="H441" s="25"/>
      <c r="I441" s="40"/>
      <c r="J441" s="25"/>
      <c r="K441" s="25"/>
      <c r="L441" s="25"/>
      <c r="M441" s="25"/>
      <c r="N441" s="25"/>
      <c r="O441" s="25"/>
      <c r="P441" s="25"/>
      <c r="Q441" s="25"/>
      <c r="R441" s="25"/>
      <c r="S441" s="25"/>
      <c r="T441" s="25"/>
      <c r="U441" s="25"/>
      <c r="V441" s="25"/>
      <c r="W441" s="25"/>
      <c r="X441" s="25"/>
      <c r="Y441" s="25"/>
      <c r="Z441" s="25"/>
      <c r="AA441" s="25"/>
      <c r="AB441" s="25"/>
      <c r="AC441" s="25"/>
      <c r="AD441" s="25"/>
    </row>
    <row r="442" spans="1:30" ht="15.75" customHeight="1">
      <c r="A442" s="25"/>
      <c r="B442" s="25"/>
      <c r="C442" s="25"/>
      <c r="D442" s="25"/>
      <c r="E442" s="25"/>
      <c r="F442" s="25"/>
      <c r="G442" s="25"/>
      <c r="H442" s="25"/>
      <c r="I442" s="40"/>
      <c r="J442" s="25"/>
      <c r="K442" s="25"/>
      <c r="L442" s="25"/>
      <c r="M442" s="25"/>
      <c r="N442" s="25"/>
      <c r="O442" s="25"/>
      <c r="P442" s="25"/>
      <c r="Q442" s="25"/>
      <c r="R442" s="25"/>
      <c r="S442" s="25"/>
      <c r="T442" s="25"/>
      <c r="U442" s="25"/>
      <c r="V442" s="25"/>
      <c r="W442" s="25"/>
      <c r="X442" s="25"/>
      <c r="Y442" s="25"/>
      <c r="Z442" s="25"/>
      <c r="AA442" s="25"/>
      <c r="AB442" s="25"/>
      <c r="AC442" s="25"/>
      <c r="AD442" s="25"/>
    </row>
    <row r="443" spans="1:30" ht="15.75" customHeight="1">
      <c r="A443" s="25"/>
      <c r="B443" s="25"/>
      <c r="C443" s="25"/>
      <c r="D443" s="25"/>
      <c r="E443" s="25"/>
      <c r="F443" s="25"/>
      <c r="G443" s="25"/>
      <c r="H443" s="25"/>
      <c r="I443" s="40"/>
      <c r="J443" s="25"/>
      <c r="K443" s="25"/>
      <c r="L443" s="25"/>
      <c r="M443" s="25"/>
      <c r="N443" s="25"/>
      <c r="O443" s="25"/>
      <c r="P443" s="25"/>
      <c r="Q443" s="25"/>
      <c r="R443" s="25"/>
      <c r="S443" s="25"/>
      <c r="T443" s="25"/>
      <c r="U443" s="25"/>
      <c r="V443" s="25"/>
      <c r="W443" s="25"/>
      <c r="X443" s="25"/>
      <c r="Y443" s="25"/>
      <c r="Z443" s="25"/>
      <c r="AA443" s="25"/>
      <c r="AB443" s="25"/>
      <c r="AC443" s="25"/>
      <c r="AD443" s="25"/>
    </row>
    <row r="444" spans="1:30" ht="15.75" customHeight="1">
      <c r="A444" s="25"/>
      <c r="B444" s="25"/>
      <c r="C444" s="25"/>
      <c r="D444" s="25"/>
      <c r="E444" s="25"/>
      <c r="F444" s="25"/>
      <c r="G444" s="25"/>
      <c r="H444" s="25"/>
      <c r="I444" s="40"/>
      <c r="J444" s="25"/>
      <c r="K444" s="25"/>
      <c r="L444" s="25"/>
      <c r="M444" s="25"/>
      <c r="N444" s="25"/>
      <c r="O444" s="25"/>
      <c r="P444" s="25"/>
      <c r="Q444" s="25"/>
      <c r="R444" s="25"/>
      <c r="S444" s="25"/>
      <c r="T444" s="25"/>
      <c r="U444" s="25"/>
      <c r="V444" s="25"/>
      <c r="W444" s="25"/>
      <c r="X444" s="25"/>
      <c r="Y444" s="25"/>
      <c r="Z444" s="25"/>
      <c r="AA444" s="25"/>
      <c r="AB444" s="25"/>
      <c r="AC444" s="25"/>
      <c r="AD444" s="25"/>
    </row>
    <row r="445" spans="1:30" ht="15.75" customHeight="1">
      <c r="A445" s="25"/>
      <c r="B445" s="25"/>
      <c r="C445" s="25"/>
      <c r="D445" s="25"/>
      <c r="E445" s="25"/>
      <c r="F445" s="25"/>
      <c r="G445" s="25"/>
      <c r="H445" s="25"/>
      <c r="I445" s="40"/>
      <c r="J445" s="25"/>
      <c r="K445" s="25"/>
      <c r="L445" s="25"/>
      <c r="M445" s="25"/>
      <c r="N445" s="25"/>
      <c r="O445" s="25"/>
      <c r="P445" s="25"/>
      <c r="Q445" s="25"/>
      <c r="R445" s="25"/>
      <c r="S445" s="25"/>
      <c r="T445" s="25"/>
      <c r="U445" s="25"/>
      <c r="V445" s="25"/>
      <c r="W445" s="25"/>
      <c r="X445" s="25"/>
      <c r="Y445" s="25"/>
      <c r="Z445" s="25"/>
      <c r="AA445" s="25"/>
      <c r="AB445" s="25"/>
      <c r="AC445" s="25"/>
      <c r="AD445" s="25"/>
    </row>
    <row r="446" spans="1:30" ht="15.75" customHeight="1">
      <c r="A446" s="25"/>
      <c r="B446" s="25"/>
      <c r="C446" s="25"/>
      <c r="D446" s="25"/>
      <c r="E446" s="25"/>
      <c r="F446" s="25"/>
      <c r="G446" s="25"/>
      <c r="H446" s="25"/>
      <c r="I446" s="40"/>
      <c r="J446" s="25"/>
      <c r="K446" s="25"/>
      <c r="L446" s="25"/>
      <c r="M446" s="25"/>
      <c r="N446" s="25"/>
      <c r="O446" s="25"/>
      <c r="P446" s="25"/>
      <c r="Q446" s="25"/>
      <c r="R446" s="25"/>
      <c r="S446" s="25"/>
      <c r="T446" s="25"/>
      <c r="U446" s="25"/>
      <c r="V446" s="25"/>
      <c r="W446" s="25"/>
      <c r="X446" s="25"/>
      <c r="Y446" s="25"/>
      <c r="Z446" s="25"/>
      <c r="AA446" s="25"/>
      <c r="AB446" s="25"/>
      <c r="AC446" s="25"/>
      <c r="AD446" s="25"/>
    </row>
    <row r="447" spans="1:30" ht="15.75" customHeight="1">
      <c r="A447" s="25"/>
      <c r="B447" s="25"/>
      <c r="C447" s="25"/>
      <c r="D447" s="25"/>
      <c r="E447" s="25"/>
      <c r="F447" s="25"/>
      <c r="G447" s="25"/>
      <c r="H447" s="25"/>
      <c r="I447" s="40"/>
      <c r="J447" s="25"/>
      <c r="K447" s="25"/>
      <c r="L447" s="25"/>
      <c r="M447" s="25"/>
      <c r="N447" s="25"/>
      <c r="O447" s="25"/>
      <c r="P447" s="25"/>
      <c r="Q447" s="25"/>
      <c r="R447" s="25"/>
      <c r="S447" s="25"/>
      <c r="T447" s="25"/>
      <c r="U447" s="25"/>
      <c r="V447" s="25"/>
      <c r="W447" s="25"/>
      <c r="X447" s="25"/>
      <c r="Y447" s="25"/>
      <c r="Z447" s="25"/>
      <c r="AA447" s="25"/>
      <c r="AB447" s="25"/>
      <c r="AC447" s="25"/>
      <c r="AD447" s="25"/>
    </row>
    <row r="448" spans="1:30" ht="15.75" customHeight="1">
      <c r="A448" s="25"/>
      <c r="B448" s="25"/>
      <c r="C448" s="25"/>
      <c r="D448" s="25"/>
      <c r="E448" s="25"/>
      <c r="F448" s="25"/>
      <c r="G448" s="25"/>
      <c r="H448" s="25"/>
      <c r="I448" s="40"/>
      <c r="J448" s="25"/>
      <c r="K448" s="25"/>
      <c r="L448" s="25"/>
      <c r="M448" s="25"/>
      <c r="N448" s="25"/>
      <c r="O448" s="25"/>
      <c r="P448" s="25"/>
      <c r="Q448" s="25"/>
      <c r="R448" s="25"/>
      <c r="S448" s="25"/>
      <c r="T448" s="25"/>
      <c r="U448" s="25"/>
      <c r="V448" s="25"/>
      <c r="W448" s="25"/>
      <c r="X448" s="25"/>
      <c r="Y448" s="25"/>
      <c r="Z448" s="25"/>
      <c r="AA448" s="25"/>
      <c r="AB448" s="25"/>
      <c r="AC448" s="25"/>
      <c r="AD448" s="25"/>
    </row>
    <row r="449" spans="1:30" ht="15.75" customHeight="1">
      <c r="A449" s="25"/>
      <c r="B449" s="25"/>
      <c r="C449" s="25"/>
      <c r="D449" s="25"/>
      <c r="E449" s="25"/>
      <c r="F449" s="25"/>
      <c r="G449" s="25"/>
      <c r="H449" s="25"/>
      <c r="I449" s="40"/>
      <c r="J449" s="25"/>
      <c r="K449" s="25"/>
      <c r="L449" s="25"/>
      <c r="M449" s="25"/>
      <c r="N449" s="25"/>
      <c r="O449" s="25"/>
      <c r="P449" s="25"/>
      <c r="Q449" s="25"/>
      <c r="R449" s="25"/>
      <c r="S449" s="25"/>
      <c r="T449" s="25"/>
      <c r="U449" s="25"/>
      <c r="V449" s="25"/>
      <c r="W449" s="25"/>
      <c r="X449" s="25"/>
      <c r="Y449" s="25"/>
      <c r="Z449" s="25"/>
      <c r="AA449" s="25"/>
      <c r="AB449" s="25"/>
      <c r="AC449" s="25"/>
      <c r="AD449" s="25"/>
    </row>
    <row r="450" spans="1:30" ht="15.75" customHeight="1">
      <c r="A450" s="25"/>
      <c r="B450" s="25"/>
      <c r="C450" s="25"/>
      <c r="D450" s="25"/>
      <c r="E450" s="25"/>
      <c r="F450" s="25"/>
      <c r="G450" s="25"/>
      <c r="H450" s="25"/>
      <c r="I450" s="40"/>
      <c r="J450" s="25"/>
      <c r="K450" s="25"/>
      <c r="L450" s="25"/>
      <c r="M450" s="25"/>
      <c r="N450" s="25"/>
      <c r="O450" s="25"/>
      <c r="P450" s="25"/>
      <c r="Q450" s="25"/>
      <c r="R450" s="25"/>
      <c r="S450" s="25"/>
      <c r="T450" s="25"/>
      <c r="U450" s="25"/>
      <c r="V450" s="25"/>
      <c r="W450" s="25"/>
      <c r="X450" s="25"/>
      <c r="Y450" s="25"/>
      <c r="Z450" s="25"/>
      <c r="AA450" s="25"/>
      <c r="AB450" s="25"/>
      <c r="AC450" s="25"/>
      <c r="AD450" s="25"/>
    </row>
    <row r="451" spans="1:30" ht="15.75" customHeight="1">
      <c r="A451" s="25"/>
      <c r="B451" s="25"/>
      <c r="C451" s="25"/>
      <c r="D451" s="25"/>
      <c r="E451" s="25"/>
      <c r="F451" s="25"/>
      <c r="G451" s="25"/>
      <c r="H451" s="25"/>
      <c r="I451" s="40"/>
      <c r="J451" s="25"/>
      <c r="K451" s="25"/>
      <c r="L451" s="25"/>
      <c r="M451" s="25"/>
      <c r="N451" s="25"/>
      <c r="O451" s="25"/>
      <c r="P451" s="25"/>
      <c r="Q451" s="25"/>
      <c r="R451" s="25"/>
      <c r="S451" s="25"/>
      <c r="T451" s="25"/>
      <c r="U451" s="25"/>
      <c r="V451" s="25"/>
      <c r="W451" s="25"/>
      <c r="X451" s="25"/>
      <c r="Y451" s="25"/>
      <c r="Z451" s="25"/>
      <c r="AA451" s="25"/>
      <c r="AB451" s="25"/>
      <c r="AC451" s="25"/>
      <c r="AD451" s="25"/>
    </row>
    <row r="452" spans="1:30" ht="15.75" customHeight="1">
      <c r="A452" s="25"/>
      <c r="B452" s="25"/>
      <c r="C452" s="25"/>
      <c r="D452" s="25"/>
      <c r="E452" s="25"/>
      <c r="F452" s="25"/>
      <c r="G452" s="25"/>
      <c r="H452" s="25"/>
      <c r="I452" s="40"/>
      <c r="J452" s="25"/>
      <c r="K452" s="25"/>
      <c r="L452" s="25"/>
      <c r="M452" s="25"/>
      <c r="N452" s="25"/>
      <c r="O452" s="25"/>
      <c r="P452" s="25"/>
      <c r="Q452" s="25"/>
      <c r="R452" s="25"/>
      <c r="S452" s="25"/>
      <c r="T452" s="25"/>
      <c r="U452" s="25"/>
      <c r="V452" s="25"/>
      <c r="W452" s="25"/>
      <c r="X452" s="25"/>
      <c r="Y452" s="25"/>
      <c r="Z452" s="25"/>
      <c r="AA452" s="25"/>
      <c r="AB452" s="25"/>
      <c r="AC452" s="25"/>
      <c r="AD452" s="25"/>
    </row>
    <row r="453" spans="1:30" ht="15.75" customHeight="1">
      <c r="A453" s="25"/>
      <c r="B453" s="25"/>
      <c r="C453" s="25"/>
      <c r="D453" s="25"/>
      <c r="E453" s="25"/>
      <c r="F453" s="25"/>
      <c r="G453" s="25"/>
      <c r="H453" s="25"/>
      <c r="I453" s="40"/>
      <c r="J453" s="25"/>
      <c r="K453" s="25"/>
      <c r="L453" s="25"/>
      <c r="M453" s="25"/>
      <c r="N453" s="25"/>
      <c r="O453" s="25"/>
      <c r="P453" s="25"/>
      <c r="Q453" s="25"/>
      <c r="R453" s="25"/>
      <c r="S453" s="25"/>
      <c r="T453" s="25"/>
      <c r="U453" s="25"/>
      <c r="V453" s="25"/>
      <c r="W453" s="25"/>
      <c r="X453" s="25"/>
      <c r="Y453" s="25"/>
      <c r="Z453" s="25"/>
      <c r="AA453" s="25"/>
      <c r="AB453" s="25"/>
      <c r="AC453" s="25"/>
      <c r="AD453" s="25"/>
    </row>
    <row r="454" spans="1:30" ht="15.75" customHeight="1">
      <c r="A454" s="25"/>
      <c r="B454" s="25"/>
      <c r="C454" s="25"/>
      <c r="D454" s="25"/>
      <c r="E454" s="25"/>
      <c r="F454" s="25"/>
      <c r="G454" s="25"/>
      <c r="H454" s="25"/>
      <c r="I454" s="40"/>
      <c r="J454" s="25"/>
      <c r="K454" s="25"/>
      <c r="L454" s="25"/>
      <c r="M454" s="25"/>
      <c r="N454" s="25"/>
      <c r="O454" s="25"/>
      <c r="P454" s="25"/>
      <c r="Q454" s="25"/>
      <c r="R454" s="25"/>
      <c r="S454" s="25"/>
      <c r="T454" s="25"/>
      <c r="U454" s="25"/>
      <c r="V454" s="25"/>
      <c r="W454" s="25"/>
      <c r="X454" s="25"/>
      <c r="Y454" s="25"/>
      <c r="Z454" s="25"/>
      <c r="AA454" s="25"/>
      <c r="AB454" s="25"/>
      <c r="AC454" s="25"/>
      <c r="AD454" s="25"/>
    </row>
    <row r="455" spans="1:30" ht="15.75" customHeight="1">
      <c r="A455" s="25"/>
      <c r="B455" s="25"/>
      <c r="C455" s="25"/>
      <c r="D455" s="25"/>
      <c r="E455" s="25"/>
      <c r="F455" s="25"/>
      <c r="G455" s="25"/>
      <c r="H455" s="25"/>
      <c r="I455" s="40"/>
      <c r="J455" s="25"/>
      <c r="K455" s="25"/>
      <c r="L455" s="25"/>
      <c r="M455" s="25"/>
      <c r="N455" s="25"/>
      <c r="O455" s="25"/>
      <c r="P455" s="25"/>
      <c r="Q455" s="25"/>
      <c r="R455" s="25"/>
      <c r="S455" s="25"/>
      <c r="T455" s="25"/>
      <c r="U455" s="25"/>
      <c r="V455" s="25"/>
      <c r="W455" s="25"/>
      <c r="X455" s="25"/>
      <c r="Y455" s="25"/>
      <c r="Z455" s="25"/>
      <c r="AA455" s="25"/>
      <c r="AB455" s="25"/>
      <c r="AC455" s="25"/>
      <c r="AD455" s="25"/>
    </row>
    <row r="456" spans="1:30" ht="15.75" customHeight="1">
      <c r="A456" s="25"/>
      <c r="B456" s="25"/>
      <c r="C456" s="25"/>
      <c r="D456" s="25"/>
      <c r="E456" s="25"/>
      <c r="F456" s="25"/>
      <c r="G456" s="25"/>
      <c r="H456" s="25"/>
      <c r="I456" s="40"/>
      <c r="J456" s="25"/>
      <c r="K456" s="25"/>
      <c r="L456" s="25"/>
      <c r="M456" s="25"/>
      <c r="N456" s="25"/>
      <c r="O456" s="25"/>
      <c r="P456" s="25"/>
      <c r="Q456" s="25"/>
      <c r="R456" s="25"/>
      <c r="S456" s="25"/>
      <c r="T456" s="25"/>
      <c r="U456" s="25"/>
      <c r="V456" s="25"/>
      <c r="W456" s="25"/>
      <c r="X456" s="25"/>
      <c r="Y456" s="25"/>
      <c r="Z456" s="25"/>
      <c r="AA456" s="25"/>
      <c r="AB456" s="25"/>
      <c r="AC456" s="25"/>
      <c r="AD456" s="25"/>
    </row>
    <row r="457" spans="1:30" ht="15.75" customHeight="1">
      <c r="A457" s="25"/>
      <c r="B457" s="25"/>
      <c r="C457" s="25"/>
      <c r="D457" s="25"/>
      <c r="E457" s="25"/>
      <c r="F457" s="25"/>
      <c r="G457" s="25"/>
      <c r="H457" s="25"/>
      <c r="I457" s="40"/>
      <c r="J457" s="25"/>
      <c r="K457" s="25"/>
      <c r="L457" s="25"/>
      <c r="M457" s="25"/>
      <c r="N457" s="25"/>
      <c r="O457" s="25"/>
      <c r="P457" s="25"/>
      <c r="Q457" s="25"/>
      <c r="R457" s="25"/>
      <c r="S457" s="25"/>
      <c r="T457" s="25"/>
      <c r="U457" s="25"/>
      <c r="V457" s="25"/>
      <c r="W457" s="25"/>
      <c r="X457" s="25"/>
      <c r="Y457" s="25"/>
      <c r="Z457" s="25"/>
      <c r="AA457" s="25"/>
      <c r="AB457" s="25"/>
      <c r="AC457" s="25"/>
      <c r="AD457" s="25"/>
    </row>
    <row r="458" spans="1:30" ht="15.75" customHeight="1">
      <c r="A458" s="25"/>
      <c r="B458" s="25"/>
      <c r="C458" s="25"/>
      <c r="D458" s="25"/>
      <c r="E458" s="25"/>
      <c r="F458" s="25"/>
      <c r="G458" s="25"/>
      <c r="H458" s="25"/>
      <c r="I458" s="40"/>
      <c r="J458" s="25"/>
      <c r="K458" s="25"/>
      <c r="L458" s="25"/>
      <c r="M458" s="25"/>
      <c r="N458" s="25"/>
      <c r="O458" s="25"/>
      <c r="P458" s="25"/>
      <c r="Q458" s="25"/>
      <c r="R458" s="25"/>
      <c r="S458" s="25"/>
      <c r="T458" s="25"/>
      <c r="U458" s="25"/>
      <c r="V458" s="25"/>
      <c r="W458" s="25"/>
      <c r="X458" s="25"/>
      <c r="Y458" s="25"/>
      <c r="Z458" s="25"/>
      <c r="AA458" s="25"/>
      <c r="AB458" s="25"/>
      <c r="AC458" s="25"/>
      <c r="AD458" s="25"/>
    </row>
    <row r="459" spans="1:30" ht="15.75" customHeight="1">
      <c r="A459" s="25"/>
      <c r="B459" s="25"/>
      <c r="C459" s="25"/>
      <c r="D459" s="25"/>
      <c r="E459" s="25"/>
      <c r="F459" s="25"/>
      <c r="G459" s="25"/>
      <c r="H459" s="25"/>
      <c r="I459" s="40"/>
      <c r="J459" s="25"/>
      <c r="K459" s="25"/>
      <c r="L459" s="25"/>
      <c r="M459" s="25"/>
      <c r="N459" s="25"/>
      <c r="O459" s="25"/>
      <c r="P459" s="25"/>
      <c r="Q459" s="25"/>
      <c r="R459" s="25"/>
      <c r="S459" s="25"/>
      <c r="T459" s="25"/>
      <c r="U459" s="25"/>
      <c r="V459" s="25"/>
      <c r="W459" s="25"/>
      <c r="X459" s="25"/>
      <c r="Y459" s="25"/>
      <c r="Z459" s="25"/>
      <c r="AA459" s="25"/>
      <c r="AB459" s="25"/>
      <c r="AC459" s="25"/>
      <c r="AD459" s="25"/>
    </row>
    <row r="460" spans="1:30" ht="15.75" customHeight="1">
      <c r="A460" s="25"/>
      <c r="B460" s="25"/>
      <c r="C460" s="25"/>
      <c r="D460" s="25"/>
      <c r="E460" s="25"/>
      <c r="F460" s="25"/>
      <c r="G460" s="25"/>
      <c r="H460" s="25"/>
      <c r="I460" s="40"/>
      <c r="J460" s="25"/>
      <c r="K460" s="25"/>
      <c r="L460" s="25"/>
      <c r="M460" s="25"/>
      <c r="N460" s="25"/>
      <c r="O460" s="25"/>
      <c r="P460" s="25"/>
      <c r="Q460" s="25"/>
      <c r="R460" s="25"/>
      <c r="S460" s="25"/>
      <c r="T460" s="25"/>
      <c r="U460" s="25"/>
      <c r="V460" s="25"/>
      <c r="W460" s="25"/>
      <c r="X460" s="25"/>
      <c r="Y460" s="25"/>
      <c r="Z460" s="25"/>
      <c r="AA460" s="25"/>
      <c r="AB460" s="25"/>
      <c r="AC460" s="25"/>
      <c r="AD460" s="25"/>
    </row>
    <row r="461" spans="1:30" ht="15.75" customHeight="1">
      <c r="A461" s="25"/>
      <c r="B461" s="25"/>
      <c r="C461" s="25"/>
      <c r="D461" s="25"/>
      <c r="E461" s="25"/>
      <c r="F461" s="25"/>
      <c r="G461" s="25"/>
      <c r="H461" s="25"/>
      <c r="I461" s="40"/>
      <c r="J461" s="25"/>
      <c r="K461" s="25"/>
      <c r="L461" s="25"/>
      <c r="M461" s="25"/>
      <c r="N461" s="25"/>
      <c r="O461" s="25"/>
      <c r="P461" s="25"/>
      <c r="Q461" s="25"/>
      <c r="R461" s="25"/>
      <c r="S461" s="25"/>
      <c r="T461" s="25"/>
      <c r="U461" s="25"/>
      <c r="V461" s="25"/>
      <c r="W461" s="25"/>
      <c r="X461" s="25"/>
      <c r="Y461" s="25"/>
      <c r="Z461" s="25"/>
      <c r="AA461" s="25"/>
      <c r="AB461" s="25"/>
      <c r="AC461" s="25"/>
      <c r="AD461" s="25"/>
    </row>
    <row r="462" spans="1:30" ht="15.75" customHeight="1">
      <c r="A462" s="25"/>
      <c r="B462" s="25"/>
      <c r="C462" s="25"/>
      <c r="D462" s="25"/>
      <c r="E462" s="25"/>
      <c r="F462" s="25"/>
      <c r="G462" s="25"/>
      <c r="H462" s="25"/>
      <c r="I462" s="40"/>
      <c r="J462" s="25"/>
      <c r="K462" s="25"/>
      <c r="L462" s="25"/>
      <c r="M462" s="25"/>
      <c r="N462" s="25"/>
      <c r="O462" s="25"/>
      <c r="P462" s="25"/>
      <c r="Q462" s="25"/>
      <c r="R462" s="25"/>
      <c r="S462" s="25"/>
      <c r="T462" s="25"/>
      <c r="U462" s="25"/>
      <c r="V462" s="25"/>
      <c r="W462" s="25"/>
      <c r="X462" s="25"/>
      <c r="Y462" s="25"/>
      <c r="Z462" s="25"/>
      <c r="AA462" s="25"/>
      <c r="AB462" s="25"/>
      <c r="AC462" s="25"/>
      <c r="AD462" s="25"/>
    </row>
    <row r="463" spans="1:30" ht="15.75" customHeight="1">
      <c r="A463" s="25"/>
      <c r="B463" s="25"/>
      <c r="C463" s="25"/>
      <c r="D463" s="25"/>
      <c r="E463" s="25"/>
      <c r="F463" s="25"/>
      <c r="G463" s="25"/>
      <c r="H463" s="25"/>
      <c r="I463" s="40"/>
      <c r="J463" s="25"/>
      <c r="K463" s="25"/>
      <c r="L463" s="25"/>
      <c r="M463" s="25"/>
      <c r="N463" s="25"/>
      <c r="O463" s="25"/>
      <c r="P463" s="25"/>
      <c r="Q463" s="25"/>
      <c r="R463" s="25"/>
      <c r="S463" s="25"/>
      <c r="T463" s="25"/>
      <c r="U463" s="25"/>
      <c r="V463" s="25"/>
      <c r="W463" s="25"/>
      <c r="X463" s="25"/>
      <c r="Y463" s="25"/>
      <c r="Z463" s="25"/>
      <c r="AA463" s="25"/>
      <c r="AB463" s="25"/>
      <c r="AC463" s="25"/>
      <c r="AD463" s="25"/>
    </row>
    <row r="464" spans="1:30" ht="15.75" customHeight="1">
      <c r="A464" s="25"/>
      <c r="B464" s="25"/>
      <c r="C464" s="25"/>
      <c r="D464" s="25"/>
      <c r="E464" s="25"/>
      <c r="F464" s="25"/>
      <c r="G464" s="25"/>
      <c r="H464" s="25"/>
      <c r="I464" s="40"/>
      <c r="J464" s="25"/>
      <c r="K464" s="25"/>
      <c r="L464" s="25"/>
      <c r="M464" s="25"/>
      <c r="N464" s="25"/>
      <c r="O464" s="25"/>
      <c r="P464" s="25"/>
      <c r="Q464" s="25"/>
      <c r="R464" s="25"/>
      <c r="S464" s="25"/>
      <c r="T464" s="25"/>
      <c r="U464" s="25"/>
      <c r="V464" s="25"/>
      <c r="W464" s="25"/>
      <c r="X464" s="25"/>
      <c r="Y464" s="25"/>
      <c r="Z464" s="25"/>
      <c r="AA464" s="25"/>
      <c r="AB464" s="25"/>
      <c r="AC464" s="25"/>
      <c r="AD464" s="25"/>
    </row>
    <row r="465" spans="1:30" ht="15.75" customHeight="1">
      <c r="A465" s="25"/>
      <c r="B465" s="25"/>
      <c r="C465" s="25"/>
      <c r="D465" s="25"/>
      <c r="E465" s="25"/>
      <c r="F465" s="25"/>
      <c r="G465" s="25"/>
      <c r="H465" s="25"/>
      <c r="I465" s="40"/>
      <c r="J465" s="25"/>
      <c r="K465" s="25"/>
      <c r="L465" s="25"/>
      <c r="M465" s="25"/>
      <c r="N465" s="25"/>
      <c r="O465" s="25"/>
      <c r="P465" s="25"/>
      <c r="Q465" s="25"/>
      <c r="R465" s="25"/>
      <c r="S465" s="25"/>
      <c r="T465" s="25"/>
      <c r="U465" s="25"/>
      <c r="V465" s="25"/>
      <c r="W465" s="25"/>
      <c r="X465" s="25"/>
      <c r="Y465" s="25"/>
      <c r="Z465" s="25"/>
      <c r="AA465" s="25"/>
      <c r="AB465" s="25"/>
      <c r="AC465" s="25"/>
      <c r="AD465" s="25"/>
    </row>
    <row r="466" spans="1:30" ht="15.75" customHeight="1">
      <c r="A466" s="25"/>
      <c r="B466" s="25"/>
      <c r="C466" s="25"/>
      <c r="D466" s="25"/>
      <c r="E466" s="25"/>
      <c r="F466" s="25"/>
      <c r="G466" s="25"/>
      <c r="H466" s="25"/>
      <c r="I466" s="40"/>
      <c r="J466" s="25"/>
      <c r="K466" s="25"/>
      <c r="L466" s="25"/>
      <c r="M466" s="25"/>
      <c r="N466" s="25"/>
      <c r="O466" s="25"/>
      <c r="P466" s="25"/>
      <c r="Q466" s="25"/>
      <c r="R466" s="25"/>
      <c r="S466" s="25"/>
      <c r="T466" s="25"/>
      <c r="U466" s="25"/>
      <c r="V466" s="25"/>
      <c r="W466" s="25"/>
      <c r="X466" s="25"/>
      <c r="Y466" s="25"/>
      <c r="Z466" s="25"/>
      <c r="AA466" s="25"/>
      <c r="AB466" s="25"/>
      <c r="AC466" s="25"/>
      <c r="AD466" s="25"/>
    </row>
    <row r="467" spans="1:30" ht="15.75" customHeight="1">
      <c r="A467" s="25"/>
      <c r="B467" s="25"/>
      <c r="C467" s="25"/>
      <c r="D467" s="25"/>
      <c r="E467" s="25"/>
      <c r="F467" s="25"/>
      <c r="G467" s="25"/>
      <c r="H467" s="25"/>
      <c r="I467" s="40"/>
      <c r="J467" s="25"/>
      <c r="K467" s="25"/>
      <c r="L467" s="25"/>
      <c r="M467" s="25"/>
      <c r="N467" s="25"/>
      <c r="O467" s="25"/>
      <c r="P467" s="25"/>
      <c r="Q467" s="25"/>
      <c r="R467" s="25"/>
      <c r="S467" s="25"/>
      <c r="T467" s="25"/>
      <c r="U467" s="25"/>
      <c r="V467" s="25"/>
      <c r="W467" s="25"/>
      <c r="X467" s="25"/>
      <c r="Y467" s="25"/>
      <c r="Z467" s="25"/>
      <c r="AA467" s="25"/>
      <c r="AB467" s="25"/>
      <c r="AC467" s="25"/>
      <c r="AD467" s="25"/>
    </row>
    <row r="468" spans="1:30" ht="15.75" customHeight="1">
      <c r="A468" s="25"/>
      <c r="B468" s="25"/>
      <c r="C468" s="25"/>
      <c r="D468" s="25"/>
      <c r="E468" s="25"/>
      <c r="F468" s="25"/>
      <c r="G468" s="25"/>
      <c r="H468" s="25"/>
      <c r="I468" s="40"/>
      <c r="J468" s="25"/>
      <c r="K468" s="25"/>
      <c r="L468" s="25"/>
      <c r="M468" s="25"/>
      <c r="N468" s="25"/>
      <c r="O468" s="25"/>
      <c r="P468" s="25"/>
      <c r="Q468" s="25"/>
      <c r="R468" s="25"/>
      <c r="S468" s="25"/>
      <c r="T468" s="25"/>
      <c r="U468" s="25"/>
      <c r="V468" s="25"/>
      <c r="W468" s="25"/>
      <c r="X468" s="25"/>
      <c r="Y468" s="25"/>
      <c r="Z468" s="25"/>
      <c r="AA468" s="25"/>
      <c r="AB468" s="25"/>
      <c r="AC468" s="25"/>
      <c r="AD468" s="25"/>
    </row>
    <row r="469" spans="1:30" ht="15.75" customHeight="1">
      <c r="A469" s="25"/>
      <c r="B469" s="25"/>
      <c r="C469" s="25"/>
      <c r="D469" s="25"/>
      <c r="E469" s="25"/>
      <c r="F469" s="25"/>
      <c r="G469" s="25"/>
      <c r="H469" s="25"/>
      <c r="I469" s="40"/>
      <c r="J469" s="25"/>
      <c r="K469" s="25"/>
      <c r="L469" s="25"/>
      <c r="M469" s="25"/>
      <c r="N469" s="25"/>
      <c r="O469" s="25"/>
      <c r="P469" s="25"/>
      <c r="Q469" s="25"/>
      <c r="R469" s="25"/>
      <c r="S469" s="25"/>
      <c r="T469" s="25"/>
      <c r="U469" s="25"/>
      <c r="V469" s="25"/>
      <c r="W469" s="25"/>
      <c r="X469" s="25"/>
      <c r="Y469" s="25"/>
      <c r="Z469" s="25"/>
      <c r="AA469" s="25"/>
      <c r="AB469" s="25"/>
      <c r="AC469" s="25"/>
      <c r="AD469" s="25"/>
    </row>
    <row r="470" spans="1:30" ht="15.75" customHeight="1">
      <c r="A470" s="25"/>
      <c r="B470" s="25"/>
      <c r="C470" s="25"/>
      <c r="D470" s="25"/>
      <c r="E470" s="25"/>
      <c r="F470" s="25"/>
      <c r="G470" s="25"/>
      <c r="H470" s="25"/>
      <c r="I470" s="40"/>
      <c r="J470" s="25"/>
      <c r="K470" s="25"/>
      <c r="L470" s="25"/>
      <c r="M470" s="25"/>
      <c r="N470" s="25"/>
      <c r="O470" s="25"/>
      <c r="P470" s="25"/>
      <c r="Q470" s="25"/>
      <c r="R470" s="25"/>
      <c r="S470" s="25"/>
      <c r="T470" s="25"/>
      <c r="U470" s="25"/>
      <c r="V470" s="25"/>
      <c r="W470" s="25"/>
      <c r="X470" s="25"/>
      <c r="Y470" s="25"/>
      <c r="Z470" s="25"/>
      <c r="AA470" s="25"/>
      <c r="AB470" s="25"/>
      <c r="AC470" s="25"/>
      <c r="AD470" s="25"/>
    </row>
    <row r="471" spans="1:30" ht="15.75" customHeight="1">
      <c r="A471" s="25"/>
      <c r="B471" s="25"/>
      <c r="C471" s="25"/>
      <c r="D471" s="25"/>
      <c r="E471" s="25"/>
      <c r="F471" s="25"/>
      <c r="G471" s="25"/>
      <c r="H471" s="25"/>
      <c r="I471" s="40"/>
      <c r="J471" s="25"/>
      <c r="K471" s="25"/>
      <c r="L471" s="25"/>
      <c r="M471" s="25"/>
      <c r="N471" s="25"/>
      <c r="O471" s="25"/>
      <c r="P471" s="25"/>
      <c r="Q471" s="25"/>
      <c r="R471" s="25"/>
      <c r="S471" s="25"/>
      <c r="T471" s="25"/>
      <c r="U471" s="25"/>
      <c r="V471" s="25"/>
      <c r="W471" s="25"/>
      <c r="X471" s="25"/>
      <c r="Y471" s="25"/>
      <c r="Z471" s="25"/>
      <c r="AA471" s="25"/>
      <c r="AB471" s="25"/>
      <c r="AC471" s="25"/>
      <c r="AD471" s="25"/>
    </row>
    <row r="472" spans="1:30" ht="15.75" customHeight="1">
      <c r="A472" s="25"/>
      <c r="B472" s="25"/>
      <c r="C472" s="25"/>
      <c r="D472" s="25"/>
      <c r="E472" s="25"/>
      <c r="F472" s="25"/>
      <c r="G472" s="25"/>
      <c r="H472" s="25"/>
      <c r="I472" s="40"/>
      <c r="J472" s="25"/>
      <c r="K472" s="25"/>
      <c r="L472" s="25"/>
      <c r="M472" s="25"/>
      <c r="N472" s="25"/>
      <c r="O472" s="25"/>
      <c r="P472" s="25"/>
      <c r="Q472" s="25"/>
      <c r="R472" s="25"/>
      <c r="S472" s="25"/>
      <c r="T472" s="25"/>
      <c r="U472" s="25"/>
      <c r="V472" s="25"/>
      <c r="W472" s="25"/>
      <c r="X472" s="25"/>
      <c r="Y472" s="25"/>
      <c r="Z472" s="25"/>
      <c r="AA472" s="25"/>
      <c r="AB472" s="25"/>
      <c r="AC472" s="25"/>
      <c r="AD472" s="25"/>
    </row>
    <row r="473" spans="1:30" ht="15.75" customHeight="1">
      <c r="A473" s="25"/>
      <c r="B473" s="25"/>
      <c r="C473" s="25"/>
      <c r="D473" s="25"/>
      <c r="E473" s="25"/>
      <c r="F473" s="25"/>
      <c r="G473" s="25"/>
      <c r="H473" s="25"/>
      <c r="I473" s="40"/>
      <c r="J473" s="25"/>
      <c r="K473" s="25"/>
      <c r="L473" s="25"/>
      <c r="M473" s="25"/>
      <c r="N473" s="25"/>
      <c r="O473" s="25"/>
      <c r="P473" s="25"/>
      <c r="Q473" s="25"/>
      <c r="R473" s="25"/>
      <c r="S473" s="25"/>
      <c r="T473" s="25"/>
      <c r="U473" s="25"/>
      <c r="V473" s="25"/>
      <c r="W473" s="25"/>
      <c r="X473" s="25"/>
      <c r="Y473" s="25"/>
      <c r="Z473" s="25"/>
      <c r="AA473" s="25"/>
      <c r="AB473" s="25"/>
      <c r="AC473" s="25"/>
      <c r="AD473" s="25"/>
    </row>
    <row r="474" spans="1:30" ht="15.75" customHeight="1">
      <c r="A474" s="25"/>
      <c r="B474" s="25"/>
      <c r="C474" s="25"/>
      <c r="D474" s="25"/>
      <c r="E474" s="25"/>
      <c r="F474" s="25"/>
      <c r="G474" s="25"/>
      <c r="H474" s="25"/>
      <c r="I474" s="40"/>
      <c r="J474" s="25"/>
      <c r="K474" s="25"/>
      <c r="L474" s="25"/>
      <c r="M474" s="25"/>
      <c r="N474" s="25"/>
      <c r="O474" s="25"/>
      <c r="P474" s="25"/>
      <c r="Q474" s="25"/>
      <c r="R474" s="25"/>
      <c r="S474" s="25"/>
      <c r="T474" s="25"/>
      <c r="U474" s="25"/>
      <c r="V474" s="25"/>
      <c r="W474" s="25"/>
      <c r="X474" s="25"/>
      <c r="Y474" s="25"/>
      <c r="Z474" s="25"/>
      <c r="AA474" s="25"/>
      <c r="AB474" s="25"/>
      <c r="AC474" s="25"/>
      <c r="AD474" s="25"/>
    </row>
    <row r="475" spans="1:30" ht="15.75" customHeight="1">
      <c r="A475" s="25"/>
      <c r="B475" s="25"/>
      <c r="C475" s="25"/>
      <c r="D475" s="25"/>
      <c r="E475" s="25"/>
      <c r="F475" s="25"/>
      <c r="G475" s="25"/>
      <c r="H475" s="25"/>
      <c r="I475" s="40"/>
      <c r="J475" s="25"/>
      <c r="K475" s="25"/>
      <c r="L475" s="25"/>
      <c r="M475" s="25"/>
      <c r="N475" s="25"/>
      <c r="O475" s="25"/>
      <c r="P475" s="25"/>
      <c r="Q475" s="25"/>
      <c r="R475" s="25"/>
      <c r="S475" s="25"/>
      <c r="T475" s="25"/>
      <c r="U475" s="25"/>
      <c r="V475" s="25"/>
      <c r="W475" s="25"/>
      <c r="X475" s="25"/>
      <c r="Y475" s="25"/>
      <c r="Z475" s="25"/>
      <c r="AA475" s="25"/>
      <c r="AB475" s="25"/>
      <c r="AC475" s="25"/>
      <c r="AD475" s="25"/>
    </row>
    <row r="476" spans="1:30" ht="15.75" customHeight="1">
      <c r="A476" s="25"/>
      <c r="B476" s="25"/>
      <c r="C476" s="25"/>
      <c r="D476" s="25"/>
      <c r="E476" s="25"/>
      <c r="F476" s="25"/>
      <c r="G476" s="25"/>
      <c r="H476" s="25"/>
      <c r="I476" s="40"/>
      <c r="J476" s="25"/>
      <c r="K476" s="25"/>
      <c r="L476" s="25"/>
      <c r="M476" s="25"/>
      <c r="N476" s="25"/>
      <c r="O476" s="25"/>
      <c r="P476" s="25"/>
      <c r="Q476" s="25"/>
      <c r="R476" s="25"/>
      <c r="S476" s="25"/>
      <c r="T476" s="25"/>
      <c r="U476" s="25"/>
      <c r="V476" s="25"/>
      <c r="W476" s="25"/>
      <c r="X476" s="25"/>
      <c r="Y476" s="25"/>
      <c r="Z476" s="25"/>
      <c r="AA476" s="25"/>
      <c r="AB476" s="25"/>
      <c r="AC476" s="25"/>
      <c r="AD476" s="25"/>
    </row>
    <row r="477" spans="1:30" ht="15.75" customHeight="1">
      <c r="A477" s="25"/>
      <c r="B477" s="25"/>
      <c r="C477" s="25"/>
      <c r="D477" s="25"/>
      <c r="E477" s="25"/>
      <c r="F477" s="25"/>
      <c r="G477" s="25"/>
      <c r="H477" s="25"/>
      <c r="I477" s="40"/>
      <c r="J477" s="25"/>
      <c r="K477" s="25"/>
      <c r="L477" s="25"/>
      <c r="M477" s="25"/>
      <c r="N477" s="25"/>
      <c r="O477" s="25"/>
      <c r="P477" s="25"/>
      <c r="Q477" s="25"/>
      <c r="R477" s="25"/>
      <c r="S477" s="25"/>
      <c r="T477" s="25"/>
      <c r="U477" s="25"/>
      <c r="V477" s="25"/>
      <c r="W477" s="25"/>
      <c r="X477" s="25"/>
      <c r="Y477" s="25"/>
      <c r="Z477" s="25"/>
      <c r="AA477" s="25"/>
      <c r="AB477" s="25"/>
      <c r="AC477" s="25"/>
      <c r="AD477" s="25"/>
    </row>
    <row r="478" spans="1:30" ht="15.75" customHeight="1">
      <c r="A478" s="25"/>
      <c r="B478" s="25"/>
      <c r="C478" s="25"/>
      <c r="D478" s="25"/>
      <c r="E478" s="25"/>
      <c r="F478" s="25"/>
      <c r="G478" s="25"/>
      <c r="H478" s="25"/>
      <c r="I478" s="40"/>
      <c r="J478" s="25"/>
      <c r="K478" s="25"/>
      <c r="L478" s="25"/>
      <c r="M478" s="25"/>
      <c r="N478" s="25"/>
      <c r="O478" s="25"/>
      <c r="P478" s="25"/>
      <c r="Q478" s="25"/>
      <c r="R478" s="25"/>
      <c r="S478" s="25"/>
      <c r="T478" s="25"/>
      <c r="U478" s="25"/>
      <c r="V478" s="25"/>
      <c r="W478" s="25"/>
      <c r="X478" s="25"/>
      <c r="Y478" s="25"/>
      <c r="Z478" s="25"/>
      <c r="AA478" s="25"/>
      <c r="AB478" s="25"/>
      <c r="AC478" s="25"/>
      <c r="AD478" s="25"/>
    </row>
    <row r="479" spans="1:30" ht="15.75" customHeight="1">
      <c r="A479" s="25"/>
      <c r="B479" s="25"/>
      <c r="C479" s="25"/>
      <c r="D479" s="25"/>
      <c r="E479" s="25"/>
      <c r="F479" s="25"/>
      <c r="G479" s="25"/>
      <c r="H479" s="25"/>
      <c r="I479" s="40"/>
      <c r="J479" s="25"/>
      <c r="K479" s="25"/>
      <c r="L479" s="25"/>
      <c r="M479" s="25"/>
      <c r="N479" s="25"/>
      <c r="O479" s="25"/>
      <c r="P479" s="25"/>
      <c r="Q479" s="25"/>
      <c r="R479" s="25"/>
      <c r="S479" s="25"/>
      <c r="T479" s="25"/>
      <c r="U479" s="25"/>
      <c r="V479" s="25"/>
      <c r="W479" s="25"/>
      <c r="X479" s="25"/>
      <c r="Y479" s="25"/>
      <c r="Z479" s="25"/>
      <c r="AA479" s="25"/>
      <c r="AB479" s="25"/>
      <c r="AC479" s="25"/>
      <c r="AD479" s="25"/>
    </row>
    <row r="480" spans="1:30" ht="15.75" customHeight="1">
      <c r="A480" s="25"/>
      <c r="B480" s="25"/>
      <c r="C480" s="25"/>
      <c r="D480" s="25"/>
      <c r="E480" s="25"/>
      <c r="F480" s="25"/>
      <c r="G480" s="25"/>
      <c r="H480" s="25"/>
      <c r="I480" s="40"/>
      <c r="J480" s="25"/>
      <c r="K480" s="25"/>
      <c r="L480" s="25"/>
      <c r="M480" s="25"/>
      <c r="N480" s="25"/>
      <c r="O480" s="25"/>
      <c r="P480" s="25"/>
      <c r="Q480" s="25"/>
      <c r="R480" s="25"/>
      <c r="S480" s="25"/>
      <c r="T480" s="25"/>
      <c r="U480" s="25"/>
      <c r="V480" s="25"/>
      <c r="W480" s="25"/>
      <c r="X480" s="25"/>
      <c r="Y480" s="25"/>
      <c r="Z480" s="25"/>
      <c r="AA480" s="25"/>
      <c r="AB480" s="25"/>
      <c r="AC480" s="25"/>
      <c r="AD480" s="25"/>
    </row>
    <row r="481" spans="1:30" ht="15.75" customHeight="1">
      <c r="A481" s="25"/>
      <c r="B481" s="25"/>
      <c r="C481" s="25"/>
      <c r="D481" s="25"/>
      <c r="E481" s="25"/>
      <c r="F481" s="25"/>
      <c r="G481" s="25"/>
      <c r="H481" s="25"/>
      <c r="I481" s="40"/>
      <c r="J481" s="25"/>
      <c r="K481" s="25"/>
      <c r="L481" s="25"/>
      <c r="M481" s="25"/>
      <c r="N481" s="25"/>
      <c r="O481" s="25"/>
      <c r="P481" s="25"/>
      <c r="Q481" s="25"/>
      <c r="R481" s="25"/>
      <c r="S481" s="25"/>
      <c r="T481" s="25"/>
      <c r="U481" s="25"/>
      <c r="V481" s="25"/>
      <c r="W481" s="25"/>
      <c r="X481" s="25"/>
      <c r="Y481" s="25"/>
      <c r="Z481" s="25"/>
      <c r="AA481" s="25"/>
      <c r="AB481" s="25"/>
      <c r="AC481" s="25"/>
      <c r="AD481" s="25"/>
    </row>
    <row r="482" spans="1:30" ht="15.75" customHeight="1">
      <c r="A482" s="25"/>
      <c r="B482" s="25"/>
      <c r="C482" s="25"/>
      <c r="D482" s="25"/>
      <c r="E482" s="25"/>
      <c r="F482" s="25"/>
      <c r="G482" s="25"/>
      <c r="H482" s="25"/>
      <c r="I482" s="40"/>
      <c r="J482" s="25"/>
      <c r="K482" s="25"/>
      <c r="L482" s="25"/>
      <c r="M482" s="25"/>
      <c r="N482" s="25"/>
      <c r="O482" s="25"/>
      <c r="P482" s="25"/>
      <c r="Q482" s="25"/>
      <c r="R482" s="25"/>
      <c r="S482" s="25"/>
      <c r="T482" s="25"/>
      <c r="U482" s="25"/>
      <c r="V482" s="25"/>
      <c r="W482" s="25"/>
      <c r="X482" s="25"/>
      <c r="Y482" s="25"/>
      <c r="Z482" s="25"/>
      <c r="AA482" s="25"/>
      <c r="AB482" s="25"/>
      <c r="AC482" s="25"/>
      <c r="AD482" s="25"/>
    </row>
    <row r="483" spans="1:30" ht="15.75" customHeight="1">
      <c r="A483" s="25"/>
      <c r="B483" s="25"/>
      <c r="C483" s="25"/>
      <c r="D483" s="25"/>
      <c r="E483" s="25"/>
      <c r="F483" s="25"/>
      <c r="G483" s="25"/>
      <c r="H483" s="25"/>
      <c r="I483" s="40"/>
      <c r="J483" s="25"/>
      <c r="K483" s="25"/>
      <c r="L483" s="25"/>
      <c r="M483" s="25"/>
      <c r="N483" s="25"/>
      <c r="O483" s="25"/>
      <c r="P483" s="25"/>
      <c r="Q483" s="25"/>
      <c r="R483" s="25"/>
      <c r="S483" s="25"/>
      <c r="T483" s="25"/>
      <c r="U483" s="25"/>
      <c r="V483" s="25"/>
      <c r="W483" s="25"/>
      <c r="X483" s="25"/>
      <c r="Y483" s="25"/>
      <c r="Z483" s="25"/>
      <c r="AA483" s="25"/>
      <c r="AB483" s="25"/>
      <c r="AC483" s="25"/>
      <c r="AD483" s="25"/>
    </row>
    <row r="484" spans="1:30" ht="15.75" customHeight="1">
      <c r="A484" s="25"/>
      <c r="B484" s="25"/>
      <c r="C484" s="25"/>
      <c r="D484" s="25"/>
      <c r="E484" s="25"/>
      <c r="F484" s="25"/>
      <c r="G484" s="25"/>
      <c r="H484" s="25"/>
      <c r="I484" s="40"/>
      <c r="J484" s="25"/>
      <c r="K484" s="25"/>
      <c r="L484" s="25"/>
      <c r="M484" s="25"/>
      <c r="N484" s="25"/>
      <c r="O484" s="25"/>
      <c r="P484" s="25"/>
      <c r="Q484" s="25"/>
      <c r="R484" s="25"/>
      <c r="S484" s="25"/>
      <c r="T484" s="25"/>
      <c r="U484" s="25"/>
      <c r="V484" s="25"/>
      <c r="W484" s="25"/>
      <c r="X484" s="25"/>
      <c r="Y484" s="25"/>
      <c r="Z484" s="25"/>
      <c r="AA484" s="25"/>
      <c r="AB484" s="25"/>
      <c r="AC484" s="25"/>
      <c r="AD484" s="25"/>
    </row>
    <row r="485" spans="1:30" ht="15.75" customHeight="1">
      <c r="A485" s="25"/>
      <c r="B485" s="25"/>
      <c r="C485" s="25"/>
      <c r="D485" s="25"/>
      <c r="E485" s="25"/>
      <c r="F485" s="25"/>
      <c r="G485" s="25"/>
      <c r="H485" s="25"/>
      <c r="I485" s="40"/>
      <c r="J485" s="25"/>
      <c r="K485" s="25"/>
      <c r="L485" s="25"/>
      <c r="M485" s="25"/>
      <c r="N485" s="25"/>
      <c r="O485" s="25"/>
      <c r="P485" s="25"/>
      <c r="Q485" s="25"/>
      <c r="R485" s="25"/>
      <c r="S485" s="25"/>
      <c r="T485" s="25"/>
      <c r="U485" s="25"/>
      <c r="V485" s="25"/>
      <c r="W485" s="25"/>
      <c r="X485" s="25"/>
      <c r="Y485" s="25"/>
      <c r="Z485" s="25"/>
      <c r="AA485" s="25"/>
      <c r="AB485" s="25"/>
      <c r="AC485" s="25"/>
      <c r="AD485" s="25"/>
    </row>
    <row r="486" spans="1:30" ht="15.75" customHeight="1">
      <c r="A486" s="25"/>
      <c r="B486" s="25"/>
      <c r="C486" s="25"/>
      <c r="D486" s="25"/>
      <c r="E486" s="25"/>
      <c r="F486" s="25"/>
      <c r="G486" s="25"/>
      <c r="H486" s="25"/>
      <c r="I486" s="40"/>
      <c r="J486" s="25"/>
      <c r="K486" s="25"/>
      <c r="L486" s="25"/>
      <c r="M486" s="25"/>
      <c r="N486" s="25"/>
      <c r="O486" s="25"/>
      <c r="P486" s="25"/>
      <c r="Q486" s="25"/>
      <c r="R486" s="25"/>
      <c r="S486" s="25"/>
      <c r="T486" s="25"/>
      <c r="U486" s="25"/>
      <c r="V486" s="25"/>
      <c r="W486" s="25"/>
      <c r="X486" s="25"/>
      <c r="Y486" s="25"/>
      <c r="Z486" s="25"/>
      <c r="AA486" s="25"/>
      <c r="AB486" s="25"/>
      <c r="AC486" s="25"/>
      <c r="AD486" s="25"/>
    </row>
    <row r="487" spans="1:30" ht="15.75" customHeight="1">
      <c r="A487" s="25"/>
      <c r="B487" s="25"/>
      <c r="C487" s="25"/>
      <c r="D487" s="25"/>
      <c r="E487" s="25"/>
      <c r="F487" s="25"/>
      <c r="G487" s="25"/>
      <c r="H487" s="25"/>
      <c r="I487" s="40"/>
      <c r="J487" s="25"/>
      <c r="K487" s="25"/>
      <c r="L487" s="25"/>
      <c r="M487" s="25"/>
      <c r="N487" s="25"/>
      <c r="O487" s="25"/>
      <c r="P487" s="25"/>
      <c r="Q487" s="25"/>
      <c r="R487" s="25"/>
      <c r="S487" s="25"/>
      <c r="T487" s="25"/>
      <c r="U487" s="25"/>
      <c r="V487" s="25"/>
      <c r="W487" s="25"/>
      <c r="X487" s="25"/>
      <c r="Y487" s="25"/>
      <c r="Z487" s="25"/>
      <c r="AA487" s="25"/>
      <c r="AB487" s="25"/>
      <c r="AC487" s="25"/>
      <c r="AD487" s="25"/>
    </row>
    <row r="488" spans="1:30" ht="15.75" customHeight="1">
      <c r="A488" s="25"/>
      <c r="B488" s="25"/>
      <c r="C488" s="25"/>
      <c r="D488" s="25"/>
      <c r="E488" s="25"/>
      <c r="F488" s="25"/>
      <c r="G488" s="25"/>
      <c r="H488" s="25"/>
      <c r="I488" s="40"/>
      <c r="J488" s="25"/>
      <c r="K488" s="25"/>
      <c r="L488" s="25"/>
      <c r="M488" s="25"/>
      <c r="N488" s="25"/>
      <c r="O488" s="25"/>
      <c r="P488" s="25"/>
      <c r="Q488" s="25"/>
      <c r="R488" s="25"/>
      <c r="S488" s="25"/>
      <c r="T488" s="25"/>
      <c r="U488" s="25"/>
      <c r="V488" s="25"/>
      <c r="W488" s="25"/>
      <c r="X488" s="25"/>
      <c r="Y488" s="25"/>
      <c r="Z488" s="25"/>
      <c r="AA488" s="25"/>
      <c r="AB488" s="25"/>
      <c r="AC488" s="25"/>
      <c r="AD488" s="25"/>
    </row>
    <row r="489" spans="1:30" ht="15.75" customHeight="1">
      <c r="A489" s="25"/>
      <c r="B489" s="25"/>
      <c r="C489" s="25"/>
      <c r="D489" s="25"/>
      <c r="E489" s="25"/>
      <c r="F489" s="25"/>
      <c r="G489" s="25"/>
      <c r="H489" s="25"/>
      <c r="I489" s="40"/>
      <c r="J489" s="25"/>
      <c r="K489" s="25"/>
      <c r="L489" s="25"/>
      <c r="M489" s="25"/>
      <c r="N489" s="25"/>
      <c r="O489" s="25"/>
      <c r="P489" s="25"/>
      <c r="Q489" s="25"/>
      <c r="R489" s="25"/>
      <c r="S489" s="25"/>
      <c r="T489" s="25"/>
      <c r="U489" s="25"/>
      <c r="V489" s="25"/>
      <c r="W489" s="25"/>
      <c r="X489" s="25"/>
      <c r="Y489" s="25"/>
      <c r="Z489" s="25"/>
      <c r="AA489" s="25"/>
      <c r="AB489" s="25"/>
      <c r="AC489" s="25"/>
      <c r="AD489" s="25"/>
    </row>
    <row r="490" spans="1:30" ht="15.75" customHeight="1">
      <c r="A490" s="25"/>
      <c r="B490" s="25"/>
      <c r="C490" s="25"/>
      <c r="D490" s="25"/>
      <c r="E490" s="25"/>
      <c r="F490" s="25"/>
      <c r="G490" s="25"/>
      <c r="H490" s="25"/>
      <c r="I490" s="40"/>
      <c r="J490" s="25"/>
      <c r="K490" s="25"/>
      <c r="L490" s="25"/>
      <c r="M490" s="25"/>
      <c r="N490" s="25"/>
      <c r="O490" s="25"/>
      <c r="P490" s="25"/>
      <c r="Q490" s="25"/>
      <c r="R490" s="25"/>
      <c r="S490" s="25"/>
      <c r="T490" s="25"/>
      <c r="U490" s="25"/>
      <c r="V490" s="25"/>
      <c r="W490" s="25"/>
      <c r="X490" s="25"/>
      <c r="Y490" s="25"/>
      <c r="Z490" s="25"/>
      <c r="AA490" s="25"/>
      <c r="AB490" s="25"/>
      <c r="AC490" s="25"/>
      <c r="AD490" s="25"/>
    </row>
    <row r="491" spans="1:30" ht="15.75" customHeight="1">
      <c r="A491" s="25"/>
      <c r="B491" s="25"/>
      <c r="C491" s="25"/>
      <c r="D491" s="25"/>
      <c r="E491" s="25"/>
      <c r="F491" s="25"/>
      <c r="G491" s="25"/>
      <c r="H491" s="25"/>
      <c r="I491" s="40"/>
      <c r="J491" s="25"/>
      <c r="K491" s="25"/>
      <c r="L491" s="25"/>
      <c r="M491" s="25"/>
      <c r="N491" s="25"/>
      <c r="O491" s="25"/>
      <c r="P491" s="25"/>
      <c r="Q491" s="25"/>
      <c r="R491" s="25"/>
      <c r="S491" s="25"/>
      <c r="T491" s="25"/>
      <c r="U491" s="25"/>
      <c r="V491" s="25"/>
      <c r="W491" s="25"/>
      <c r="X491" s="25"/>
      <c r="Y491" s="25"/>
      <c r="Z491" s="25"/>
      <c r="AA491" s="25"/>
      <c r="AB491" s="25"/>
      <c r="AC491" s="25"/>
      <c r="AD491" s="25"/>
    </row>
    <row r="492" spans="1:30" ht="15.75" customHeight="1">
      <c r="A492" s="25"/>
      <c r="B492" s="25"/>
      <c r="C492" s="25"/>
      <c r="D492" s="25"/>
      <c r="E492" s="25"/>
      <c r="F492" s="25"/>
      <c r="G492" s="25"/>
      <c r="H492" s="25"/>
      <c r="I492" s="40"/>
      <c r="J492" s="25"/>
      <c r="K492" s="25"/>
      <c r="L492" s="25"/>
      <c r="M492" s="25"/>
      <c r="N492" s="25"/>
      <c r="O492" s="25"/>
      <c r="P492" s="25"/>
      <c r="Q492" s="25"/>
      <c r="R492" s="25"/>
      <c r="S492" s="25"/>
      <c r="T492" s="25"/>
      <c r="U492" s="25"/>
      <c r="V492" s="25"/>
      <c r="W492" s="25"/>
      <c r="X492" s="25"/>
      <c r="Y492" s="25"/>
      <c r="Z492" s="25"/>
      <c r="AA492" s="25"/>
      <c r="AB492" s="25"/>
      <c r="AC492" s="25"/>
      <c r="AD492" s="25"/>
    </row>
    <row r="493" spans="1:30" ht="15.75" customHeight="1">
      <c r="A493" s="25"/>
      <c r="B493" s="25"/>
      <c r="C493" s="25"/>
      <c r="D493" s="25"/>
      <c r="E493" s="25"/>
      <c r="F493" s="25"/>
      <c r="G493" s="25"/>
      <c r="H493" s="25"/>
      <c r="I493" s="40"/>
      <c r="J493" s="25"/>
      <c r="K493" s="25"/>
      <c r="L493" s="25"/>
      <c r="M493" s="25"/>
      <c r="N493" s="25"/>
      <c r="O493" s="25"/>
      <c r="P493" s="25"/>
      <c r="Q493" s="25"/>
      <c r="R493" s="25"/>
      <c r="S493" s="25"/>
      <c r="T493" s="25"/>
      <c r="U493" s="25"/>
      <c r="V493" s="25"/>
      <c r="W493" s="25"/>
      <c r="X493" s="25"/>
      <c r="Y493" s="25"/>
      <c r="Z493" s="25"/>
      <c r="AA493" s="25"/>
      <c r="AB493" s="25"/>
      <c r="AC493" s="25"/>
      <c r="AD493" s="25"/>
    </row>
    <row r="494" spans="1:30" ht="15.75" customHeight="1">
      <c r="A494" s="25"/>
      <c r="B494" s="25"/>
      <c r="C494" s="25"/>
      <c r="D494" s="25"/>
      <c r="E494" s="25"/>
      <c r="F494" s="25"/>
      <c r="G494" s="25"/>
      <c r="H494" s="25"/>
      <c r="I494" s="40"/>
      <c r="J494" s="25"/>
      <c r="K494" s="25"/>
      <c r="L494" s="25"/>
      <c r="M494" s="25"/>
      <c r="N494" s="25"/>
      <c r="O494" s="25"/>
      <c r="P494" s="25"/>
      <c r="Q494" s="25"/>
      <c r="R494" s="25"/>
      <c r="S494" s="25"/>
      <c r="T494" s="25"/>
      <c r="U494" s="25"/>
      <c r="V494" s="25"/>
      <c r="W494" s="25"/>
      <c r="X494" s="25"/>
      <c r="Y494" s="25"/>
      <c r="Z494" s="25"/>
      <c r="AA494" s="25"/>
      <c r="AB494" s="25"/>
      <c r="AC494" s="25"/>
      <c r="AD494" s="25"/>
    </row>
    <row r="495" spans="1:30" ht="15.75" customHeight="1">
      <c r="A495" s="25"/>
      <c r="B495" s="25"/>
      <c r="C495" s="25"/>
      <c r="D495" s="25"/>
      <c r="E495" s="25"/>
      <c r="F495" s="25"/>
      <c r="G495" s="25"/>
      <c r="H495" s="25"/>
      <c r="I495" s="40"/>
      <c r="J495" s="25"/>
      <c r="K495" s="25"/>
      <c r="L495" s="25"/>
      <c r="M495" s="25"/>
      <c r="N495" s="25"/>
      <c r="O495" s="25"/>
      <c r="P495" s="25"/>
      <c r="Q495" s="25"/>
      <c r="R495" s="25"/>
      <c r="S495" s="25"/>
      <c r="T495" s="25"/>
      <c r="U495" s="25"/>
      <c r="V495" s="25"/>
      <c r="W495" s="25"/>
      <c r="X495" s="25"/>
      <c r="Y495" s="25"/>
      <c r="Z495" s="25"/>
      <c r="AA495" s="25"/>
      <c r="AB495" s="25"/>
      <c r="AC495" s="25"/>
      <c r="AD495" s="25"/>
    </row>
    <row r="496" spans="1:30" ht="15.75" customHeight="1">
      <c r="A496" s="25"/>
      <c r="B496" s="25"/>
      <c r="C496" s="25"/>
      <c r="D496" s="25"/>
      <c r="E496" s="25"/>
      <c r="F496" s="25"/>
      <c r="G496" s="25"/>
      <c r="H496" s="25"/>
      <c r="I496" s="40"/>
      <c r="J496" s="25"/>
      <c r="K496" s="25"/>
      <c r="L496" s="25"/>
      <c r="M496" s="25"/>
      <c r="N496" s="25"/>
      <c r="O496" s="25"/>
      <c r="P496" s="25"/>
      <c r="Q496" s="25"/>
      <c r="R496" s="25"/>
      <c r="S496" s="25"/>
      <c r="T496" s="25"/>
      <c r="U496" s="25"/>
      <c r="V496" s="25"/>
      <c r="W496" s="25"/>
      <c r="X496" s="25"/>
      <c r="Y496" s="25"/>
      <c r="Z496" s="25"/>
      <c r="AA496" s="25"/>
      <c r="AB496" s="25"/>
      <c r="AC496" s="25"/>
      <c r="AD496" s="25"/>
    </row>
    <row r="497" spans="1:30" ht="15.75" customHeight="1">
      <c r="A497" s="25"/>
      <c r="B497" s="25"/>
      <c r="C497" s="25"/>
      <c r="D497" s="25"/>
      <c r="E497" s="25"/>
      <c r="F497" s="25"/>
      <c r="G497" s="25"/>
      <c r="H497" s="25"/>
      <c r="I497" s="40"/>
      <c r="J497" s="25"/>
      <c r="K497" s="25"/>
      <c r="L497" s="25"/>
      <c r="M497" s="25"/>
      <c r="N497" s="25"/>
      <c r="O497" s="25"/>
      <c r="P497" s="25"/>
      <c r="Q497" s="25"/>
      <c r="R497" s="25"/>
      <c r="S497" s="25"/>
      <c r="T497" s="25"/>
      <c r="U497" s="25"/>
      <c r="V497" s="25"/>
      <c r="W497" s="25"/>
      <c r="X497" s="25"/>
      <c r="Y497" s="25"/>
      <c r="Z497" s="25"/>
      <c r="AA497" s="25"/>
      <c r="AB497" s="25"/>
      <c r="AC497" s="25"/>
      <c r="AD497" s="25"/>
    </row>
    <row r="498" spans="1:30" ht="15.75" customHeight="1">
      <c r="A498" s="25"/>
      <c r="B498" s="25"/>
      <c r="C498" s="25"/>
      <c r="D498" s="25"/>
      <c r="E498" s="25"/>
      <c r="F498" s="25"/>
      <c r="G498" s="25"/>
      <c r="H498" s="25"/>
      <c r="I498" s="40"/>
      <c r="J498" s="25"/>
      <c r="K498" s="25"/>
      <c r="L498" s="25"/>
      <c r="M498" s="25"/>
      <c r="N498" s="25"/>
      <c r="O498" s="25"/>
      <c r="P498" s="25"/>
      <c r="Q498" s="25"/>
      <c r="R498" s="25"/>
      <c r="S498" s="25"/>
      <c r="T498" s="25"/>
      <c r="U498" s="25"/>
      <c r="V498" s="25"/>
      <c r="W498" s="25"/>
      <c r="X498" s="25"/>
      <c r="Y498" s="25"/>
      <c r="Z498" s="25"/>
      <c r="AA498" s="25"/>
      <c r="AB498" s="25"/>
      <c r="AC498" s="25"/>
      <c r="AD498" s="25"/>
    </row>
    <row r="499" spans="1:30" ht="15.75" customHeight="1">
      <c r="A499" s="25"/>
      <c r="B499" s="25"/>
      <c r="C499" s="25"/>
      <c r="D499" s="25"/>
      <c r="E499" s="25"/>
      <c r="F499" s="25"/>
      <c r="G499" s="25"/>
      <c r="H499" s="25"/>
      <c r="I499" s="40"/>
      <c r="J499" s="25"/>
      <c r="K499" s="25"/>
      <c r="L499" s="25"/>
      <c r="M499" s="25"/>
      <c r="N499" s="25"/>
      <c r="O499" s="25"/>
      <c r="P499" s="25"/>
      <c r="Q499" s="25"/>
      <c r="R499" s="25"/>
      <c r="S499" s="25"/>
      <c r="T499" s="25"/>
      <c r="U499" s="25"/>
      <c r="V499" s="25"/>
      <c r="W499" s="25"/>
      <c r="X499" s="25"/>
      <c r="Y499" s="25"/>
      <c r="Z499" s="25"/>
      <c r="AA499" s="25"/>
      <c r="AB499" s="25"/>
      <c r="AC499" s="25"/>
      <c r="AD499" s="25"/>
    </row>
    <row r="500" spans="1:30" ht="15.75" customHeight="1">
      <c r="A500" s="25"/>
      <c r="B500" s="25"/>
      <c r="C500" s="25"/>
      <c r="D500" s="25"/>
      <c r="E500" s="25"/>
      <c r="F500" s="25"/>
      <c r="G500" s="25"/>
      <c r="H500" s="25"/>
      <c r="I500" s="40"/>
      <c r="J500" s="25"/>
      <c r="K500" s="25"/>
      <c r="L500" s="25"/>
      <c r="M500" s="25"/>
      <c r="N500" s="25"/>
      <c r="O500" s="25"/>
      <c r="P500" s="25"/>
      <c r="Q500" s="25"/>
      <c r="R500" s="25"/>
      <c r="S500" s="25"/>
      <c r="T500" s="25"/>
      <c r="U500" s="25"/>
      <c r="V500" s="25"/>
      <c r="W500" s="25"/>
      <c r="X500" s="25"/>
      <c r="Y500" s="25"/>
      <c r="Z500" s="25"/>
      <c r="AA500" s="25"/>
      <c r="AB500" s="25"/>
      <c r="AC500" s="25"/>
      <c r="AD500" s="25"/>
    </row>
    <row r="501" spans="1:30" ht="15.75" customHeight="1">
      <c r="A501" s="25"/>
      <c r="B501" s="25"/>
      <c r="C501" s="25"/>
      <c r="D501" s="25"/>
      <c r="E501" s="25"/>
      <c r="F501" s="25"/>
      <c r="G501" s="25"/>
      <c r="H501" s="25"/>
      <c r="I501" s="40"/>
      <c r="J501" s="25"/>
      <c r="K501" s="25"/>
      <c r="L501" s="25"/>
      <c r="M501" s="25"/>
      <c r="N501" s="25"/>
      <c r="O501" s="25"/>
      <c r="P501" s="25"/>
      <c r="Q501" s="25"/>
      <c r="R501" s="25"/>
      <c r="S501" s="25"/>
      <c r="T501" s="25"/>
      <c r="U501" s="25"/>
      <c r="V501" s="25"/>
      <c r="W501" s="25"/>
      <c r="X501" s="25"/>
      <c r="Y501" s="25"/>
      <c r="Z501" s="25"/>
      <c r="AA501" s="25"/>
      <c r="AB501" s="25"/>
      <c r="AC501" s="25"/>
      <c r="AD501" s="25"/>
    </row>
    <row r="502" spans="1:30" ht="15.75" customHeight="1">
      <c r="A502" s="25"/>
      <c r="B502" s="25"/>
      <c r="C502" s="25"/>
      <c r="D502" s="25"/>
      <c r="E502" s="25"/>
      <c r="F502" s="25"/>
      <c r="G502" s="25"/>
      <c r="H502" s="25"/>
      <c r="I502" s="40"/>
      <c r="J502" s="25"/>
      <c r="K502" s="25"/>
      <c r="L502" s="25"/>
      <c r="M502" s="25"/>
      <c r="N502" s="25"/>
      <c r="O502" s="25"/>
      <c r="P502" s="25"/>
      <c r="Q502" s="25"/>
      <c r="R502" s="25"/>
      <c r="S502" s="25"/>
      <c r="T502" s="25"/>
      <c r="U502" s="25"/>
      <c r="V502" s="25"/>
      <c r="W502" s="25"/>
      <c r="X502" s="25"/>
      <c r="Y502" s="25"/>
      <c r="Z502" s="25"/>
      <c r="AA502" s="25"/>
      <c r="AB502" s="25"/>
      <c r="AC502" s="25"/>
      <c r="AD502" s="25"/>
    </row>
    <row r="503" spans="1:30" ht="15.75" customHeight="1">
      <c r="A503" s="25"/>
      <c r="B503" s="25"/>
      <c r="C503" s="25"/>
      <c r="D503" s="25"/>
      <c r="E503" s="25"/>
      <c r="F503" s="25"/>
      <c r="G503" s="25"/>
      <c r="H503" s="25"/>
      <c r="I503" s="40"/>
      <c r="J503" s="25"/>
      <c r="K503" s="25"/>
      <c r="L503" s="25"/>
      <c r="M503" s="25"/>
      <c r="N503" s="25"/>
      <c r="O503" s="25"/>
      <c r="P503" s="25"/>
      <c r="Q503" s="25"/>
      <c r="R503" s="25"/>
      <c r="S503" s="25"/>
      <c r="T503" s="25"/>
      <c r="U503" s="25"/>
      <c r="V503" s="25"/>
      <c r="W503" s="25"/>
      <c r="X503" s="25"/>
      <c r="Y503" s="25"/>
      <c r="Z503" s="25"/>
      <c r="AA503" s="25"/>
      <c r="AB503" s="25"/>
      <c r="AC503" s="25"/>
      <c r="AD503" s="25"/>
    </row>
    <row r="504" spans="1:30" ht="15.75" customHeight="1">
      <c r="A504" s="25"/>
      <c r="B504" s="25"/>
      <c r="C504" s="25"/>
      <c r="D504" s="25"/>
      <c r="E504" s="25"/>
      <c r="F504" s="25"/>
      <c r="G504" s="25"/>
      <c r="H504" s="25"/>
      <c r="I504" s="40"/>
      <c r="J504" s="25"/>
      <c r="K504" s="25"/>
      <c r="L504" s="25"/>
      <c r="M504" s="25"/>
      <c r="N504" s="25"/>
      <c r="O504" s="25"/>
      <c r="P504" s="25"/>
      <c r="Q504" s="25"/>
      <c r="R504" s="25"/>
      <c r="S504" s="25"/>
      <c r="T504" s="25"/>
      <c r="U504" s="25"/>
      <c r="V504" s="25"/>
      <c r="W504" s="25"/>
      <c r="X504" s="25"/>
      <c r="Y504" s="25"/>
      <c r="Z504" s="25"/>
      <c r="AA504" s="25"/>
      <c r="AB504" s="25"/>
      <c r="AC504" s="25"/>
      <c r="AD504" s="25"/>
    </row>
    <row r="505" spans="1:30" ht="15.75" customHeight="1">
      <c r="A505" s="25"/>
      <c r="B505" s="25"/>
      <c r="C505" s="25"/>
      <c r="D505" s="25"/>
      <c r="E505" s="25"/>
      <c r="F505" s="25"/>
      <c r="G505" s="25"/>
      <c r="H505" s="25"/>
      <c r="I505" s="40"/>
      <c r="J505" s="25"/>
      <c r="K505" s="25"/>
      <c r="L505" s="25"/>
      <c r="M505" s="25"/>
      <c r="N505" s="25"/>
      <c r="O505" s="25"/>
      <c r="P505" s="25"/>
      <c r="Q505" s="25"/>
      <c r="R505" s="25"/>
      <c r="S505" s="25"/>
      <c r="T505" s="25"/>
      <c r="U505" s="25"/>
      <c r="V505" s="25"/>
      <c r="W505" s="25"/>
      <c r="X505" s="25"/>
      <c r="Y505" s="25"/>
      <c r="Z505" s="25"/>
      <c r="AA505" s="25"/>
      <c r="AB505" s="25"/>
      <c r="AC505" s="25"/>
      <c r="AD505" s="25"/>
    </row>
    <row r="506" spans="1:30" ht="15.75" customHeight="1">
      <c r="A506" s="25"/>
      <c r="B506" s="25"/>
      <c r="C506" s="25"/>
      <c r="D506" s="25"/>
      <c r="E506" s="25"/>
      <c r="F506" s="25"/>
      <c r="G506" s="25"/>
      <c r="H506" s="25"/>
      <c r="I506" s="40"/>
      <c r="J506" s="25"/>
      <c r="K506" s="25"/>
      <c r="L506" s="25"/>
      <c r="M506" s="25"/>
      <c r="N506" s="25"/>
      <c r="O506" s="25"/>
      <c r="P506" s="25"/>
      <c r="Q506" s="25"/>
      <c r="R506" s="25"/>
      <c r="S506" s="25"/>
      <c r="T506" s="25"/>
      <c r="U506" s="25"/>
      <c r="V506" s="25"/>
      <c r="W506" s="25"/>
      <c r="X506" s="25"/>
      <c r="Y506" s="25"/>
      <c r="Z506" s="25"/>
      <c r="AA506" s="25"/>
      <c r="AB506" s="25"/>
      <c r="AC506" s="25"/>
      <c r="AD506" s="25"/>
    </row>
    <row r="507" spans="1:30" ht="15.75" customHeight="1">
      <c r="A507" s="25"/>
      <c r="B507" s="25"/>
      <c r="C507" s="25"/>
      <c r="D507" s="25"/>
      <c r="E507" s="25"/>
      <c r="F507" s="25"/>
      <c r="G507" s="25"/>
      <c r="H507" s="25"/>
      <c r="I507" s="40"/>
      <c r="J507" s="25"/>
      <c r="K507" s="25"/>
      <c r="L507" s="25"/>
      <c r="M507" s="25"/>
      <c r="N507" s="25"/>
      <c r="O507" s="25"/>
      <c r="P507" s="25"/>
      <c r="Q507" s="25"/>
      <c r="R507" s="25"/>
      <c r="S507" s="25"/>
      <c r="T507" s="25"/>
      <c r="U507" s="25"/>
      <c r="V507" s="25"/>
      <c r="W507" s="25"/>
      <c r="X507" s="25"/>
      <c r="Y507" s="25"/>
      <c r="Z507" s="25"/>
      <c r="AA507" s="25"/>
      <c r="AB507" s="25"/>
      <c r="AC507" s="25"/>
      <c r="AD507" s="25"/>
    </row>
    <row r="508" spans="1:30" ht="15.75" customHeight="1">
      <c r="A508" s="25"/>
      <c r="B508" s="25"/>
      <c r="C508" s="25"/>
      <c r="D508" s="25"/>
      <c r="E508" s="25"/>
      <c r="F508" s="25"/>
      <c r="G508" s="25"/>
      <c r="H508" s="25"/>
      <c r="I508" s="40"/>
      <c r="J508" s="25"/>
      <c r="K508" s="25"/>
      <c r="L508" s="25"/>
      <c r="M508" s="25"/>
      <c r="N508" s="25"/>
      <c r="O508" s="25"/>
      <c r="P508" s="25"/>
      <c r="Q508" s="25"/>
      <c r="R508" s="25"/>
      <c r="S508" s="25"/>
      <c r="T508" s="25"/>
      <c r="U508" s="25"/>
      <c r="V508" s="25"/>
      <c r="W508" s="25"/>
      <c r="X508" s="25"/>
      <c r="Y508" s="25"/>
      <c r="Z508" s="25"/>
      <c r="AA508" s="25"/>
      <c r="AB508" s="25"/>
      <c r="AC508" s="25"/>
      <c r="AD508" s="25"/>
    </row>
    <row r="509" spans="1:30" ht="15.75" customHeight="1">
      <c r="A509" s="25"/>
      <c r="B509" s="25"/>
      <c r="C509" s="25"/>
      <c r="D509" s="25"/>
      <c r="E509" s="25"/>
      <c r="F509" s="25"/>
      <c r="G509" s="25"/>
      <c r="H509" s="25"/>
      <c r="I509" s="40"/>
      <c r="J509" s="25"/>
      <c r="K509" s="25"/>
      <c r="L509" s="25"/>
      <c r="M509" s="25"/>
      <c r="N509" s="25"/>
      <c r="O509" s="25"/>
      <c r="P509" s="25"/>
      <c r="Q509" s="25"/>
      <c r="R509" s="25"/>
      <c r="S509" s="25"/>
      <c r="T509" s="25"/>
      <c r="U509" s="25"/>
      <c r="V509" s="25"/>
      <c r="W509" s="25"/>
      <c r="X509" s="25"/>
      <c r="Y509" s="25"/>
      <c r="Z509" s="25"/>
      <c r="AA509" s="25"/>
      <c r="AB509" s="25"/>
      <c r="AC509" s="25"/>
      <c r="AD509" s="25"/>
    </row>
    <row r="510" spans="1:30" ht="15.75" customHeight="1">
      <c r="A510" s="25"/>
      <c r="B510" s="25"/>
      <c r="C510" s="25"/>
      <c r="D510" s="25"/>
      <c r="E510" s="25"/>
      <c r="F510" s="25"/>
      <c r="G510" s="25"/>
      <c r="H510" s="25"/>
      <c r="I510" s="40"/>
      <c r="J510" s="25"/>
      <c r="K510" s="25"/>
      <c r="L510" s="25"/>
      <c r="M510" s="25"/>
      <c r="N510" s="25"/>
      <c r="O510" s="25"/>
      <c r="P510" s="25"/>
      <c r="Q510" s="25"/>
      <c r="R510" s="25"/>
      <c r="S510" s="25"/>
      <c r="T510" s="25"/>
      <c r="U510" s="25"/>
      <c r="V510" s="25"/>
      <c r="W510" s="25"/>
      <c r="X510" s="25"/>
      <c r="Y510" s="25"/>
      <c r="Z510" s="25"/>
      <c r="AA510" s="25"/>
      <c r="AB510" s="25"/>
      <c r="AC510" s="25"/>
      <c r="AD510" s="25"/>
    </row>
    <row r="511" spans="1:30" ht="15.75" customHeight="1">
      <c r="A511" s="25"/>
      <c r="B511" s="25"/>
      <c r="C511" s="25"/>
      <c r="D511" s="25"/>
      <c r="E511" s="25"/>
      <c r="F511" s="25"/>
      <c r="G511" s="25"/>
      <c r="H511" s="25"/>
      <c r="I511" s="40"/>
      <c r="J511" s="25"/>
      <c r="K511" s="25"/>
      <c r="L511" s="25"/>
      <c r="M511" s="25"/>
      <c r="N511" s="25"/>
      <c r="O511" s="25"/>
      <c r="P511" s="25"/>
      <c r="Q511" s="25"/>
      <c r="R511" s="25"/>
      <c r="S511" s="25"/>
      <c r="T511" s="25"/>
      <c r="U511" s="25"/>
      <c r="V511" s="25"/>
      <c r="W511" s="25"/>
      <c r="X511" s="25"/>
      <c r="Y511" s="25"/>
      <c r="Z511" s="25"/>
      <c r="AA511" s="25"/>
      <c r="AB511" s="25"/>
      <c r="AC511" s="25"/>
      <c r="AD511" s="25"/>
    </row>
    <row r="512" spans="1:30" ht="15.75" customHeight="1">
      <c r="A512" s="25"/>
      <c r="B512" s="25"/>
      <c r="C512" s="25"/>
      <c r="D512" s="25"/>
      <c r="E512" s="25"/>
      <c r="F512" s="25"/>
      <c r="G512" s="25"/>
      <c r="H512" s="25"/>
      <c r="I512" s="40"/>
      <c r="J512" s="25"/>
      <c r="K512" s="25"/>
      <c r="L512" s="25"/>
      <c r="M512" s="25"/>
      <c r="N512" s="25"/>
      <c r="O512" s="25"/>
      <c r="P512" s="25"/>
      <c r="Q512" s="25"/>
      <c r="R512" s="25"/>
      <c r="S512" s="25"/>
      <c r="T512" s="25"/>
      <c r="U512" s="25"/>
      <c r="V512" s="25"/>
      <c r="W512" s="25"/>
      <c r="X512" s="25"/>
      <c r="Y512" s="25"/>
      <c r="Z512" s="25"/>
      <c r="AA512" s="25"/>
      <c r="AB512" s="25"/>
      <c r="AC512" s="25"/>
      <c r="AD512" s="25"/>
    </row>
    <row r="513" spans="1:30" ht="15.75" customHeight="1">
      <c r="A513" s="25"/>
      <c r="B513" s="25"/>
      <c r="C513" s="25"/>
      <c r="D513" s="25"/>
      <c r="E513" s="25"/>
      <c r="F513" s="25"/>
      <c r="G513" s="25"/>
      <c r="H513" s="25"/>
      <c r="I513" s="40"/>
      <c r="J513" s="25"/>
      <c r="K513" s="25"/>
      <c r="L513" s="25"/>
      <c r="M513" s="25"/>
      <c r="N513" s="25"/>
      <c r="O513" s="25"/>
      <c r="P513" s="25"/>
      <c r="Q513" s="25"/>
      <c r="R513" s="25"/>
      <c r="S513" s="25"/>
      <c r="T513" s="25"/>
      <c r="U513" s="25"/>
      <c r="V513" s="25"/>
      <c r="W513" s="25"/>
      <c r="X513" s="25"/>
      <c r="Y513" s="25"/>
      <c r="Z513" s="25"/>
      <c r="AA513" s="25"/>
      <c r="AB513" s="25"/>
      <c r="AC513" s="25"/>
      <c r="AD513" s="25"/>
    </row>
    <row r="514" spans="1:30" ht="15.75" customHeight="1">
      <c r="A514" s="25"/>
      <c r="B514" s="25"/>
      <c r="C514" s="25"/>
      <c r="D514" s="25"/>
      <c r="E514" s="25"/>
      <c r="F514" s="25"/>
      <c r="G514" s="25"/>
      <c r="H514" s="25"/>
      <c r="I514" s="40"/>
      <c r="J514" s="25"/>
      <c r="K514" s="25"/>
      <c r="L514" s="25"/>
      <c r="M514" s="25"/>
      <c r="N514" s="25"/>
      <c r="O514" s="25"/>
      <c r="P514" s="25"/>
      <c r="Q514" s="25"/>
      <c r="R514" s="25"/>
      <c r="S514" s="25"/>
      <c r="T514" s="25"/>
      <c r="U514" s="25"/>
      <c r="V514" s="25"/>
      <c r="W514" s="25"/>
      <c r="X514" s="25"/>
      <c r="Y514" s="25"/>
      <c r="Z514" s="25"/>
      <c r="AA514" s="25"/>
      <c r="AB514" s="25"/>
      <c r="AC514" s="25"/>
      <c r="AD514" s="25"/>
    </row>
    <row r="515" spans="1:30" ht="15.75" customHeight="1">
      <c r="A515" s="25"/>
      <c r="B515" s="25"/>
      <c r="C515" s="25"/>
      <c r="D515" s="25"/>
      <c r="E515" s="25"/>
      <c r="F515" s="25"/>
      <c r="G515" s="25"/>
      <c r="H515" s="25"/>
      <c r="I515" s="40"/>
      <c r="J515" s="25"/>
      <c r="K515" s="25"/>
      <c r="L515" s="25"/>
      <c r="M515" s="25"/>
      <c r="N515" s="25"/>
      <c r="O515" s="25"/>
      <c r="P515" s="25"/>
      <c r="Q515" s="25"/>
      <c r="R515" s="25"/>
      <c r="S515" s="25"/>
      <c r="T515" s="25"/>
      <c r="U515" s="25"/>
      <c r="V515" s="25"/>
      <c r="W515" s="25"/>
      <c r="X515" s="25"/>
      <c r="Y515" s="25"/>
      <c r="Z515" s="25"/>
      <c r="AA515" s="25"/>
      <c r="AB515" s="25"/>
      <c r="AC515" s="25"/>
      <c r="AD515" s="25"/>
    </row>
    <row r="516" spans="1:30" ht="15.75" customHeight="1">
      <c r="A516" s="25"/>
      <c r="B516" s="25"/>
      <c r="C516" s="25"/>
      <c r="D516" s="25"/>
      <c r="E516" s="25"/>
      <c r="F516" s="25"/>
      <c r="G516" s="25"/>
      <c r="H516" s="25"/>
      <c r="I516" s="40"/>
      <c r="J516" s="25"/>
      <c r="K516" s="25"/>
      <c r="L516" s="25"/>
      <c r="M516" s="25"/>
      <c r="N516" s="25"/>
      <c r="O516" s="25"/>
      <c r="P516" s="25"/>
      <c r="Q516" s="25"/>
      <c r="R516" s="25"/>
      <c r="S516" s="25"/>
      <c r="T516" s="25"/>
      <c r="U516" s="25"/>
      <c r="V516" s="25"/>
      <c r="W516" s="25"/>
      <c r="X516" s="25"/>
      <c r="Y516" s="25"/>
      <c r="Z516" s="25"/>
      <c r="AA516" s="25"/>
      <c r="AB516" s="25"/>
      <c r="AC516" s="25"/>
      <c r="AD516" s="25"/>
    </row>
    <row r="517" spans="1:30" ht="15.75" customHeight="1">
      <c r="A517" s="25"/>
      <c r="B517" s="25"/>
      <c r="C517" s="25"/>
      <c r="D517" s="25"/>
      <c r="E517" s="25"/>
      <c r="F517" s="25"/>
      <c r="G517" s="25"/>
      <c r="H517" s="25"/>
      <c r="I517" s="40"/>
      <c r="J517" s="25"/>
      <c r="K517" s="25"/>
      <c r="L517" s="25"/>
      <c r="M517" s="25"/>
      <c r="N517" s="25"/>
      <c r="O517" s="25"/>
      <c r="P517" s="25"/>
      <c r="Q517" s="25"/>
      <c r="R517" s="25"/>
      <c r="S517" s="25"/>
      <c r="T517" s="25"/>
      <c r="U517" s="25"/>
      <c r="V517" s="25"/>
      <c r="W517" s="25"/>
      <c r="X517" s="25"/>
      <c r="Y517" s="25"/>
      <c r="Z517" s="25"/>
      <c r="AA517" s="25"/>
      <c r="AB517" s="25"/>
      <c r="AC517" s="25"/>
      <c r="AD517" s="25"/>
    </row>
    <row r="518" spans="1:30" ht="15.75" customHeight="1">
      <c r="A518" s="25"/>
      <c r="B518" s="25"/>
      <c r="C518" s="25"/>
      <c r="D518" s="25"/>
      <c r="E518" s="25"/>
      <c r="F518" s="25"/>
      <c r="G518" s="25"/>
      <c r="H518" s="25"/>
      <c r="I518" s="40"/>
      <c r="J518" s="25"/>
      <c r="K518" s="25"/>
      <c r="L518" s="25"/>
      <c r="M518" s="25"/>
      <c r="N518" s="25"/>
      <c r="O518" s="25"/>
      <c r="P518" s="25"/>
      <c r="Q518" s="25"/>
      <c r="R518" s="25"/>
      <c r="S518" s="25"/>
      <c r="T518" s="25"/>
      <c r="U518" s="25"/>
      <c r="V518" s="25"/>
      <c r="W518" s="25"/>
      <c r="X518" s="25"/>
      <c r="Y518" s="25"/>
      <c r="Z518" s="25"/>
      <c r="AA518" s="25"/>
      <c r="AB518" s="25"/>
      <c r="AC518" s="25"/>
      <c r="AD518" s="25"/>
    </row>
    <row r="519" spans="1:30" ht="15.75" customHeight="1">
      <c r="A519" s="25"/>
      <c r="B519" s="25"/>
      <c r="C519" s="25"/>
      <c r="D519" s="25"/>
      <c r="E519" s="25"/>
      <c r="F519" s="25"/>
      <c r="G519" s="25"/>
      <c r="H519" s="25"/>
      <c r="I519" s="40"/>
      <c r="J519" s="25"/>
      <c r="K519" s="25"/>
      <c r="L519" s="25"/>
      <c r="M519" s="25"/>
      <c r="N519" s="25"/>
      <c r="O519" s="25"/>
      <c r="P519" s="25"/>
      <c r="Q519" s="25"/>
      <c r="R519" s="25"/>
      <c r="S519" s="25"/>
      <c r="T519" s="25"/>
      <c r="U519" s="25"/>
      <c r="V519" s="25"/>
      <c r="W519" s="25"/>
      <c r="X519" s="25"/>
      <c r="Y519" s="25"/>
      <c r="Z519" s="25"/>
      <c r="AA519" s="25"/>
      <c r="AB519" s="25"/>
      <c r="AC519" s="25"/>
      <c r="AD519" s="25"/>
    </row>
    <row r="520" spans="1:30" ht="15.75" customHeight="1">
      <c r="A520" s="25"/>
      <c r="B520" s="25"/>
      <c r="C520" s="25"/>
      <c r="D520" s="25"/>
      <c r="E520" s="25"/>
      <c r="F520" s="25"/>
      <c r="G520" s="25"/>
      <c r="H520" s="25"/>
      <c r="I520" s="40"/>
      <c r="J520" s="25"/>
      <c r="K520" s="25"/>
      <c r="L520" s="25"/>
      <c r="M520" s="25"/>
      <c r="N520" s="25"/>
      <c r="O520" s="25"/>
      <c r="P520" s="25"/>
      <c r="Q520" s="25"/>
      <c r="R520" s="25"/>
      <c r="S520" s="25"/>
      <c r="T520" s="25"/>
      <c r="U520" s="25"/>
      <c r="V520" s="25"/>
      <c r="W520" s="25"/>
      <c r="X520" s="25"/>
      <c r="Y520" s="25"/>
      <c r="Z520" s="25"/>
      <c r="AA520" s="25"/>
      <c r="AB520" s="25"/>
      <c r="AC520" s="25"/>
      <c r="AD520" s="25"/>
    </row>
    <row r="521" spans="1:30" ht="15.75" customHeight="1">
      <c r="A521" s="25"/>
      <c r="B521" s="25"/>
      <c r="C521" s="25"/>
      <c r="D521" s="25"/>
      <c r="E521" s="25"/>
      <c r="F521" s="25"/>
      <c r="G521" s="25"/>
      <c r="H521" s="25"/>
      <c r="I521" s="40"/>
      <c r="J521" s="25"/>
      <c r="K521" s="25"/>
      <c r="L521" s="25"/>
      <c r="M521" s="25"/>
      <c r="N521" s="25"/>
      <c r="O521" s="25"/>
      <c r="P521" s="25"/>
      <c r="Q521" s="25"/>
      <c r="R521" s="25"/>
      <c r="S521" s="25"/>
      <c r="T521" s="25"/>
      <c r="U521" s="25"/>
      <c r="V521" s="25"/>
      <c r="W521" s="25"/>
      <c r="X521" s="25"/>
      <c r="Y521" s="25"/>
      <c r="Z521" s="25"/>
      <c r="AA521" s="25"/>
      <c r="AB521" s="25"/>
      <c r="AC521" s="25"/>
      <c r="AD521" s="25"/>
    </row>
    <row r="522" spans="1:30" ht="15.75" customHeight="1">
      <c r="A522" s="25"/>
      <c r="B522" s="25"/>
      <c r="C522" s="25"/>
      <c r="D522" s="25"/>
      <c r="E522" s="25"/>
      <c r="F522" s="25"/>
      <c r="G522" s="25"/>
      <c r="H522" s="25"/>
      <c r="I522" s="40"/>
      <c r="J522" s="25"/>
      <c r="K522" s="25"/>
      <c r="L522" s="25"/>
      <c r="M522" s="25"/>
      <c r="N522" s="25"/>
      <c r="O522" s="25"/>
      <c r="P522" s="25"/>
      <c r="Q522" s="25"/>
      <c r="R522" s="25"/>
      <c r="S522" s="25"/>
      <c r="T522" s="25"/>
      <c r="U522" s="25"/>
      <c r="V522" s="25"/>
      <c r="W522" s="25"/>
      <c r="X522" s="25"/>
      <c r="Y522" s="25"/>
      <c r="Z522" s="25"/>
      <c r="AA522" s="25"/>
      <c r="AB522" s="25"/>
      <c r="AC522" s="25"/>
      <c r="AD522" s="25"/>
    </row>
    <row r="523" spans="1:30" ht="15.75" customHeight="1">
      <c r="A523" s="25"/>
      <c r="B523" s="25"/>
      <c r="C523" s="25"/>
      <c r="D523" s="25"/>
      <c r="E523" s="25"/>
      <c r="F523" s="25"/>
      <c r="G523" s="25"/>
      <c r="H523" s="25"/>
      <c r="I523" s="40"/>
      <c r="J523" s="25"/>
      <c r="K523" s="25"/>
      <c r="L523" s="25"/>
      <c r="M523" s="25"/>
      <c r="N523" s="25"/>
      <c r="O523" s="25"/>
      <c r="P523" s="25"/>
      <c r="Q523" s="25"/>
      <c r="R523" s="25"/>
      <c r="S523" s="25"/>
      <c r="T523" s="25"/>
      <c r="U523" s="25"/>
      <c r="V523" s="25"/>
      <c r="W523" s="25"/>
      <c r="X523" s="25"/>
      <c r="Y523" s="25"/>
      <c r="Z523" s="25"/>
      <c r="AA523" s="25"/>
      <c r="AB523" s="25"/>
      <c r="AC523" s="25"/>
      <c r="AD523" s="25"/>
    </row>
    <row r="524" spans="1:30" ht="15.75" customHeight="1">
      <c r="A524" s="25"/>
      <c r="B524" s="25"/>
      <c r="C524" s="25"/>
      <c r="D524" s="25"/>
      <c r="E524" s="25"/>
      <c r="F524" s="25"/>
      <c r="G524" s="25"/>
      <c r="H524" s="25"/>
      <c r="I524" s="40"/>
      <c r="J524" s="25"/>
      <c r="K524" s="25"/>
      <c r="L524" s="25"/>
      <c r="M524" s="25"/>
      <c r="N524" s="25"/>
      <c r="O524" s="25"/>
      <c r="P524" s="25"/>
      <c r="Q524" s="25"/>
      <c r="R524" s="25"/>
      <c r="S524" s="25"/>
      <c r="T524" s="25"/>
      <c r="U524" s="25"/>
      <c r="V524" s="25"/>
      <c r="W524" s="25"/>
      <c r="X524" s="25"/>
      <c r="Y524" s="25"/>
      <c r="Z524" s="25"/>
      <c r="AA524" s="25"/>
      <c r="AB524" s="25"/>
      <c r="AC524" s="25"/>
      <c r="AD524" s="25"/>
    </row>
    <row r="525" spans="1:30" ht="15.75" customHeight="1">
      <c r="A525" s="25"/>
      <c r="B525" s="25"/>
      <c r="C525" s="25"/>
      <c r="D525" s="25"/>
      <c r="E525" s="25"/>
      <c r="F525" s="25"/>
      <c r="G525" s="25"/>
      <c r="H525" s="25"/>
      <c r="I525" s="40"/>
      <c r="J525" s="25"/>
      <c r="K525" s="25"/>
      <c r="L525" s="25"/>
      <c r="M525" s="25"/>
      <c r="N525" s="25"/>
      <c r="O525" s="25"/>
      <c r="P525" s="25"/>
      <c r="Q525" s="25"/>
      <c r="R525" s="25"/>
      <c r="S525" s="25"/>
      <c r="T525" s="25"/>
      <c r="U525" s="25"/>
      <c r="V525" s="25"/>
      <c r="W525" s="25"/>
      <c r="X525" s="25"/>
      <c r="Y525" s="25"/>
      <c r="Z525" s="25"/>
      <c r="AA525" s="25"/>
      <c r="AB525" s="25"/>
      <c r="AC525" s="25"/>
      <c r="AD525" s="25"/>
    </row>
    <row r="526" spans="1:30" ht="15.75" customHeight="1">
      <c r="A526" s="25"/>
      <c r="B526" s="25"/>
      <c r="C526" s="25"/>
      <c r="D526" s="25"/>
      <c r="E526" s="25"/>
      <c r="F526" s="25"/>
      <c r="G526" s="25"/>
      <c r="H526" s="25"/>
      <c r="I526" s="40"/>
      <c r="J526" s="25"/>
      <c r="K526" s="25"/>
      <c r="L526" s="25"/>
      <c r="M526" s="25"/>
      <c r="N526" s="25"/>
      <c r="O526" s="25"/>
      <c r="P526" s="25"/>
      <c r="Q526" s="25"/>
      <c r="R526" s="25"/>
      <c r="S526" s="25"/>
      <c r="T526" s="25"/>
      <c r="U526" s="25"/>
      <c r="V526" s="25"/>
      <c r="W526" s="25"/>
      <c r="X526" s="25"/>
      <c r="Y526" s="25"/>
      <c r="Z526" s="25"/>
      <c r="AA526" s="25"/>
      <c r="AB526" s="25"/>
      <c r="AC526" s="25"/>
      <c r="AD526" s="25"/>
    </row>
    <row r="527" spans="1:30" ht="15.75" customHeight="1">
      <c r="A527" s="25"/>
      <c r="B527" s="25"/>
      <c r="C527" s="25"/>
      <c r="D527" s="25"/>
      <c r="E527" s="25"/>
      <c r="F527" s="25"/>
      <c r="G527" s="25"/>
      <c r="H527" s="25"/>
      <c r="I527" s="40"/>
      <c r="J527" s="25"/>
      <c r="K527" s="25"/>
      <c r="L527" s="25"/>
      <c r="M527" s="25"/>
      <c r="N527" s="25"/>
      <c r="O527" s="25"/>
      <c r="P527" s="25"/>
      <c r="Q527" s="25"/>
      <c r="R527" s="25"/>
      <c r="S527" s="25"/>
      <c r="T527" s="25"/>
      <c r="U527" s="25"/>
      <c r="V527" s="25"/>
      <c r="W527" s="25"/>
      <c r="X527" s="25"/>
      <c r="Y527" s="25"/>
      <c r="Z527" s="25"/>
      <c r="AA527" s="25"/>
      <c r="AB527" s="25"/>
      <c r="AC527" s="25"/>
      <c r="AD527" s="25"/>
    </row>
    <row r="528" spans="1:30" ht="15.75" customHeight="1">
      <c r="A528" s="25"/>
      <c r="B528" s="25"/>
      <c r="C528" s="25"/>
      <c r="D528" s="25"/>
      <c r="E528" s="25"/>
      <c r="F528" s="25"/>
      <c r="G528" s="25"/>
      <c r="H528" s="25"/>
      <c r="I528" s="40"/>
      <c r="J528" s="25"/>
      <c r="K528" s="25"/>
      <c r="L528" s="25"/>
      <c r="M528" s="25"/>
      <c r="N528" s="25"/>
      <c r="O528" s="25"/>
      <c r="P528" s="25"/>
      <c r="Q528" s="25"/>
      <c r="R528" s="25"/>
      <c r="S528" s="25"/>
      <c r="T528" s="25"/>
      <c r="U528" s="25"/>
      <c r="V528" s="25"/>
      <c r="W528" s="25"/>
      <c r="X528" s="25"/>
      <c r="Y528" s="25"/>
      <c r="Z528" s="25"/>
      <c r="AA528" s="25"/>
      <c r="AB528" s="25"/>
      <c r="AC528" s="25"/>
      <c r="AD528" s="25"/>
    </row>
    <row r="529" spans="1:30" ht="15.75" customHeight="1">
      <c r="A529" s="25"/>
      <c r="B529" s="25"/>
      <c r="C529" s="25"/>
      <c r="D529" s="25"/>
      <c r="E529" s="25"/>
      <c r="F529" s="25"/>
      <c r="G529" s="25"/>
      <c r="H529" s="25"/>
      <c r="I529" s="40"/>
      <c r="J529" s="25"/>
      <c r="K529" s="25"/>
      <c r="L529" s="25"/>
      <c r="M529" s="25"/>
      <c r="N529" s="25"/>
      <c r="O529" s="25"/>
      <c r="P529" s="25"/>
      <c r="Q529" s="25"/>
      <c r="R529" s="25"/>
      <c r="S529" s="25"/>
      <c r="T529" s="25"/>
      <c r="U529" s="25"/>
      <c r="V529" s="25"/>
      <c r="W529" s="25"/>
      <c r="X529" s="25"/>
      <c r="Y529" s="25"/>
      <c r="Z529" s="25"/>
      <c r="AA529" s="25"/>
      <c r="AB529" s="25"/>
      <c r="AC529" s="25"/>
      <c r="AD529" s="25"/>
    </row>
    <row r="530" spans="1:30" ht="15.75" customHeight="1">
      <c r="A530" s="25"/>
      <c r="B530" s="25"/>
      <c r="C530" s="25"/>
      <c r="D530" s="25"/>
      <c r="E530" s="25"/>
      <c r="F530" s="25"/>
      <c r="G530" s="25"/>
      <c r="H530" s="25"/>
      <c r="I530" s="40"/>
      <c r="J530" s="25"/>
      <c r="K530" s="25"/>
      <c r="L530" s="25"/>
      <c r="M530" s="25"/>
      <c r="N530" s="25"/>
      <c r="O530" s="25"/>
      <c r="P530" s="25"/>
      <c r="Q530" s="25"/>
      <c r="R530" s="25"/>
      <c r="S530" s="25"/>
      <c r="T530" s="25"/>
      <c r="U530" s="25"/>
      <c r="V530" s="25"/>
      <c r="W530" s="25"/>
      <c r="X530" s="25"/>
      <c r="Y530" s="25"/>
      <c r="Z530" s="25"/>
      <c r="AA530" s="25"/>
      <c r="AB530" s="25"/>
      <c r="AC530" s="25"/>
      <c r="AD530" s="25"/>
    </row>
    <row r="531" spans="1:30" ht="15.75" customHeight="1">
      <c r="A531" s="25"/>
      <c r="B531" s="25"/>
      <c r="C531" s="25"/>
      <c r="D531" s="25"/>
      <c r="E531" s="25"/>
      <c r="F531" s="25"/>
      <c r="G531" s="25"/>
      <c r="H531" s="25"/>
      <c r="I531" s="40"/>
      <c r="J531" s="25"/>
      <c r="K531" s="25"/>
      <c r="L531" s="25"/>
      <c r="M531" s="25"/>
      <c r="N531" s="25"/>
      <c r="O531" s="25"/>
      <c r="P531" s="25"/>
      <c r="Q531" s="25"/>
      <c r="R531" s="25"/>
      <c r="S531" s="25"/>
      <c r="T531" s="25"/>
      <c r="U531" s="25"/>
      <c r="V531" s="25"/>
      <c r="W531" s="25"/>
      <c r="X531" s="25"/>
      <c r="Y531" s="25"/>
      <c r="Z531" s="25"/>
      <c r="AA531" s="25"/>
      <c r="AB531" s="25"/>
      <c r="AC531" s="25"/>
      <c r="AD531" s="25"/>
    </row>
    <row r="532" spans="1:30" ht="15.75" customHeight="1">
      <c r="A532" s="25"/>
      <c r="B532" s="25"/>
      <c r="C532" s="25"/>
      <c r="D532" s="25"/>
      <c r="E532" s="25"/>
      <c r="F532" s="25"/>
      <c r="G532" s="25"/>
      <c r="H532" s="25"/>
      <c r="I532" s="40"/>
      <c r="J532" s="25"/>
      <c r="K532" s="25"/>
      <c r="L532" s="25"/>
      <c r="M532" s="25"/>
      <c r="N532" s="25"/>
      <c r="O532" s="25"/>
      <c r="P532" s="25"/>
      <c r="Q532" s="25"/>
      <c r="R532" s="25"/>
      <c r="S532" s="25"/>
      <c r="T532" s="25"/>
      <c r="U532" s="25"/>
      <c r="V532" s="25"/>
      <c r="W532" s="25"/>
      <c r="X532" s="25"/>
      <c r="Y532" s="25"/>
      <c r="Z532" s="25"/>
      <c r="AA532" s="25"/>
      <c r="AB532" s="25"/>
      <c r="AC532" s="25"/>
      <c r="AD532" s="25"/>
    </row>
    <row r="533" spans="1:30" ht="15.75" customHeight="1">
      <c r="A533" s="25"/>
      <c r="B533" s="25"/>
      <c r="C533" s="25"/>
      <c r="D533" s="25"/>
      <c r="E533" s="25"/>
      <c r="F533" s="25"/>
      <c r="G533" s="25"/>
      <c r="H533" s="25"/>
      <c r="I533" s="40"/>
      <c r="J533" s="25"/>
      <c r="K533" s="25"/>
      <c r="L533" s="25"/>
      <c r="M533" s="25"/>
      <c r="N533" s="25"/>
      <c r="O533" s="25"/>
      <c r="P533" s="25"/>
      <c r="Q533" s="25"/>
      <c r="R533" s="25"/>
      <c r="S533" s="25"/>
      <c r="T533" s="25"/>
      <c r="U533" s="25"/>
      <c r="V533" s="25"/>
      <c r="W533" s="25"/>
      <c r="X533" s="25"/>
      <c r="Y533" s="25"/>
      <c r="Z533" s="25"/>
      <c r="AA533" s="25"/>
      <c r="AB533" s="25"/>
      <c r="AC533" s="25"/>
      <c r="AD533" s="25"/>
    </row>
    <row r="534" spans="1:30" ht="15.75" customHeight="1">
      <c r="A534" s="25"/>
      <c r="B534" s="25"/>
      <c r="C534" s="25"/>
      <c r="D534" s="25"/>
      <c r="E534" s="25"/>
      <c r="F534" s="25"/>
      <c r="G534" s="25"/>
      <c r="H534" s="25"/>
      <c r="I534" s="40"/>
      <c r="J534" s="25"/>
      <c r="K534" s="25"/>
      <c r="L534" s="25"/>
      <c r="M534" s="25"/>
      <c r="N534" s="25"/>
      <c r="O534" s="25"/>
      <c r="P534" s="25"/>
      <c r="Q534" s="25"/>
      <c r="R534" s="25"/>
      <c r="S534" s="25"/>
      <c r="T534" s="25"/>
      <c r="U534" s="25"/>
      <c r="V534" s="25"/>
      <c r="W534" s="25"/>
      <c r="X534" s="25"/>
      <c r="Y534" s="25"/>
      <c r="Z534" s="25"/>
      <c r="AA534" s="25"/>
      <c r="AB534" s="25"/>
      <c r="AC534" s="25"/>
      <c r="AD534" s="25"/>
    </row>
    <row r="535" spans="1:30" ht="15.75" customHeight="1">
      <c r="A535" s="25"/>
      <c r="B535" s="25"/>
      <c r="C535" s="25"/>
      <c r="D535" s="25"/>
      <c r="E535" s="25"/>
      <c r="F535" s="25"/>
      <c r="G535" s="25"/>
      <c r="H535" s="25"/>
      <c r="I535" s="40"/>
      <c r="J535" s="25"/>
      <c r="K535" s="25"/>
      <c r="L535" s="25"/>
      <c r="M535" s="25"/>
      <c r="N535" s="25"/>
      <c r="O535" s="25"/>
      <c r="P535" s="25"/>
      <c r="Q535" s="25"/>
      <c r="R535" s="25"/>
      <c r="S535" s="25"/>
      <c r="T535" s="25"/>
      <c r="U535" s="25"/>
      <c r="V535" s="25"/>
      <c r="W535" s="25"/>
      <c r="X535" s="25"/>
      <c r="Y535" s="25"/>
      <c r="Z535" s="25"/>
      <c r="AA535" s="25"/>
      <c r="AB535" s="25"/>
      <c r="AC535" s="25"/>
      <c r="AD535" s="25"/>
    </row>
    <row r="536" spans="1:30" ht="15.75" customHeight="1">
      <c r="A536" s="25"/>
      <c r="B536" s="25"/>
      <c r="C536" s="25"/>
      <c r="D536" s="25"/>
      <c r="E536" s="25"/>
      <c r="F536" s="25"/>
      <c r="G536" s="25"/>
      <c r="H536" s="25"/>
      <c r="I536" s="40"/>
      <c r="J536" s="25"/>
      <c r="K536" s="25"/>
      <c r="L536" s="25"/>
      <c r="M536" s="25"/>
      <c r="N536" s="25"/>
      <c r="O536" s="25"/>
      <c r="P536" s="25"/>
      <c r="Q536" s="25"/>
      <c r="R536" s="25"/>
      <c r="S536" s="25"/>
      <c r="T536" s="25"/>
      <c r="U536" s="25"/>
      <c r="V536" s="25"/>
      <c r="W536" s="25"/>
      <c r="X536" s="25"/>
      <c r="Y536" s="25"/>
      <c r="Z536" s="25"/>
      <c r="AA536" s="25"/>
      <c r="AB536" s="25"/>
      <c r="AC536" s="25"/>
      <c r="AD536" s="25"/>
    </row>
    <row r="537" spans="1:30" ht="15.75" customHeight="1">
      <c r="A537" s="25"/>
      <c r="B537" s="25"/>
      <c r="C537" s="25"/>
      <c r="D537" s="25"/>
      <c r="E537" s="25"/>
      <c r="F537" s="25"/>
      <c r="G537" s="25"/>
      <c r="H537" s="25"/>
      <c r="I537" s="40"/>
      <c r="J537" s="25"/>
      <c r="K537" s="25"/>
      <c r="L537" s="25"/>
      <c r="M537" s="25"/>
      <c r="N537" s="25"/>
      <c r="O537" s="25"/>
      <c r="P537" s="25"/>
      <c r="Q537" s="25"/>
      <c r="R537" s="25"/>
      <c r="S537" s="25"/>
      <c r="T537" s="25"/>
      <c r="U537" s="25"/>
      <c r="V537" s="25"/>
      <c r="W537" s="25"/>
      <c r="X537" s="25"/>
      <c r="Y537" s="25"/>
      <c r="Z537" s="25"/>
      <c r="AA537" s="25"/>
      <c r="AB537" s="25"/>
      <c r="AC537" s="25"/>
      <c r="AD537" s="25"/>
    </row>
    <row r="538" spans="1:30" ht="15.75" customHeight="1">
      <c r="A538" s="25"/>
      <c r="B538" s="25"/>
      <c r="C538" s="25"/>
      <c r="D538" s="25"/>
      <c r="E538" s="25"/>
      <c r="F538" s="25"/>
      <c r="G538" s="25"/>
      <c r="H538" s="25"/>
      <c r="I538" s="40"/>
      <c r="J538" s="25"/>
      <c r="K538" s="25"/>
      <c r="L538" s="25"/>
      <c r="M538" s="25"/>
      <c r="N538" s="25"/>
      <c r="O538" s="25"/>
      <c r="P538" s="25"/>
      <c r="Q538" s="25"/>
      <c r="R538" s="25"/>
      <c r="S538" s="25"/>
      <c r="T538" s="25"/>
      <c r="U538" s="25"/>
      <c r="V538" s="25"/>
      <c r="W538" s="25"/>
      <c r="X538" s="25"/>
      <c r="Y538" s="25"/>
      <c r="Z538" s="25"/>
      <c r="AA538" s="25"/>
      <c r="AB538" s="25"/>
      <c r="AC538" s="25"/>
      <c r="AD538" s="25"/>
    </row>
    <row r="539" spans="1:30" ht="15.75" customHeight="1">
      <c r="A539" s="25"/>
      <c r="B539" s="25"/>
      <c r="C539" s="25"/>
      <c r="D539" s="25"/>
      <c r="E539" s="25"/>
      <c r="F539" s="25"/>
      <c r="G539" s="25"/>
      <c r="H539" s="25"/>
      <c r="I539" s="40"/>
      <c r="J539" s="25"/>
      <c r="K539" s="25"/>
      <c r="L539" s="25"/>
      <c r="M539" s="25"/>
      <c r="N539" s="25"/>
      <c r="O539" s="25"/>
      <c r="P539" s="25"/>
      <c r="Q539" s="25"/>
      <c r="R539" s="25"/>
      <c r="S539" s="25"/>
      <c r="T539" s="25"/>
      <c r="U539" s="25"/>
      <c r="V539" s="25"/>
      <c r="W539" s="25"/>
      <c r="X539" s="25"/>
      <c r="Y539" s="25"/>
      <c r="Z539" s="25"/>
      <c r="AA539" s="25"/>
      <c r="AB539" s="25"/>
      <c r="AC539" s="25"/>
      <c r="AD539" s="25"/>
    </row>
    <row r="540" spans="1:30" ht="15.75" customHeight="1">
      <c r="A540" s="25"/>
      <c r="B540" s="25"/>
      <c r="C540" s="25"/>
      <c r="D540" s="25"/>
      <c r="E540" s="25"/>
      <c r="F540" s="25"/>
      <c r="G540" s="25"/>
      <c r="H540" s="25"/>
      <c r="I540" s="40"/>
      <c r="J540" s="25"/>
      <c r="K540" s="25"/>
      <c r="L540" s="25"/>
      <c r="M540" s="25"/>
      <c r="N540" s="25"/>
      <c r="O540" s="25"/>
      <c r="P540" s="25"/>
      <c r="Q540" s="25"/>
      <c r="R540" s="25"/>
      <c r="S540" s="25"/>
      <c r="T540" s="25"/>
      <c r="U540" s="25"/>
      <c r="V540" s="25"/>
      <c r="W540" s="25"/>
      <c r="X540" s="25"/>
      <c r="Y540" s="25"/>
      <c r="Z540" s="25"/>
      <c r="AA540" s="25"/>
      <c r="AB540" s="25"/>
      <c r="AC540" s="25"/>
      <c r="AD540" s="25"/>
    </row>
    <row r="541" spans="1:30" ht="15.75" customHeight="1">
      <c r="A541" s="25"/>
      <c r="B541" s="25"/>
      <c r="C541" s="25"/>
      <c r="D541" s="25"/>
      <c r="E541" s="25"/>
      <c r="F541" s="25"/>
      <c r="G541" s="25"/>
      <c r="H541" s="25"/>
      <c r="I541" s="40"/>
      <c r="J541" s="25"/>
      <c r="K541" s="25"/>
      <c r="L541" s="25"/>
      <c r="M541" s="25"/>
      <c r="N541" s="25"/>
      <c r="O541" s="25"/>
      <c r="P541" s="25"/>
      <c r="Q541" s="25"/>
      <c r="R541" s="25"/>
      <c r="S541" s="25"/>
      <c r="T541" s="25"/>
      <c r="U541" s="25"/>
      <c r="V541" s="25"/>
      <c r="W541" s="25"/>
      <c r="X541" s="25"/>
      <c r="Y541" s="25"/>
      <c r="Z541" s="25"/>
      <c r="AA541" s="25"/>
      <c r="AB541" s="25"/>
      <c r="AC541" s="25"/>
      <c r="AD541" s="25"/>
    </row>
    <row r="542" spans="1:30" ht="15.75" customHeight="1">
      <c r="A542" s="25"/>
      <c r="B542" s="25"/>
      <c r="C542" s="25"/>
      <c r="D542" s="25"/>
      <c r="E542" s="25"/>
      <c r="F542" s="25"/>
      <c r="G542" s="25"/>
      <c r="H542" s="25"/>
      <c r="I542" s="40"/>
      <c r="J542" s="25"/>
      <c r="K542" s="25"/>
      <c r="L542" s="25"/>
      <c r="M542" s="25"/>
      <c r="N542" s="25"/>
      <c r="O542" s="25"/>
      <c r="P542" s="25"/>
      <c r="Q542" s="25"/>
      <c r="R542" s="25"/>
      <c r="S542" s="25"/>
      <c r="T542" s="25"/>
      <c r="U542" s="25"/>
      <c r="V542" s="25"/>
      <c r="W542" s="25"/>
      <c r="X542" s="25"/>
      <c r="Y542" s="25"/>
      <c r="Z542" s="25"/>
      <c r="AA542" s="25"/>
      <c r="AB542" s="25"/>
      <c r="AC542" s="25"/>
      <c r="AD542" s="25"/>
    </row>
    <row r="543" spans="1:30" ht="15.75" customHeight="1">
      <c r="A543" s="25"/>
      <c r="B543" s="25"/>
      <c r="C543" s="25"/>
      <c r="D543" s="25"/>
      <c r="E543" s="25"/>
      <c r="F543" s="25"/>
      <c r="G543" s="25"/>
      <c r="H543" s="25"/>
      <c r="I543" s="40"/>
      <c r="J543" s="25"/>
      <c r="K543" s="25"/>
      <c r="L543" s="25"/>
      <c r="M543" s="25"/>
      <c r="N543" s="25"/>
      <c r="O543" s="25"/>
      <c r="P543" s="25"/>
      <c r="Q543" s="25"/>
      <c r="R543" s="25"/>
      <c r="S543" s="25"/>
      <c r="T543" s="25"/>
      <c r="U543" s="25"/>
      <c r="V543" s="25"/>
      <c r="W543" s="25"/>
      <c r="X543" s="25"/>
      <c r="Y543" s="25"/>
      <c r="Z543" s="25"/>
      <c r="AA543" s="25"/>
      <c r="AB543" s="25"/>
      <c r="AC543" s="25"/>
      <c r="AD543" s="25"/>
    </row>
    <row r="544" spans="1:30" ht="15.75" customHeight="1">
      <c r="A544" s="25"/>
      <c r="B544" s="25"/>
      <c r="C544" s="25"/>
      <c r="D544" s="25"/>
      <c r="E544" s="25"/>
      <c r="F544" s="25"/>
      <c r="G544" s="25"/>
      <c r="H544" s="25"/>
      <c r="I544" s="40"/>
      <c r="J544" s="25"/>
      <c r="K544" s="25"/>
      <c r="L544" s="25"/>
      <c r="M544" s="25"/>
      <c r="N544" s="25"/>
      <c r="O544" s="25"/>
      <c r="P544" s="25"/>
      <c r="Q544" s="25"/>
      <c r="R544" s="25"/>
      <c r="S544" s="25"/>
      <c r="T544" s="25"/>
      <c r="U544" s="25"/>
      <c r="V544" s="25"/>
      <c r="W544" s="25"/>
      <c r="X544" s="25"/>
      <c r="Y544" s="25"/>
      <c r="Z544" s="25"/>
      <c r="AA544" s="25"/>
      <c r="AB544" s="25"/>
      <c r="AC544" s="25"/>
      <c r="AD544" s="25"/>
    </row>
    <row r="545" spans="1:30" ht="15.75" customHeight="1">
      <c r="A545" s="25"/>
      <c r="B545" s="25"/>
      <c r="C545" s="25"/>
      <c r="D545" s="25"/>
      <c r="E545" s="25"/>
      <c r="F545" s="25"/>
      <c r="G545" s="25"/>
      <c r="H545" s="25"/>
      <c r="I545" s="40"/>
      <c r="J545" s="25"/>
      <c r="K545" s="25"/>
      <c r="L545" s="25"/>
      <c r="M545" s="25"/>
      <c r="N545" s="25"/>
      <c r="O545" s="25"/>
      <c r="P545" s="25"/>
      <c r="Q545" s="25"/>
      <c r="R545" s="25"/>
      <c r="S545" s="25"/>
      <c r="T545" s="25"/>
      <c r="U545" s="25"/>
      <c r="V545" s="25"/>
      <c r="W545" s="25"/>
      <c r="X545" s="25"/>
      <c r="Y545" s="25"/>
      <c r="Z545" s="25"/>
      <c r="AA545" s="25"/>
      <c r="AB545" s="25"/>
      <c r="AC545" s="25"/>
      <c r="AD545" s="25"/>
    </row>
    <row r="546" spans="1:30" ht="15.75" customHeight="1">
      <c r="A546" s="25"/>
      <c r="B546" s="25"/>
      <c r="C546" s="25"/>
      <c r="D546" s="25"/>
      <c r="E546" s="25"/>
      <c r="F546" s="25"/>
      <c r="G546" s="25"/>
      <c r="H546" s="25"/>
      <c r="I546" s="40"/>
      <c r="J546" s="25"/>
      <c r="K546" s="25"/>
      <c r="L546" s="25"/>
      <c r="M546" s="25"/>
      <c r="N546" s="25"/>
      <c r="O546" s="25"/>
      <c r="P546" s="25"/>
      <c r="Q546" s="25"/>
      <c r="R546" s="25"/>
      <c r="S546" s="25"/>
      <c r="T546" s="25"/>
      <c r="U546" s="25"/>
      <c r="V546" s="25"/>
      <c r="W546" s="25"/>
      <c r="X546" s="25"/>
      <c r="Y546" s="25"/>
      <c r="Z546" s="25"/>
      <c r="AA546" s="25"/>
      <c r="AB546" s="25"/>
      <c r="AC546" s="25"/>
      <c r="AD546" s="25"/>
    </row>
    <row r="547" spans="1:30" ht="15.75" customHeight="1">
      <c r="A547" s="25"/>
      <c r="B547" s="25"/>
      <c r="C547" s="25"/>
      <c r="D547" s="25"/>
      <c r="E547" s="25"/>
      <c r="F547" s="25"/>
      <c r="G547" s="25"/>
      <c r="H547" s="25"/>
      <c r="I547" s="40"/>
      <c r="J547" s="25"/>
      <c r="K547" s="25"/>
      <c r="L547" s="25"/>
      <c r="M547" s="25"/>
      <c r="N547" s="25"/>
      <c r="O547" s="25"/>
      <c r="P547" s="25"/>
      <c r="Q547" s="25"/>
      <c r="R547" s="25"/>
      <c r="S547" s="25"/>
      <c r="T547" s="25"/>
      <c r="U547" s="25"/>
      <c r="V547" s="25"/>
      <c r="W547" s="25"/>
      <c r="X547" s="25"/>
      <c r="Y547" s="25"/>
      <c r="Z547" s="25"/>
      <c r="AA547" s="25"/>
      <c r="AB547" s="25"/>
      <c r="AC547" s="25"/>
      <c r="AD547" s="25"/>
    </row>
    <row r="548" spans="1:30" ht="15.75" customHeight="1">
      <c r="A548" s="25"/>
      <c r="B548" s="25"/>
      <c r="C548" s="25"/>
      <c r="D548" s="25"/>
      <c r="E548" s="25"/>
      <c r="F548" s="25"/>
      <c r="G548" s="25"/>
      <c r="H548" s="25"/>
      <c r="I548" s="40"/>
      <c r="J548" s="25"/>
      <c r="K548" s="25"/>
      <c r="L548" s="25"/>
      <c r="M548" s="25"/>
      <c r="N548" s="25"/>
      <c r="O548" s="25"/>
      <c r="P548" s="25"/>
      <c r="Q548" s="25"/>
      <c r="R548" s="25"/>
      <c r="S548" s="25"/>
      <c r="T548" s="25"/>
      <c r="U548" s="25"/>
      <c r="V548" s="25"/>
      <c r="W548" s="25"/>
      <c r="X548" s="25"/>
      <c r="Y548" s="25"/>
      <c r="Z548" s="25"/>
      <c r="AA548" s="25"/>
      <c r="AB548" s="25"/>
      <c r="AC548" s="25"/>
      <c r="AD548" s="25"/>
    </row>
    <row r="549" spans="1:30" ht="15.75" customHeight="1">
      <c r="A549" s="25"/>
      <c r="B549" s="25"/>
      <c r="C549" s="25"/>
      <c r="D549" s="25"/>
      <c r="E549" s="25"/>
      <c r="F549" s="25"/>
      <c r="G549" s="25"/>
      <c r="H549" s="25"/>
      <c r="I549" s="40"/>
      <c r="J549" s="25"/>
      <c r="K549" s="25"/>
      <c r="L549" s="25"/>
      <c r="M549" s="25"/>
      <c r="N549" s="25"/>
      <c r="O549" s="25"/>
      <c r="P549" s="25"/>
      <c r="Q549" s="25"/>
      <c r="R549" s="25"/>
      <c r="S549" s="25"/>
      <c r="T549" s="25"/>
      <c r="U549" s="25"/>
      <c r="V549" s="25"/>
      <c r="W549" s="25"/>
      <c r="X549" s="25"/>
      <c r="Y549" s="25"/>
      <c r="Z549" s="25"/>
      <c r="AA549" s="25"/>
      <c r="AB549" s="25"/>
      <c r="AC549" s="25"/>
      <c r="AD549" s="25"/>
    </row>
    <row r="550" spans="1:30" ht="15.75" customHeight="1">
      <c r="A550" s="25"/>
      <c r="B550" s="25"/>
      <c r="C550" s="25"/>
      <c r="D550" s="25"/>
      <c r="E550" s="25"/>
      <c r="F550" s="25"/>
      <c r="G550" s="25"/>
      <c r="H550" s="25"/>
      <c r="I550" s="40"/>
      <c r="J550" s="25"/>
      <c r="K550" s="25"/>
      <c r="L550" s="25"/>
      <c r="M550" s="25"/>
      <c r="N550" s="25"/>
      <c r="O550" s="25"/>
      <c r="P550" s="25"/>
      <c r="Q550" s="25"/>
      <c r="R550" s="25"/>
      <c r="S550" s="25"/>
      <c r="T550" s="25"/>
      <c r="U550" s="25"/>
      <c r="V550" s="25"/>
      <c r="W550" s="25"/>
      <c r="X550" s="25"/>
      <c r="Y550" s="25"/>
      <c r="Z550" s="25"/>
      <c r="AA550" s="25"/>
      <c r="AB550" s="25"/>
      <c r="AC550" s="25"/>
      <c r="AD550" s="25"/>
    </row>
    <row r="551" spans="1:30" ht="15.75" customHeight="1">
      <c r="A551" s="25"/>
      <c r="B551" s="25"/>
      <c r="C551" s="25"/>
      <c r="D551" s="25"/>
      <c r="E551" s="25"/>
      <c r="F551" s="25"/>
      <c r="G551" s="25"/>
      <c r="H551" s="25"/>
      <c r="I551" s="40"/>
      <c r="J551" s="25"/>
      <c r="K551" s="25"/>
      <c r="L551" s="25"/>
      <c r="M551" s="25"/>
      <c r="N551" s="25"/>
      <c r="O551" s="25"/>
      <c r="P551" s="25"/>
      <c r="Q551" s="25"/>
      <c r="R551" s="25"/>
      <c r="S551" s="25"/>
      <c r="T551" s="25"/>
      <c r="U551" s="25"/>
      <c r="V551" s="25"/>
      <c r="W551" s="25"/>
      <c r="X551" s="25"/>
      <c r="Y551" s="25"/>
      <c r="Z551" s="25"/>
      <c r="AA551" s="25"/>
      <c r="AB551" s="25"/>
      <c r="AC551" s="25"/>
      <c r="AD551" s="25"/>
    </row>
    <row r="552" spans="1:30" ht="15.75" customHeight="1">
      <c r="A552" s="25"/>
      <c r="B552" s="25"/>
      <c r="C552" s="25"/>
      <c r="D552" s="25"/>
      <c r="E552" s="25"/>
      <c r="F552" s="25"/>
      <c r="G552" s="25"/>
      <c r="H552" s="25"/>
      <c r="I552" s="40"/>
      <c r="J552" s="25"/>
      <c r="K552" s="25"/>
      <c r="L552" s="25"/>
      <c r="M552" s="25"/>
      <c r="N552" s="25"/>
      <c r="O552" s="25"/>
      <c r="P552" s="25"/>
      <c r="Q552" s="25"/>
      <c r="R552" s="25"/>
      <c r="S552" s="25"/>
      <c r="T552" s="25"/>
      <c r="U552" s="25"/>
      <c r="V552" s="25"/>
      <c r="W552" s="25"/>
      <c r="X552" s="25"/>
      <c r="Y552" s="25"/>
      <c r="Z552" s="25"/>
      <c r="AA552" s="25"/>
      <c r="AB552" s="25"/>
      <c r="AC552" s="25"/>
      <c r="AD552" s="25"/>
    </row>
    <row r="553" spans="1:30" ht="15.75" customHeight="1">
      <c r="A553" s="25"/>
      <c r="B553" s="25"/>
      <c r="C553" s="25"/>
      <c r="D553" s="25"/>
      <c r="E553" s="25"/>
      <c r="F553" s="25"/>
      <c r="G553" s="25"/>
      <c r="H553" s="25"/>
      <c r="I553" s="40"/>
      <c r="J553" s="25"/>
      <c r="K553" s="25"/>
      <c r="L553" s="25"/>
      <c r="M553" s="25"/>
      <c r="N553" s="25"/>
      <c r="O553" s="25"/>
      <c r="P553" s="25"/>
      <c r="Q553" s="25"/>
      <c r="R553" s="25"/>
      <c r="S553" s="25"/>
      <c r="T553" s="25"/>
      <c r="U553" s="25"/>
      <c r="V553" s="25"/>
      <c r="W553" s="25"/>
      <c r="X553" s="25"/>
      <c r="Y553" s="25"/>
      <c r="Z553" s="25"/>
      <c r="AA553" s="25"/>
      <c r="AB553" s="25"/>
      <c r="AC553" s="25"/>
      <c r="AD553" s="25"/>
    </row>
    <row r="554" spans="1:30" ht="15.75" customHeight="1">
      <c r="A554" s="25"/>
      <c r="B554" s="25"/>
      <c r="C554" s="25"/>
      <c r="D554" s="25"/>
      <c r="E554" s="25"/>
      <c r="F554" s="25"/>
      <c r="G554" s="25"/>
      <c r="H554" s="25"/>
      <c r="I554" s="40"/>
      <c r="J554" s="25"/>
      <c r="K554" s="25"/>
      <c r="L554" s="25"/>
      <c r="M554" s="25"/>
      <c r="N554" s="25"/>
      <c r="O554" s="25"/>
      <c r="P554" s="25"/>
      <c r="Q554" s="25"/>
      <c r="R554" s="25"/>
      <c r="S554" s="25"/>
      <c r="T554" s="25"/>
      <c r="U554" s="25"/>
      <c r="V554" s="25"/>
      <c r="W554" s="25"/>
      <c r="X554" s="25"/>
      <c r="Y554" s="25"/>
      <c r="Z554" s="25"/>
      <c r="AA554" s="25"/>
      <c r="AB554" s="25"/>
      <c r="AC554" s="25"/>
      <c r="AD554" s="25"/>
    </row>
    <row r="555" spans="1:30" ht="15.75" customHeight="1">
      <c r="A555" s="25"/>
      <c r="B555" s="25"/>
      <c r="C555" s="25"/>
      <c r="D555" s="25"/>
      <c r="E555" s="25"/>
      <c r="F555" s="25"/>
      <c r="G555" s="25"/>
      <c r="H555" s="25"/>
      <c r="I555" s="40"/>
      <c r="J555" s="25"/>
      <c r="K555" s="25"/>
      <c r="L555" s="25"/>
      <c r="M555" s="25"/>
      <c r="N555" s="25"/>
      <c r="O555" s="25"/>
      <c r="P555" s="25"/>
      <c r="Q555" s="25"/>
      <c r="R555" s="25"/>
      <c r="S555" s="25"/>
      <c r="T555" s="25"/>
      <c r="U555" s="25"/>
      <c r="V555" s="25"/>
      <c r="W555" s="25"/>
      <c r="X555" s="25"/>
      <c r="Y555" s="25"/>
      <c r="Z555" s="25"/>
      <c r="AA555" s="25"/>
      <c r="AB555" s="25"/>
      <c r="AC555" s="25"/>
      <c r="AD555" s="25"/>
    </row>
    <row r="556" spans="1:30" ht="15.75" customHeight="1">
      <c r="A556" s="25"/>
      <c r="B556" s="25"/>
      <c r="C556" s="25"/>
      <c r="D556" s="25"/>
      <c r="E556" s="25"/>
      <c r="F556" s="25"/>
      <c r="G556" s="25"/>
      <c r="H556" s="25"/>
      <c r="I556" s="40"/>
      <c r="J556" s="25"/>
      <c r="K556" s="25"/>
      <c r="L556" s="25"/>
      <c r="M556" s="25"/>
      <c r="N556" s="25"/>
      <c r="O556" s="25"/>
      <c r="P556" s="25"/>
      <c r="Q556" s="25"/>
      <c r="R556" s="25"/>
      <c r="S556" s="25"/>
      <c r="T556" s="25"/>
      <c r="U556" s="25"/>
      <c r="V556" s="25"/>
      <c r="W556" s="25"/>
      <c r="X556" s="25"/>
      <c r="Y556" s="25"/>
      <c r="Z556" s="25"/>
      <c r="AA556" s="25"/>
      <c r="AB556" s="25"/>
      <c r="AC556" s="25"/>
      <c r="AD556" s="25"/>
    </row>
    <row r="557" spans="1:30" ht="15.75" customHeight="1">
      <c r="A557" s="25"/>
      <c r="B557" s="25"/>
      <c r="C557" s="25"/>
      <c r="D557" s="25"/>
      <c r="E557" s="25"/>
      <c r="F557" s="25"/>
      <c r="G557" s="25"/>
      <c r="H557" s="25"/>
      <c r="I557" s="40"/>
      <c r="J557" s="25"/>
      <c r="K557" s="25"/>
      <c r="L557" s="25"/>
      <c r="M557" s="25"/>
      <c r="N557" s="25"/>
      <c r="O557" s="25"/>
      <c r="P557" s="25"/>
      <c r="Q557" s="25"/>
      <c r="R557" s="25"/>
      <c r="S557" s="25"/>
      <c r="T557" s="25"/>
      <c r="U557" s="25"/>
      <c r="V557" s="25"/>
      <c r="W557" s="25"/>
      <c r="X557" s="25"/>
      <c r="Y557" s="25"/>
      <c r="Z557" s="25"/>
      <c r="AA557" s="25"/>
      <c r="AB557" s="25"/>
      <c r="AC557" s="25"/>
      <c r="AD557" s="25"/>
    </row>
    <row r="558" spans="1:30" ht="15.75" customHeight="1">
      <c r="A558" s="25"/>
      <c r="B558" s="25"/>
      <c r="C558" s="25"/>
      <c r="D558" s="25"/>
      <c r="E558" s="25"/>
      <c r="F558" s="25"/>
      <c r="G558" s="25"/>
      <c r="H558" s="25"/>
      <c r="I558" s="40"/>
      <c r="J558" s="25"/>
      <c r="K558" s="25"/>
      <c r="L558" s="25"/>
      <c r="M558" s="25"/>
      <c r="N558" s="25"/>
      <c r="O558" s="25"/>
      <c r="P558" s="25"/>
      <c r="Q558" s="25"/>
      <c r="R558" s="25"/>
      <c r="S558" s="25"/>
      <c r="T558" s="25"/>
      <c r="U558" s="25"/>
      <c r="V558" s="25"/>
      <c r="W558" s="25"/>
      <c r="X558" s="25"/>
      <c r="Y558" s="25"/>
      <c r="Z558" s="25"/>
      <c r="AA558" s="25"/>
      <c r="AB558" s="25"/>
      <c r="AC558" s="25"/>
      <c r="AD558" s="25"/>
    </row>
    <row r="559" spans="1:30" ht="15.75" customHeight="1">
      <c r="A559" s="25"/>
      <c r="B559" s="25"/>
      <c r="C559" s="25"/>
      <c r="D559" s="25"/>
      <c r="E559" s="25"/>
      <c r="F559" s="25"/>
      <c r="G559" s="25"/>
      <c r="H559" s="25"/>
      <c r="I559" s="40"/>
      <c r="J559" s="25"/>
      <c r="K559" s="25"/>
      <c r="L559" s="25"/>
      <c r="M559" s="25"/>
      <c r="N559" s="25"/>
      <c r="O559" s="25"/>
      <c r="P559" s="25"/>
      <c r="Q559" s="25"/>
      <c r="R559" s="25"/>
      <c r="S559" s="25"/>
      <c r="T559" s="25"/>
      <c r="U559" s="25"/>
      <c r="V559" s="25"/>
      <c r="W559" s="25"/>
      <c r="X559" s="25"/>
      <c r="Y559" s="25"/>
      <c r="Z559" s="25"/>
      <c r="AA559" s="25"/>
      <c r="AB559" s="25"/>
      <c r="AC559" s="25"/>
      <c r="AD559" s="25"/>
    </row>
    <row r="560" spans="1:30" ht="15.75" customHeight="1">
      <c r="A560" s="25"/>
      <c r="B560" s="25"/>
      <c r="C560" s="25"/>
      <c r="D560" s="25"/>
      <c r="E560" s="25"/>
      <c r="F560" s="25"/>
      <c r="G560" s="25"/>
      <c r="H560" s="25"/>
      <c r="I560" s="40"/>
      <c r="J560" s="25"/>
      <c r="K560" s="25"/>
      <c r="L560" s="25"/>
      <c r="M560" s="25"/>
      <c r="N560" s="25"/>
      <c r="O560" s="25"/>
      <c r="P560" s="25"/>
      <c r="Q560" s="25"/>
      <c r="R560" s="25"/>
      <c r="S560" s="25"/>
      <c r="T560" s="25"/>
      <c r="U560" s="25"/>
      <c r="V560" s="25"/>
      <c r="W560" s="25"/>
      <c r="X560" s="25"/>
      <c r="Y560" s="25"/>
      <c r="Z560" s="25"/>
      <c r="AA560" s="25"/>
      <c r="AB560" s="25"/>
      <c r="AC560" s="25"/>
      <c r="AD560" s="25"/>
    </row>
    <row r="561" spans="1:30" ht="15.75" customHeight="1">
      <c r="A561" s="25"/>
      <c r="B561" s="25"/>
      <c r="C561" s="25"/>
      <c r="D561" s="25"/>
      <c r="E561" s="25"/>
      <c r="F561" s="25"/>
      <c r="G561" s="25"/>
      <c r="H561" s="25"/>
      <c r="I561" s="40"/>
      <c r="J561" s="25"/>
      <c r="K561" s="25"/>
      <c r="L561" s="25"/>
      <c r="M561" s="25"/>
      <c r="N561" s="25"/>
      <c r="O561" s="25"/>
      <c r="P561" s="25"/>
      <c r="Q561" s="25"/>
      <c r="R561" s="25"/>
      <c r="S561" s="25"/>
      <c r="T561" s="25"/>
      <c r="U561" s="25"/>
      <c r="V561" s="25"/>
      <c r="W561" s="25"/>
      <c r="X561" s="25"/>
      <c r="Y561" s="25"/>
      <c r="Z561" s="25"/>
      <c r="AA561" s="25"/>
      <c r="AB561" s="25"/>
      <c r="AC561" s="25"/>
      <c r="AD561" s="25"/>
    </row>
    <row r="562" spans="1:30" ht="15.75" customHeight="1">
      <c r="A562" s="25"/>
      <c r="B562" s="25"/>
      <c r="C562" s="25"/>
      <c r="D562" s="25"/>
      <c r="E562" s="25"/>
      <c r="F562" s="25"/>
      <c r="G562" s="25"/>
      <c r="H562" s="25"/>
      <c r="I562" s="40"/>
      <c r="J562" s="25"/>
      <c r="K562" s="25"/>
      <c r="L562" s="25"/>
      <c r="M562" s="25"/>
      <c r="N562" s="25"/>
      <c r="O562" s="25"/>
      <c r="P562" s="25"/>
      <c r="Q562" s="25"/>
      <c r="R562" s="25"/>
      <c r="S562" s="25"/>
      <c r="T562" s="25"/>
      <c r="U562" s="25"/>
      <c r="V562" s="25"/>
      <c r="W562" s="25"/>
      <c r="X562" s="25"/>
      <c r="Y562" s="25"/>
      <c r="Z562" s="25"/>
      <c r="AA562" s="25"/>
      <c r="AB562" s="25"/>
      <c r="AC562" s="25"/>
      <c r="AD562" s="25"/>
    </row>
    <row r="563" spans="1:30" ht="15.75" customHeight="1">
      <c r="A563" s="25"/>
      <c r="B563" s="25"/>
      <c r="C563" s="25"/>
      <c r="D563" s="25"/>
      <c r="E563" s="25"/>
      <c r="F563" s="25"/>
      <c r="G563" s="25"/>
      <c r="H563" s="25"/>
      <c r="I563" s="40"/>
      <c r="J563" s="25"/>
      <c r="K563" s="25"/>
      <c r="L563" s="25"/>
      <c r="M563" s="25"/>
      <c r="N563" s="25"/>
      <c r="O563" s="25"/>
      <c r="P563" s="25"/>
      <c r="Q563" s="25"/>
      <c r="R563" s="25"/>
      <c r="S563" s="25"/>
      <c r="T563" s="25"/>
      <c r="U563" s="25"/>
      <c r="V563" s="25"/>
      <c r="W563" s="25"/>
      <c r="X563" s="25"/>
      <c r="Y563" s="25"/>
      <c r="Z563" s="25"/>
      <c r="AA563" s="25"/>
      <c r="AB563" s="25"/>
      <c r="AC563" s="25"/>
      <c r="AD563" s="25"/>
    </row>
    <row r="564" spans="1:30" ht="15.75" customHeight="1">
      <c r="A564" s="25"/>
      <c r="B564" s="25"/>
      <c r="C564" s="25"/>
      <c r="D564" s="25"/>
      <c r="E564" s="25"/>
      <c r="F564" s="25"/>
      <c r="G564" s="25"/>
      <c r="H564" s="25"/>
      <c r="I564" s="40"/>
      <c r="J564" s="25"/>
      <c r="K564" s="25"/>
      <c r="L564" s="25"/>
      <c r="M564" s="25"/>
      <c r="N564" s="25"/>
      <c r="O564" s="25"/>
      <c r="P564" s="25"/>
      <c r="Q564" s="25"/>
      <c r="R564" s="25"/>
      <c r="S564" s="25"/>
      <c r="T564" s="25"/>
      <c r="U564" s="25"/>
      <c r="V564" s="25"/>
      <c r="W564" s="25"/>
      <c r="X564" s="25"/>
      <c r="Y564" s="25"/>
      <c r="Z564" s="25"/>
      <c r="AA564" s="25"/>
      <c r="AB564" s="25"/>
      <c r="AC564" s="25"/>
      <c r="AD564" s="25"/>
    </row>
    <row r="565" spans="1:30" ht="15.75" customHeight="1">
      <c r="A565" s="25"/>
      <c r="B565" s="25"/>
      <c r="C565" s="25"/>
      <c r="D565" s="25"/>
      <c r="E565" s="25"/>
      <c r="F565" s="25"/>
      <c r="G565" s="25"/>
      <c r="H565" s="25"/>
      <c r="I565" s="40"/>
      <c r="J565" s="25"/>
      <c r="K565" s="25"/>
      <c r="L565" s="25"/>
      <c r="M565" s="25"/>
      <c r="N565" s="25"/>
      <c r="O565" s="25"/>
      <c r="P565" s="25"/>
      <c r="Q565" s="25"/>
      <c r="R565" s="25"/>
      <c r="S565" s="25"/>
      <c r="T565" s="25"/>
      <c r="U565" s="25"/>
      <c r="V565" s="25"/>
      <c r="W565" s="25"/>
      <c r="X565" s="25"/>
      <c r="Y565" s="25"/>
      <c r="Z565" s="25"/>
      <c r="AA565" s="25"/>
      <c r="AB565" s="25"/>
      <c r="AC565" s="25"/>
      <c r="AD565" s="25"/>
    </row>
    <row r="566" spans="1:30" ht="15.75" customHeight="1">
      <c r="A566" s="25"/>
      <c r="B566" s="25"/>
      <c r="C566" s="25"/>
      <c r="D566" s="25"/>
      <c r="E566" s="25"/>
      <c r="F566" s="25"/>
      <c r="G566" s="25"/>
      <c r="H566" s="25"/>
      <c r="I566" s="40"/>
      <c r="J566" s="25"/>
      <c r="K566" s="25"/>
      <c r="L566" s="25"/>
      <c r="M566" s="25"/>
      <c r="N566" s="25"/>
      <c r="O566" s="25"/>
      <c r="P566" s="25"/>
      <c r="Q566" s="25"/>
      <c r="R566" s="25"/>
      <c r="S566" s="25"/>
      <c r="T566" s="25"/>
      <c r="U566" s="25"/>
      <c r="V566" s="25"/>
      <c r="W566" s="25"/>
      <c r="X566" s="25"/>
      <c r="Y566" s="25"/>
      <c r="Z566" s="25"/>
      <c r="AA566" s="25"/>
      <c r="AB566" s="25"/>
      <c r="AC566" s="25"/>
      <c r="AD566" s="25"/>
    </row>
    <row r="567" spans="1:30" ht="15.75" customHeight="1">
      <c r="A567" s="25"/>
      <c r="B567" s="25"/>
      <c r="C567" s="25"/>
      <c r="D567" s="25"/>
      <c r="E567" s="25"/>
      <c r="F567" s="25"/>
      <c r="G567" s="25"/>
      <c r="H567" s="25"/>
      <c r="I567" s="40"/>
      <c r="J567" s="25"/>
      <c r="K567" s="25"/>
      <c r="L567" s="25"/>
      <c r="M567" s="25"/>
      <c r="N567" s="25"/>
      <c r="O567" s="25"/>
      <c r="P567" s="25"/>
      <c r="Q567" s="25"/>
      <c r="R567" s="25"/>
      <c r="S567" s="25"/>
      <c r="T567" s="25"/>
      <c r="U567" s="25"/>
      <c r="V567" s="25"/>
      <c r="W567" s="25"/>
      <c r="X567" s="25"/>
      <c r="Y567" s="25"/>
      <c r="Z567" s="25"/>
      <c r="AA567" s="25"/>
      <c r="AB567" s="25"/>
      <c r="AC567" s="25"/>
      <c r="AD567" s="25"/>
    </row>
    <row r="568" spans="1:30" ht="15.75" customHeight="1">
      <c r="A568" s="25"/>
      <c r="B568" s="25"/>
      <c r="C568" s="25"/>
      <c r="D568" s="25"/>
      <c r="E568" s="25"/>
      <c r="F568" s="25"/>
      <c r="G568" s="25"/>
      <c r="H568" s="25"/>
      <c r="I568" s="40"/>
      <c r="J568" s="25"/>
      <c r="K568" s="25"/>
      <c r="L568" s="25"/>
      <c r="M568" s="25"/>
      <c r="N568" s="25"/>
      <c r="O568" s="25"/>
      <c r="P568" s="25"/>
      <c r="Q568" s="25"/>
      <c r="R568" s="25"/>
      <c r="S568" s="25"/>
      <c r="T568" s="25"/>
      <c r="U568" s="25"/>
      <c r="V568" s="25"/>
      <c r="W568" s="25"/>
      <c r="X568" s="25"/>
      <c r="Y568" s="25"/>
      <c r="Z568" s="25"/>
      <c r="AA568" s="25"/>
      <c r="AB568" s="25"/>
      <c r="AC568" s="25"/>
      <c r="AD568" s="25"/>
    </row>
    <row r="569" spans="1:30" ht="15.75" customHeight="1">
      <c r="A569" s="25"/>
      <c r="B569" s="25"/>
      <c r="C569" s="25"/>
      <c r="D569" s="25"/>
      <c r="E569" s="25"/>
      <c r="F569" s="25"/>
      <c r="G569" s="25"/>
      <c r="H569" s="25"/>
      <c r="I569" s="40"/>
      <c r="J569" s="25"/>
      <c r="K569" s="25"/>
      <c r="L569" s="25"/>
      <c r="M569" s="25"/>
      <c r="N569" s="25"/>
      <c r="O569" s="25"/>
      <c r="P569" s="25"/>
      <c r="Q569" s="25"/>
      <c r="R569" s="25"/>
      <c r="S569" s="25"/>
      <c r="T569" s="25"/>
      <c r="U569" s="25"/>
      <c r="V569" s="25"/>
      <c r="W569" s="25"/>
      <c r="X569" s="25"/>
      <c r="Y569" s="25"/>
      <c r="Z569" s="25"/>
      <c r="AA569" s="25"/>
      <c r="AB569" s="25"/>
      <c r="AC569" s="25"/>
      <c r="AD569" s="25"/>
    </row>
    <row r="570" spans="1:30" ht="15.75" customHeight="1">
      <c r="A570" s="25"/>
      <c r="B570" s="25"/>
      <c r="C570" s="25"/>
      <c r="D570" s="25"/>
      <c r="E570" s="25"/>
      <c r="F570" s="25"/>
      <c r="G570" s="25"/>
      <c r="H570" s="25"/>
      <c r="I570" s="40"/>
      <c r="J570" s="25"/>
      <c r="K570" s="25"/>
      <c r="L570" s="25"/>
      <c r="M570" s="25"/>
      <c r="N570" s="25"/>
      <c r="O570" s="25"/>
      <c r="P570" s="25"/>
      <c r="Q570" s="25"/>
      <c r="R570" s="25"/>
      <c r="S570" s="25"/>
      <c r="T570" s="25"/>
      <c r="U570" s="25"/>
      <c r="V570" s="25"/>
      <c r="W570" s="25"/>
      <c r="X570" s="25"/>
      <c r="Y570" s="25"/>
      <c r="Z570" s="25"/>
      <c r="AA570" s="25"/>
      <c r="AB570" s="25"/>
      <c r="AC570" s="25"/>
      <c r="AD570" s="25"/>
    </row>
    <row r="571" spans="1:30" ht="15.75" customHeight="1">
      <c r="A571" s="25"/>
      <c r="B571" s="25"/>
      <c r="C571" s="25"/>
      <c r="D571" s="25"/>
      <c r="E571" s="25"/>
      <c r="F571" s="25"/>
      <c r="G571" s="25"/>
      <c r="H571" s="25"/>
      <c r="I571" s="40"/>
      <c r="J571" s="25"/>
      <c r="K571" s="25"/>
      <c r="L571" s="25"/>
      <c r="M571" s="25"/>
      <c r="N571" s="25"/>
      <c r="O571" s="25"/>
      <c r="P571" s="25"/>
      <c r="Q571" s="25"/>
      <c r="R571" s="25"/>
      <c r="S571" s="25"/>
      <c r="T571" s="25"/>
      <c r="U571" s="25"/>
      <c r="V571" s="25"/>
      <c r="W571" s="25"/>
      <c r="X571" s="25"/>
      <c r="Y571" s="25"/>
      <c r="Z571" s="25"/>
      <c r="AA571" s="25"/>
      <c r="AB571" s="25"/>
      <c r="AC571" s="25"/>
      <c r="AD571" s="25"/>
    </row>
    <row r="572" spans="1:30" ht="15.75" customHeight="1">
      <c r="A572" s="25"/>
      <c r="B572" s="25"/>
      <c r="C572" s="25"/>
      <c r="D572" s="25"/>
      <c r="E572" s="25"/>
      <c r="F572" s="25"/>
      <c r="G572" s="25"/>
      <c r="H572" s="25"/>
      <c r="I572" s="40"/>
      <c r="J572" s="25"/>
      <c r="K572" s="25"/>
      <c r="L572" s="25"/>
      <c r="M572" s="25"/>
      <c r="N572" s="25"/>
      <c r="O572" s="25"/>
      <c r="P572" s="25"/>
      <c r="Q572" s="25"/>
      <c r="R572" s="25"/>
      <c r="S572" s="25"/>
      <c r="T572" s="25"/>
      <c r="U572" s="25"/>
      <c r="V572" s="25"/>
      <c r="W572" s="25"/>
      <c r="X572" s="25"/>
      <c r="Y572" s="25"/>
      <c r="Z572" s="25"/>
      <c r="AA572" s="25"/>
      <c r="AB572" s="25"/>
      <c r="AC572" s="25"/>
      <c r="AD572" s="25"/>
    </row>
    <row r="573" spans="1:30" ht="15.75" customHeight="1">
      <c r="A573" s="25"/>
      <c r="B573" s="25"/>
      <c r="C573" s="25"/>
      <c r="D573" s="25"/>
      <c r="E573" s="25"/>
      <c r="F573" s="25"/>
      <c r="G573" s="25"/>
      <c r="H573" s="25"/>
      <c r="I573" s="40"/>
      <c r="J573" s="25"/>
      <c r="K573" s="25"/>
      <c r="L573" s="25"/>
      <c r="M573" s="25"/>
      <c r="N573" s="25"/>
      <c r="O573" s="25"/>
      <c r="P573" s="25"/>
      <c r="Q573" s="25"/>
      <c r="R573" s="25"/>
      <c r="S573" s="25"/>
      <c r="T573" s="25"/>
      <c r="U573" s="25"/>
      <c r="V573" s="25"/>
      <c r="W573" s="25"/>
      <c r="X573" s="25"/>
      <c r="Y573" s="25"/>
      <c r="Z573" s="25"/>
      <c r="AA573" s="25"/>
      <c r="AB573" s="25"/>
      <c r="AC573" s="25"/>
      <c r="AD573" s="25"/>
    </row>
    <row r="574" spans="1:30" ht="15.75" customHeight="1">
      <c r="A574" s="25"/>
      <c r="B574" s="25"/>
      <c r="C574" s="25"/>
      <c r="D574" s="25"/>
      <c r="E574" s="25"/>
      <c r="F574" s="25"/>
      <c r="G574" s="25"/>
      <c r="H574" s="25"/>
      <c r="I574" s="40"/>
      <c r="J574" s="25"/>
      <c r="K574" s="25"/>
      <c r="L574" s="25"/>
      <c r="M574" s="25"/>
      <c r="N574" s="25"/>
      <c r="O574" s="25"/>
      <c r="P574" s="25"/>
      <c r="Q574" s="25"/>
      <c r="R574" s="25"/>
      <c r="S574" s="25"/>
      <c r="T574" s="25"/>
      <c r="U574" s="25"/>
      <c r="V574" s="25"/>
      <c r="W574" s="25"/>
      <c r="X574" s="25"/>
      <c r="Y574" s="25"/>
      <c r="Z574" s="25"/>
      <c r="AA574" s="25"/>
      <c r="AB574" s="25"/>
      <c r="AC574" s="25"/>
      <c r="AD574" s="25"/>
    </row>
    <row r="575" spans="1:30" ht="15.75" customHeight="1">
      <c r="A575" s="25"/>
      <c r="B575" s="25"/>
      <c r="C575" s="25"/>
      <c r="D575" s="25"/>
      <c r="E575" s="25"/>
      <c r="F575" s="25"/>
      <c r="G575" s="25"/>
      <c r="H575" s="25"/>
      <c r="I575" s="40"/>
      <c r="J575" s="25"/>
      <c r="K575" s="25"/>
      <c r="L575" s="25"/>
      <c r="M575" s="25"/>
      <c r="N575" s="25"/>
      <c r="O575" s="25"/>
      <c r="P575" s="25"/>
      <c r="Q575" s="25"/>
      <c r="R575" s="25"/>
      <c r="S575" s="25"/>
      <c r="T575" s="25"/>
      <c r="U575" s="25"/>
      <c r="V575" s="25"/>
      <c r="W575" s="25"/>
      <c r="X575" s="25"/>
      <c r="Y575" s="25"/>
      <c r="Z575" s="25"/>
      <c r="AA575" s="25"/>
      <c r="AB575" s="25"/>
      <c r="AC575" s="25"/>
      <c r="AD575" s="25"/>
    </row>
    <row r="576" spans="1:30" ht="15.75" customHeight="1">
      <c r="A576" s="25"/>
      <c r="B576" s="25"/>
      <c r="C576" s="25"/>
      <c r="D576" s="25"/>
      <c r="E576" s="25"/>
      <c r="F576" s="25"/>
      <c r="G576" s="25"/>
      <c r="H576" s="25"/>
      <c r="I576" s="40"/>
      <c r="J576" s="25"/>
      <c r="K576" s="25"/>
      <c r="L576" s="25"/>
      <c r="M576" s="25"/>
      <c r="N576" s="25"/>
      <c r="O576" s="25"/>
      <c r="P576" s="25"/>
      <c r="Q576" s="25"/>
      <c r="R576" s="25"/>
      <c r="S576" s="25"/>
      <c r="T576" s="25"/>
      <c r="U576" s="25"/>
      <c r="V576" s="25"/>
      <c r="W576" s="25"/>
      <c r="X576" s="25"/>
      <c r="Y576" s="25"/>
      <c r="Z576" s="25"/>
      <c r="AA576" s="25"/>
      <c r="AB576" s="25"/>
      <c r="AC576" s="25"/>
      <c r="AD576" s="25"/>
    </row>
    <row r="577" spans="1:30" ht="15.75" customHeight="1">
      <c r="A577" s="25"/>
      <c r="B577" s="25"/>
      <c r="C577" s="25"/>
      <c r="D577" s="25"/>
      <c r="E577" s="25"/>
      <c r="F577" s="25"/>
      <c r="G577" s="25"/>
      <c r="H577" s="25"/>
      <c r="I577" s="40"/>
      <c r="J577" s="25"/>
      <c r="K577" s="25"/>
      <c r="L577" s="25"/>
      <c r="M577" s="25"/>
      <c r="N577" s="25"/>
      <c r="O577" s="25"/>
      <c r="P577" s="25"/>
      <c r="Q577" s="25"/>
      <c r="R577" s="25"/>
      <c r="S577" s="25"/>
      <c r="T577" s="25"/>
      <c r="U577" s="25"/>
      <c r="V577" s="25"/>
      <c r="W577" s="25"/>
      <c r="X577" s="25"/>
      <c r="Y577" s="25"/>
      <c r="Z577" s="25"/>
      <c r="AA577" s="25"/>
      <c r="AB577" s="25"/>
      <c r="AC577" s="25"/>
      <c r="AD577" s="25"/>
    </row>
    <row r="578" spans="1:30" ht="15.75" customHeight="1">
      <c r="A578" s="25"/>
      <c r="B578" s="25"/>
      <c r="C578" s="25"/>
      <c r="D578" s="25"/>
      <c r="E578" s="25"/>
      <c r="F578" s="25"/>
      <c r="G578" s="25"/>
      <c r="H578" s="25"/>
      <c r="I578" s="40"/>
      <c r="J578" s="25"/>
      <c r="K578" s="25"/>
      <c r="L578" s="25"/>
      <c r="M578" s="25"/>
      <c r="N578" s="25"/>
      <c r="O578" s="25"/>
      <c r="P578" s="25"/>
      <c r="Q578" s="25"/>
      <c r="R578" s="25"/>
      <c r="S578" s="25"/>
      <c r="T578" s="25"/>
      <c r="U578" s="25"/>
      <c r="V578" s="25"/>
      <c r="W578" s="25"/>
      <c r="X578" s="25"/>
      <c r="Y578" s="25"/>
      <c r="Z578" s="25"/>
      <c r="AA578" s="25"/>
      <c r="AB578" s="25"/>
      <c r="AC578" s="25"/>
      <c r="AD578" s="25"/>
    </row>
    <row r="579" spans="1:30" ht="15.75" customHeight="1">
      <c r="A579" s="25"/>
      <c r="B579" s="25"/>
      <c r="C579" s="25"/>
      <c r="D579" s="25"/>
      <c r="E579" s="25"/>
      <c r="F579" s="25"/>
      <c r="G579" s="25"/>
      <c r="H579" s="25"/>
      <c r="I579" s="40"/>
      <c r="J579" s="25"/>
      <c r="K579" s="25"/>
      <c r="L579" s="25"/>
      <c r="M579" s="25"/>
      <c r="N579" s="25"/>
      <c r="O579" s="25"/>
      <c r="P579" s="25"/>
      <c r="Q579" s="25"/>
      <c r="R579" s="25"/>
      <c r="S579" s="25"/>
      <c r="T579" s="25"/>
      <c r="U579" s="25"/>
      <c r="V579" s="25"/>
      <c r="W579" s="25"/>
      <c r="X579" s="25"/>
      <c r="Y579" s="25"/>
      <c r="Z579" s="25"/>
      <c r="AA579" s="25"/>
      <c r="AB579" s="25"/>
      <c r="AC579" s="25"/>
      <c r="AD579" s="25"/>
    </row>
    <row r="580" spans="1:30" ht="15.75" customHeight="1">
      <c r="A580" s="25"/>
      <c r="B580" s="25"/>
      <c r="C580" s="25"/>
      <c r="D580" s="25"/>
      <c r="E580" s="25"/>
      <c r="F580" s="25"/>
      <c r="G580" s="25"/>
      <c r="H580" s="25"/>
      <c r="I580" s="40"/>
      <c r="J580" s="25"/>
      <c r="K580" s="25"/>
      <c r="L580" s="25"/>
      <c r="M580" s="25"/>
      <c r="N580" s="25"/>
      <c r="O580" s="25"/>
      <c r="P580" s="25"/>
      <c r="Q580" s="25"/>
      <c r="R580" s="25"/>
      <c r="S580" s="25"/>
      <c r="T580" s="25"/>
      <c r="U580" s="25"/>
      <c r="V580" s="25"/>
      <c r="W580" s="25"/>
      <c r="X580" s="25"/>
      <c r="Y580" s="25"/>
      <c r="Z580" s="25"/>
      <c r="AA580" s="25"/>
      <c r="AB580" s="25"/>
      <c r="AC580" s="25"/>
      <c r="AD580" s="25"/>
    </row>
    <row r="581" spans="1:30" ht="15.75" customHeight="1">
      <c r="A581" s="25"/>
      <c r="B581" s="25"/>
      <c r="C581" s="25"/>
      <c r="D581" s="25"/>
      <c r="E581" s="25"/>
      <c r="F581" s="25"/>
      <c r="G581" s="25"/>
      <c r="H581" s="25"/>
      <c r="I581" s="40"/>
      <c r="J581" s="25"/>
      <c r="K581" s="25"/>
      <c r="L581" s="25"/>
      <c r="M581" s="25"/>
      <c r="N581" s="25"/>
      <c r="O581" s="25"/>
      <c r="P581" s="25"/>
      <c r="Q581" s="25"/>
      <c r="R581" s="25"/>
      <c r="S581" s="25"/>
      <c r="T581" s="25"/>
      <c r="U581" s="25"/>
      <c r="V581" s="25"/>
      <c r="W581" s="25"/>
      <c r="X581" s="25"/>
      <c r="Y581" s="25"/>
      <c r="Z581" s="25"/>
      <c r="AA581" s="25"/>
      <c r="AB581" s="25"/>
      <c r="AC581" s="25"/>
      <c r="AD581" s="25"/>
    </row>
    <row r="582" spans="1:30" ht="15.75" customHeight="1">
      <c r="A582" s="25"/>
      <c r="B582" s="25"/>
      <c r="C582" s="25"/>
      <c r="D582" s="25"/>
      <c r="E582" s="25"/>
      <c r="F582" s="25"/>
      <c r="G582" s="25"/>
      <c r="H582" s="25"/>
      <c r="I582" s="40"/>
      <c r="J582" s="25"/>
      <c r="K582" s="25"/>
      <c r="L582" s="25"/>
      <c r="M582" s="25"/>
      <c r="N582" s="25"/>
      <c r="O582" s="25"/>
      <c r="P582" s="25"/>
      <c r="Q582" s="25"/>
      <c r="R582" s="25"/>
      <c r="S582" s="25"/>
      <c r="T582" s="25"/>
      <c r="U582" s="25"/>
      <c r="V582" s="25"/>
      <c r="W582" s="25"/>
      <c r="X582" s="25"/>
      <c r="Y582" s="25"/>
      <c r="Z582" s="25"/>
      <c r="AA582" s="25"/>
      <c r="AB582" s="25"/>
      <c r="AC582" s="25"/>
      <c r="AD582" s="25"/>
    </row>
    <row r="583" spans="1:30" ht="15.75" customHeight="1">
      <c r="A583" s="25"/>
      <c r="B583" s="25"/>
      <c r="C583" s="25"/>
      <c r="D583" s="25"/>
      <c r="E583" s="25"/>
      <c r="F583" s="25"/>
      <c r="G583" s="25"/>
      <c r="H583" s="25"/>
      <c r="I583" s="40"/>
      <c r="J583" s="25"/>
      <c r="K583" s="25"/>
      <c r="L583" s="25"/>
      <c r="M583" s="25"/>
      <c r="N583" s="25"/>
      <c r="O583" s="25"/>
      <c r="P583" s="25"/>
      <c r="Q583" s="25"/>
      <c r="R583" s="25"/>
      <c r="S583" s="25"/>
      <c r="T583" s="25"/>
      <c r="U583" s="25"/>
      <c r="V583" s="25"/>
      <c r="W583" s="25"/>
      <c r="X583" s="25"/>
      <c r="Y583" s="25"/>
      <c r="Z583" s="25"/>
      <c r="AA583" s="25"/>
      <c r="AB583" s="25"/>
      <c r="AC583" s="25"/>
      <c r="AD583" s="25"/>
    </row>
    <row r="584" spans="1:30" ht="15.75" customHeight="1">
      <c r="A584" s="25"/>
      <c r="B584" s="25"/>
      <c r="C584" s="25"/>
      <c r="D584" s="25"/>
      <c r="E584" s="25"/>
      <c r="F584" s="25"/>
      <c r="G584" s="25"/>
      <c r="H584" s="25"/>
      <c r="I584" s="40"/>
      <c r="J584" s="25"/>
      <c r="K584" s="25"/>
      <c r="L584" s="25"/>
      <c r="M584" s="25"/>
      <c r="N584" s="25"/>
      <c r="O584" s="25"/>
      <c r="P584" s="25"/>
      <c r="Q584" s="25"/>
      <c r="R584" s="25"/>
      <c r="S584" s="25"/>
      <c r="T584" s="25"/>
      <c r="U584" s="25"/>
      <c r="V584" s="25"/>
      <c r="W584" s="25"/>
      <c r="X584" s="25"/>
      <c r="Y584" s="25"/>
      <c r="Z584" s="25"/>
      <c r="AA584" s="25"/>
      <c r="AB584" s="25"/>
      <c r="AC584" s="25"/>
      <c r="AD584" s="25"/>
    </row>
    <row r="585" spans="1:30" ht="15.75" customHeight="1">
      <c r="A585" s="25"/>
      <c r="B585" s="25"/>
      <c r="C585" s="25"/>
      <c r="D585" s="25"/>
      <c r="E585" s="25"/>
      <c r="F585" s="25"/>
      <c r="G585" s="25"/>
      <c r="H585" s="25"/>
      <c r="I585" s="40"/>
      <c r="J585" s="25"/>
      <c r="K585" s="25"/>
      <c r="L585" s="25"/>
      <c r="M585" s="25"/>
      <c r="N585" s="25"/>
      <c r="O585" s="25"/>
      <c r="P585" s="25"/>
      <c r="Q585" s="25"/>
      <c r="R585" s="25"/>
      <c r="S585" s="25"/>
      <c r="T585" s="25"/>
      <c r="U585" s="25"/>
      <c r="V585" s="25"/>
      <c r="W585" s="25"/>
      <c r="X585" s="25"/>
      <c r="Y585" s="25"/>
      <c r="Z585" s="25"/>
      <c r="AA585" s="25"/>
      <c r="AB585" s="25"/>
      <c r="AC585" s="25"/>
      <c r="AD585" s="25"/>
    </row>
    <row r="586" spans="1:30" ht="15.75" customHeight="1">
      <c r="A586" s="25"/>
      <c r="B586" s="25"/>
      <c r="C586" s="25"/>
      <c r="D586" s="25"/>
      <c r="E586" s="25"/>
      <c r="F586" s="25"/>
      <c r="G586" s="25"/>
      <c r="H586" s="25"/>
      <c r="I586" s="40"/>
      <c r="J586" s="25"/>
      <c r="K586" s="25"/>
      <c r="L586" s="25"/>
      <c r="M586" s="25"/>
      <c r="N586" s="25"/>
      <c r="O586" s="25"/>
      <c r="P586" s="25"/>
      <c r="Q586" s="25"/>
      <c r="R586" s="25"/>
      <c r="S586" s="25"/>
      <c r="T586" s="25"/>
      <c r="U586" s="25"/>
      <c r="V586" s="25"/>
      <c r="W586" s="25"/>
      <c r="X586" s="25"/>
      <c r="Y586" s="25"/>
      <c r="Z586" s="25"/>
      <c r="AA586" s="25"/>
      <c r="AB586" s="25"/>
      <c r="AC586" s="25"/>
      <c r="AD586" s="25"/>
    </row>
    <row r="587" spans="1:30" ht="15.75" customHeight="1">
      <c r="A587" s="25"/>
      <c r="B587" s="25"/>
      <c r="C587" s="25"/>
      <c r="D587" s="25"/>
      <c r="E587" s="25"/>
      <c r="F587" s="25"/>
      <c r="G587" s="25"/>
      <c r="H587" s="25"/>
      <c r="I587" s="40"/>
      <c r="J587" s="25"/>
      <c r="K587" s="25"/>
      <c r="L587" s="25"/>
      <c r="M587" s="25"/>
      <c r="N587" s="25"/>
      <c r="O587" s="25"/>
      <c r="P587" s="25"/>
      <c r="Q587" s="25"/>
      <c r="R587" s="25"/>
      <c r="S587" s="25"/>
      <c r="T587" s="25"/>
      <c r="U587" s="25"/>
      <c r="V587" s="25"/>
      <c r="W587" s="25"/>
      <c r="X587" s="25"/>
      <c r="Y587" s="25"/>
      <c r="Z587" s="25"/>
      <c r="AA587" s="25"/>
      <c r="AB587" s="25"/>
      <c r="AC587" s="25"/>
      <c r="AD587" s="25"/>
    </row>
    <row r="588" spans="1:30" ht="15.75" customHeight="1">
      <c r="A588" s="25"/>
      <c r="B588" s="25"/>
      <c r="C588" s="25"/>
      <c r="D588" s="25"/>
      <c r="E588" s="25"/>
      <c r="F588" s="25"/>
      <c r="G588" s="25"/>
      <c r="H588" s="25"/>
      <c r="I588" s="40"/>
      <c r="J588" s="25"/>
      <c r="K588" s="25"/>
      <c r="L588" s="25"/>
      <c r="M588" s="25"/>
      <c r="N588" s="25"/>
      <c r="O588" s="25"/>
      <c r="P588" s="25"/>
      <c r="Q588" s="25"/>
      <c r="R588" s="25"/>
      <c r="S588" s="25"/>
      <c r="T588" s="25"/>
      <c r="U588" s="25"/>
      <c r="V588" s="25"/>
      <c r="W588" s="25"/>
      <c r="X588" s="25"/>
      <c r="Y588" s="25"/>
      <c r="Z588" s="25"/>
      <c r="AA588" s="25"/>
      <c r="AB588" s="25"/>
      <c r="AC588" s="25"/>
      <c r="AD588" s="25"/>
    </row>
    <row r="589" spans="1:30" ht="15.75" customHeight="1">
      <c r="A589" s="25"/>
      <c r="B589" s="25"/>
      <c r="C589" s="25"/>
      <c r="D589" s="25"/>
      <c r="E589" s="25"/>
      <c r="F589" s="25"/>
      <c r="G589" s="25"/>
      <c r="H589" s="25"/>
      <c r="I589" s="40"/>
      <c r="J589" s="25"/>
      <c r="K589" s="25"/>
      <c r="L589" s="25"/>
      <c r="M589" s="25"/>
      <c r="N589" s="25"/>
      <c r="O589" s="25"/>
      <c r="P589" s="25"/>
      <c r="Q589" s="25"/>
      <c r="R589" s="25"/>
      <c r="S589" s="25"/>
      <c r="T589" s="25"/>
      <c r="U589" s="25"/>
      <c r="V589" s="25"/>
      <c r="W589" s="25"/>
      <c r="X589" s="25"/>
      <c r="Y589" s="25"/>
      <c r="Z589" s="25"/>
      <c r="AA589" s="25"/>
      <c r="AB589" s="25"/>
      <c r="AC589" s="25"/>
      <c r="AD589" s="25"/>
    </row>
    <row r="590" spans="1:30" ht="15.75" customHeight="1">
      <c r="A590" s="25"/>
      <c r="B590" s="25"/>
      <c r="C590" s="25"/>
      <c r="D590" s="25"/>
      <c r="E590" s="25"/>
      <c r="F590" s="25"/>
      <c r="G590" s="25"/>
      <c r="H590" s="25"/>
      <c r="I590" s="40"/>
      <c r="J590" s="25"/>
      <c r="K590" s="25"/>
      <c r="L590" s="25"/>
      <c r="M590" s="25"/>
      <c r="N590" s="25"/>
      <c r="O590" s="25"/>
      <c r="P590" s="25"/>
      <c r="Q590" s="25"/>
      <c r="R590" s="25"/>
      <c r="S590" s="25"/>
      <c r="T590" s="25"/>
      <c r="U590" s="25"/>
      <c r="V590" s="25"/>
      <c r="W590" s="25"/>
      <c r="X590" s="25"/>
      <c r="Y590" s="25"/>
      <c r="Z590" s="25"/>
      <c r="AA590" s="25"/>
      <c r="AB590" s="25"/>
      <c r="AC590" s="25"/>
      <c r="AD590" s="25"/>
    </row>
    <row r="591" spans="1:30" ht="15.75" customHeight="1">
      <c r="A591" s="25"/>
      <c r="B591" s="25"/>
      <c r="C591" s="25"/>
      <c r="D591" s="25"/>
      <c r="E591" s="25"/>
      <c r="F591" s="25"/>
      <c r="G591" s="25"/>
      <c r="H591" s="25"/>
      <c r="I591" s="40"/>
      <c r="J591" s="25"/>
      <c r="K591" s="25"/>
      <c r="L591" s="25"/>
      <c r="M591" s="25"/>
      <c r="N591" s="25"/>
      <c r="O591" s="25"/>
      <c r="P591" s="25"/>
      <c r="Q591" s="25"/>
      <c r="R591" s="25"/>
      <c r="S591" s="25"/>
      <c r="T591" s="25"/>
      <c r="U591" s="25"/>
      <c r="V591" s="25"/>
      <c r="W591" s="25"/>
      <c r="X591" s="25"/>
      <c r="Y591" s="25"/>
      <c r="Z591" s="25"/>
      <c r="AA591" s="25"/>
      <c r="AB591" s="25"/>
      <c r="AC591" s="25"/>
      <c r="AD591" s="25"/>
    </row>
    <row r="592" spans="1:30" ht="15.75" customHeight="1">
      <c r="A592" s="25"/>
      <c r="B592" s="25"/>
      <c r="C592" s="25"/>
      <c r="D592" s="25"/>
      <c r="E592" s="25"/>
      <c r="F592" s="25"/>
      <c r="G592" s="25"/>
      <c r="H592" s="25"/>
      <c r="I592" s="40"/>
      <c r="J592" s="25"/>
      <c r="K592" s="25"/>
      <c r="L592" s="25"/>
      <c r="M592" s="25"/>
      <c r="N592" s="25"/>
      <c r="O592" s="25"/>
      <c r="P592" s="25"/>
      <c r="Q592" s="25"/>
      <c r="R592" s="25"/>
      <c r="S592" s="25"/>
      <c r="T592" s="25"/>
      <c r="U592" s="25"/>
      <c r="V592" s="25"/>
      <c r="W592" s="25"/>
      <c r="X592" s="25"/>
      <c r="Y592" s="25"/>
      <c r="Z592" s="25"/>
      <c r="AA592" s="25"/>
      <c r="AB592" s="25"/>
      <c r="AC592" s="25"/>
      <c r="AD592" s="25"/>
    </row>
    <row r="593" spans="1:30" ht="15.75" customHeight="1">
      <c r="A593" s="25"/>
      <c r="B593" s="25"/>
      <c r="C593" s="25"/>
      <c r="D593" s="25"/>
      <c r="E593" s="25"/>
      <c r="F593" s="25"/>
      <c r="G593" s="25"/>
      <c r="H593" s="25"/>
      <c r="I593" s="40"/>
      <c r="J593" s="25"/>
      <c r="K593" s="25"/>
      <c r="L593" s="25"/>
      <c r="M593" s="25"/>
      <c r="N593" s="25"/>
      <c r="O593" s="25"/>
      <c r="P593" s="25"/>
      <c r="Q593" s="25"/>
      <c r="R593" s="25"/>
      <c r="S593" s="25"/>
      <c r="T593" s="25"/>
      <c r="U593" s="25"/>
      <c r="V593" s="25"/>
      <c r="W593" s="25"/>
      <c r="X593" s="25"/>
      <c r="Y593" s="25"/>
      <c r="Z593" s="25"/>
      <c r="AA593" s="25"/>
      <c r="AB593" s="25"/>
      <c r="AC593" s="25"/>
      <c r="AD593" s="25"/>
    </row>
    <row r="594" spans="1:30" ht="15.75" customHeight="1">
      <c r="A594" s="25"/>
      <c r="B594" s="25"/>
      <c r="C594" s="25"/>
      <c r="D594" s="25"/>
      <c r="E594" s="25"/>
      <c r="F594" s="25"/>
      <c r="G594" s="25"/>
      <c r="H594" s="25"/>
      <c r="I594" s="40"/>
      <c r="J594" s="25"/>
      <c r="K594" s="25"/>
      <c r="L594" s="25"/>
      <c r="M594" s="25"/>
      <c r="N594" s="25"/>
      <c r="O594" s="25"/>
      <c r="P594" s="25"/>
      <c r="Q594" s="25"/>
      <c r="R594" s="25"/>
      <c r="S594" s="25"/>
      <c r="T594" s="25"/>
      <c r="U594" s="25"/>
      <c r="V594" s="25"/>
      <c r="W594" s="25"/>
      <c r="X594" s="25"/>
      <c r="Y594" s="25"/>
      <c r="Z594" s="25"/>
      <c r="AA594" s="25"/>
      <c r="AB594" s="25"/>
      <c r="AC594" s="25"/>
      <c r="AD594" s="25"/>
    </row>
    <row r="595" spans="1:30" ht="15.75" customHeight="1">
      <c r="A595" s="25"/>
      <c r="B595" s="25"/>
      <c r="C595" s="25"/>
      <c r="D595" s="25"/>
      <c r="E595" s="25"/>
      <c r="F595" s="25"/>
      <c r="G595" s="25"/>
      <c r="H595" s="25"/>
      <c r="I595" s="40"/>
      <c r="J595" s="25"/>
      <c r="K595" s="25"/>
      <c r="L595" s="25"/>
      <c r="M595" s="25"/>
      <c r="N595" s="25"/>
      <c r="O595" s="25"/>
      <c r="P595" s="25"/>
      <c r="Q595" s="25"/>
      <c r="R595" s="25"/>
      <c r="S595" s="25"/>
      <c r="T595" s="25"/>
      <c r="U595" s="25"/>
      <c r="V595" s="25"/>
      <c r="W595" s="25"/>
      <c r="X595" s="25"/>
      <c r="Y595" s="25"/>
      <c r="Z595" s="25"/>
      <c r="AA595" s="25"/>
      <c r="AB595" s="25"/>
      <c r="AC595" s="25"/>
      <c r="AD595" s="25"/>
    </row>
    <row r="596" spans="1:30" ht="15.75" customHeight="1">
      <c r="A596" s="25"/>
      <c r="B596" s="25"/>
      <c r="C596" s="25"/>
      <c r="D596" s="25"/>
      <c r="E596" s="25"/>
      <c r="F596" s="25"/>
      <c r="G596" s="25"/>
      <c r="H596" s="25"/>
      <c r="I596" s="40"/>
      <c r="J596" s="25"/>
      <c r="K596" s="25"/>
      <c r="L596" s="25"/>
      <c r="M596" s="25"/>
      <c r="N596" s="25"/>
      <c r="O596" s="25"/>
      <c r="P596" s="25"/>
      <c r="Q596" s="25"/>
      <c r="R596" s="25"/>
      <c r="S596" s="25"/>
      <c r="T596" s="25"/>
      <c r="U596" s="25"/>
      <c r="V596" s="25"/>
      <c r="W596" s="25"/>
      <c r="X596" s="25"/>
      <c r="Y596" s="25"/>
      <c r="Z596" s="25"/>
      <c r="AA596" s="25"/>
      <c r="AB596" s="25"/>
      <c r="AC596" s="25"/>
      <c r="AD596" s="25"/>
    </row>
    <row r="597" spans="1:30" ht="15.75" customHeight="1">
      <c r="A597" s="25"/>
      <c r="B597" s="25"/>
      <c r="C597" s="25"/>
      <c r="D597" s="25"/>
      <c r="E597" s="25"/>
      <c r="F597" s="25"/>
      <c r="G597" s="25"/>
      <c r="H597" s="25"/>
      <c r="I597" s="40"/>
      <c r="J597" s="25"/>
      <c r="K597" s="25"/>
      <c r="L597" s="25"/>
      <c r="M597" s="25"/>
      <c r="N597" s="25"/>
      <c r="O597" s="25"/>
      <c r="P597" s="25"/>
      <c r="Q597" s="25"/>
      <c r="R597" s="25"/>
      <c r="S597" s="25"/>
      <c r="T597" s="25"/>
      <c r="U597" s="25"/>
      <c r="V597" s="25"/>
      <c r="W597" s="25"/>
      <c r="X597" s="25"/>
      <c r="Y597" s="25"/>
      <c r="Z597" s="25"/>
      <c r="AA597" s="25"/>
      <c r="AB597" s="25"/>
      <c r="AC597" s="25"/>
      <c r="AD597" s="25"/>
    </row>
    <row r="598" spans="1:30" ht="15.75" customHeight="1">
      <c r="A598" s="25"/>
      <c r="B598" s="25"/>
      <c r="C598" s="25"/>
      <c r="D598" s="25"/>
      <c r="E598" s="25"/>
      <c r="F598" s="25"/>
      <c r="G598" s="25"/>
      <c r="H598" s="25"/>
      <c r="I598" s="40"/>
      <c r="J598" s="25"/>
      <c r="K598" s="25"/>
      <c r="L598" s="25"/>
      <c r="M598" s="25"/>
      <c r="N598" s="25"/>
      <c r="O598" s="25"/>
      <c r="P598" s="25"/>
      <c r="Q598" s="25"/>
      <c r="R598" s="25"/>
      <c r="S598" s="25"/>
      <c r="T598" s="25"/>
      <c r="U598" s="25"/>
      <c r="V598" s="25"/>
      <c r="W598" s="25"/>
      <c r="X598" s="25"/>
      <c r="Y598" s="25"/>
      <c r="Z598" s="25"/>
      <c r="AA598" s="25"/>
      <c r="AB598" s="25"/>
      <c r="AC598" s="25"/>
      <c r="AD598" s="25"/>
    </row>
    <row r="599" spans="1:30" ht="15.75" customHeight="1">
      <c r="A599" s="25"/>
      <c r="B599" s="25"/>
      <c r="C599" s="25"/>
      <c r="D599" s="25"/>
      <c r="E599" s="25"/>
      <c r="F599" s="25"/>
      <c r="G599" s="25"/>
      <c r="H599" s="25"/>
      <c r="I599" s="40"/>
      <c r="J599" s="25"/>
      <c r="K599" s="25"/>
      <c r="L599" s="25"/>
      <c r="M599" s="25"/>
      <c r="N599" s="25"/>
      <c r="O599" s="25"/>
      <c r="P599" s="25"/>
      <c r="Q599" s="25"/>
      <c r="R599" s="25"/>
      <c r="S599" s="25"/>
      <c r="T599" s="25"/>
      <c r="U599" s="25"/>
      <c r="V599" s="25"/>
      <c r="W599" s="25"/>
      <c r="X599" s="25"/>
      <c r="Y599" s="25"/>
      <c r="Z599" s="25"/>
      <c r="AA599" s="25"/>
      <c r="AB599" s="25"/>
      <c r="AC599" s="25"/>
      <c r="AD599" s="25"/>
    </row>
    <row r="600" spans="1:30" ht="15.75" customHeight="1">
      <c r="A600" s="25"/>
      <c r="B600" s="25"/>
      <c r="C600" s="25"/>
      <c r="D600" s="25"/>
      <c r="E600" s="25"/>
      <c r="F600" s="25"/>
      <c r="G600" s="25"/>
      <c r="H600" s="25"/>
      <c r="I600" s="40"/>
      <c r="J600" s="25"/>
      <c r="K600" s="25"/>
      <c r="L600" s="25"/>
      <c r="M600" s="25"/>
      <c r="N600" s="25"/>
      <c r="O600" s="25"/>
      <c r="P600" s="25"/>
      <c r="Q600" s="25"/>
      <c r="R600" s="25"/>
      <c r="S600" s="25"/>
      <c r="T600" s="25"/>
      <c r="U600" s="25"/>
      <c r="V600" s="25"/>
      <c r="W600" s="25"/>
      <c r="X600" s="25"/>
      <c r="Y600" s="25"/>
      <c r="Z600" s="25"/>
      <c r="AA600" s="25"/>
      <c r="AB600" s="25"/>
      <c r="AC600" s="25"/>
      <c r="AD600" s="25"/>
    </row>
    <row r="601" spans="1:30" ht="15.75" customHeight="1">
      <c r="A601" s="25"/>
      <c r="B601" s="25"/>
      <c r="C601" s="25"/>
      <c r="D601" s="25"/>
      <c r="E601" s="25"/>
      <c r="F601" s="25"/>
      <c r="G601" s="25"/>
      <c r="H601" s="25"/>
      <c r="I601" s="40"/>
      <c r="J601" s="25"/>
      <c r="K601" s="25"/>
      <c r="L601" s="25"/>
      <c r="M601" s="25"/>
      <c r="N601" s="25"/>
      <c r="O601" s="25"/>
      <c r="P601" s="25"/>
      <c r="Q601" s="25"/>
      <c r="R601" s="25"/>
      <c r="S601" s="25"/>
      <c r="T601" s="25"/>
      <c r="U601" s="25"/>
      <c r="V601" s="25"/>
      <c r="W601" s="25"/>
      <c r="X601" s="25"/>
      <c r="Y601" s="25"/>
      <c r="Z601" s="25"/>
      <c r="AA601" s="25"/>
      <c r="AB601" s="25"/>
      <c r="AC601" s="25"/>
      <c r="AD601" s="25"/>
    </row>
    <row r="602" spans="1:30" ht="15.75" customHeight="1">
      <c r="A602" s="25"/>
      <c r="B602" s="25"/>
      <c r="C602" s="25"/>
      <c r="D602" s="25"/>
      <c r="E602" s="25"/>
      <c r="F602" s="25"/>
      <c r="G602" s="25"/>
      <c r="H602" s="25"/>
      <c r="I602" s="40"/>
      <c r="J602" s="25"/>
      <c r="K602" s="25"/>
      <c r="L602" s="25"/>
      <c r="M602" s="25"/>
      <c r="N602" s="25"/>
      <c r="O602" s="25"/>
      <c r="P602" s="25"/>
      <c r="Q602" s="25"/>
      <c r="R602" s="25"/>
      <c r="S602" s="25"/>
      <c r="T602" s="25"/>
      <c r="U602" s="25"/>
      <c r="V602" s="25"/>
      <c r="W602" s="25"/>
      <c r="X602" s="25"/>
      <c r="Y602" s="25"/>
      <c r="Z602" s="25"/>
      <c r="AA602" s="25"/>
      <c r="AB602" s="25"/>
      <c r="AC602" s="25"/>
      <c r="AD602" s="25"/>
    </row>
    <row r="603" spans="1:30" ht="15.75" customHeight="1">
      <c r="A603" s="25"/>
      <c r="B603" s="25"/>
      <c r="C603" s="25"/>
      <c r="D603" s="25"/>
      <c r="E603" s="25"/>
      <c r="F603" s="25"/>
      <c r="G603" s="25"/>
      <c r="H603" s="25"/>
      <c r="I603" s="40"/>
      <c r="J603" s="25"/>
      <c r="K603" s="25"/>
      <c r="L603" s="25"/>
      <c r="M603" s="25"/>
      <c r="N603" s="25"/>
      <c r="O603" s="25"/>
      <c r="P603" s="25"/>
      <c r="Q603" s="25"/>
      <c r="R603" s="25"/>
      <c r="S603" s="25"/>
      <c r="T603" s="25"/>
      <c r="U603" s="25"/>
      <c r="V603" s="25"/>
      <c r="W603" s="25"/>
      <c r="X603" s="25"/>
      <c r="Y603" s="25"/>
      <c r="Z603" s="25"/>
      <c r="AA603" s="25"/>
      <c r="AB603" s="25"/>
      <c r="AC603" s="25"/>
      <c r="AD603" s="25"/>
    </row>
    <row r="604" spans="1:30" ht="15.75" customHeight="1">
      <c r="A604" s="25"/>
      <c r="B604" s="25"/>
      <c r="C604" s="25"/>
      <c r="D604" s="25"/>
      <c r="E604" s="25"/>
      <c r="F604" s="25"/>
      <c r="G604" s="25"/>
      <c r="H604" s="25"/>
      <c r="I604" s="40"/>
      <c r="J604" s="25"/>
      <c r="K604" s="25"/>
      <c r="L604" s="25"/>
      <c r="M604" s="25"/>
      <c r="N604" s="25"/>
      <c r="O604" s="25"/>
      <c r="P604" s="25"/>
      <c r="Q604" s="25"/>
      <c r="R604" s="25"/>
      <c r="S604" s="25"/>
      <c r="T604" s="25"/>
      <c r="U604" s="25"/>
      <c r="V604" s="25"/>
      <c r="W604" s="25"/>
      <c r="X604" s="25"/>
      <c r="Y604" s="25"/>
      <c r="Z604" s="25"/>
      <c r="AA604" s="25"/>
      <c r="AB604" s="25"/>
      <c r="AC604" s="25"/>
      <c r="AD604" s="25"/>
    </row>
    <row r="605" spans="1:30" ht="15.75" customHeight="1">
      <c r="A605" s="25"/>
      <c r="B605" s="25"/>
      <c r="C605" s="25"/>
      <c r="D605" s="25"/>
      <c r="E605" s="25"/>
      <c r="F605" s="25"/>
      <c r="G605" s="25"/>
      <c r="H605" s="25"/>
      <c r="I605" s="40"/>
      <c r="J605" s="25"/>
      <c r="K605" s="25"/>
      <c r="L605" s="25"/>
      <c r="M605" s="25"/>
      <c r="N605" s="25"/>
      <c r="O605" s="25"/>
      <c r="P605" s="25"/>
      <c r="Q605" s="25"/>
      <c r="R605" s="25"/>
      <c r="S605" s="25"/>
      <c r="T605" s="25"/>
      <c r="U605" s="25"/>
      <c r="V605" s="25"/>
      <c r="W605" s="25"/>
      <c r="X605" s="25"/>
      <c r="Y605" s="25"/>
      <c r="Z605" s="25"/>
      <c r="AA605" s="25"/>
      <c r="AB605" s="25"/>
      <c r="AC605" s="25"/>
      <c r="AD605" s="25"/>
    </row>
    <row r="606" spans="1:30" ht="15.75" customHeight="1">
      <c r="A606" s="25"/>
      <c r="B606" s="25"/>
      <c r="C606" s="25"/>
      <c r="D606" s="25"/>
      <c r="E606" s="25"/>
      <c r="F606" s="25"/>
      <c r="G606" s="25"/>
      <c r="H606" s="25"/>
      <c r="I606" s="40"/>
      <c r="J606" s="25"/>
      <c r="K606" s="25"/>
      <c r="L606" s="25"/>
      <c r="M606" s="25"/>
      <c r="N606" s="25"/>
      <c r="O606" s="25"/>
      <c r="P606" s="25"/>
      <c r="Q606" s="25"/>
      <c r="R606" s="25"/>
      <c r="S606" s="25"/>
      <c r="T606" s="25"/>
      <c r="U606" s="25"/>
      <c r="V606" s="25"/>
      <c r="W606" s="25"/>
      <c r="X606" s="25"/>
      <c r="Y606" s="25"/>
      <c r="Z606" s="25"/>
      <c r="AA606" s="25"/>
      <c r="AB606" s="25"/>
      <c r="AC606" s="25"/>
      <c r="AD606" s="25"/>
    </row>
    <row r="607" spans="1:30" ht="15.75" customHeight="1">
      <c r="A607" s="25"/>
      <c r="B607" s="25"/>
      <c r="C607" s="25"/>
      <c r="D607" s="25"/>
      <c r="E607" s="25"/>
      <c r="F607" s="25"/>
      <c r="G607" s="25"/>
      <c r="H607" s="25"/>
      <c r="I607" s="40"/>
      <c r="J607" s="25"/>
      <c r="K607" s="25"/>
      <c r="L607" s="25"/>
      <c r="M607" s="25"/>
      <c r="N607" s="25"/>
      <c r="O607" s="25"/>
      <c r="P607" s="25"/>
      <c r="Q607" s="25"/>
      <c r="R607" s="25"/>
      <c r="S607" s="25"/>
      <c r="T607" s="25"/>
      <c r="U607" s="25"/>
      <c r="V607" s="25"/>
      <c r="W607" s="25"/>
      <c r="X607" s="25"/>
      <c r="Y607" s="25"/>
      <c r="Z607" s="25"/>
      <c r="AA607" s="25"/>
      <c r="AB607" s="25"/>
      <c r="AC607" s="25"/>
      <c r="AD607" s="25"/>
    </row>
    <row r="608" spans="1:30" ht="15.75" customHeight="1">
      <c r="A608" s="25"/>
      <c r="B608" s="25"/>
      <c r="C608" s="25"/>
      <c r="D608" s="25"/>
      <c r="E608" s="25"/>
      <c r="F608" s="25"/>
      <c r="G608" s="25"/>
      <c r="H608" s="25"/>
      <c r="I608" s="40"/>
      <c r="J608" s="25"/>
      <c r="K608" s="25"/>
      <c r="L608" s="25"/>
      <c r="M608" s="25"/>
      <c r="N608" s="25"/>
      <c r="O608" s="25"/>
      <c r="P608" s="25"/>
      <c r="Q608" s="25"/>
      <c r="R608" s="25"/>
      <c r="S608" s="25"/>
      <c r="T608" s="25"/>
      <c r="U608" s="25"/>
      <c r="V608" s="25"/>
      <c r="W608" s="25"/>
      <c r="X608" s="25"/>
      <c r="Y608" s="25"/>
      <c r="Z608" s="25"/>
      <c r="AA608" s="25"/>
      <c r="AB608" s="25"/>
      <c r="AC608" s="25"/>
      <c r="AD608" s="25"/>
    </row>
    <row r="609" spans="1:30" ht="15.75" customHeight="1">
      <c r="A609" s="25"/>
      <c r="B609" s="25"/>
      <c r="C609" s="25"/>
      <c r="D609" s="25"/>
      <c r="E609" s="25"/>
      <c r="F609" s="25"/>
      <c r="G609" s="25"/>
      <c r="H609" s="25"/>
      <c r="I609" s="40"/>
      <c r="J609" s="25"/>
      <c r="K609" s="25"/>
      <c r="L609" s="25"/>
      <c r="M609" s="25"/>
      <c r="N609" s="25"/>
      <c r="O609" s="25"/>
      <c r="P609" s="25"/>
      <c r="Q609" s="25"/>
      <c r="R609" s="25"/>
      <c r="S609" s="25"/>
      <c r="T609" s="25"/>
      <c r="U609" s="25"/>
      <c r="V609" s="25"/>
      <c r="W609" s="25"/>
      <c r="X609" s="25"/>
      <c r="Y609" s="25"/>
      <c r="Z609" s="25"/>
      <c r="AA609" s="25"/>
      <c r="AB609" s="25"/>
      <c r="AC609" s="25"/>
      <c r="AD609" s="25"/>
    </row>
    <row r="610" spans="1:30" ht="15.75" customHeight="1">
      <c r="A610" s="25"/>
      <c r="B610" s="25"/>
      <c r="C610" s="25"/>
      <c r="D610" s="25"/>
      <c r="E610" s="25"/>
      <c r="F610" s="25"/>
      <c r="G610" s="25"/>
      <c r="H610" s="25"/>
      <c r="I610" s="40"/>
      <c r="J610" s="25"/>
      <c r="K610" s="25"/>
      <c r="L610" s="25"/>
      <c r="M610" s="25"/>
      <c r="N610" s="25"/>
      <c r="O610" s="25"/>
      <c r="P610" s="25"/>
      <c r="Q610" s="25"/>
      <c r="R610" s="25"/>
      <c r="S610" s="25"/>
      <c r="T610" s="25"/>
      <c r="U610" s="25"/>
      <c r="V610" s="25"/>
      <c r="W610" s="25"/>
      <c r="X610" s="25"/>
      <c r="Y610" s="25"/>
      <c r="Z610" s="25"/>
      <c r="AA610" s="25"/>
      <c r="AB610" s="25"/>
      <c r="AC610" s="25"/>
      <c r="AD610" s="25"/>
    </row>
    <row r="611" spans="1:30" ht="15.75" customHeight="1">
      <c r="A611" s="25"/>
      <c r="B611" s="25"/>
      <c r="C611" s="25"/>
      <c r="D611" s="25"/>
      <c r="E611" s="25"/>
      <c r="F611" s="25"/>
      <c r="G611" s="25"/>
      <c r="H611" s="25"/>
      <c r="I611" s="40"/>
      <c r="J611" s="25"/>
      <c r="K611" s="25"/>
      <c r="L611" s="25"/>
      <c r="M611" s="25"/>
      <c r="N611" s="25"/>
      <c r="O611" s="25"/>
      <c r="P611" s="25"/>
      <c r="Q611" s="25"/>
      <c r="R611" s="25"/>
      <c r="S611" s="25"/>
      <c r="T611" s="25"/>
      <c r="U611" s="25"/>
      <c r="V611" s="25"/>
      <c r="W611" s="25"/>
      <c r="X611" s="25"/>
      <c r="Y611" s="25"/>
      <c r="Z611" s="25"/>
      <c r="AA611" s="25"/>
      <c r="AB611" s="25"/>
      <c r="AC611" s="25"/>
      <c r="AD611" s="25"/>
    </row>
    <row r="612" spans="1:30" ht="15.75" customHeight="1">
      <c r="A612" s="25"/>
      <c r="B612" s="25"/>
      <c r="C612" s="25"/>
      <c r="D612" s="25"/>
      <c r="E612" s="25"/>
      <c r="F612" s="25"/>
      <c r="G612" s="25"/>
      <c r="H612" s="25"/>
      <c r="I612" s="40"/>
      <c r="J612" s="25"/>
      <c r="K612" s="25"/>
      <c r="L612" s="25"/>
      <c r="M612" s="25"/>
      <c r="N612" s="25"/>
      <c r="O612" s="25"/>
      <c r="P612" s="25"/>
      <c r="Q612" s="25"/>
      <c r="R612" s="25"/>
      <c r="S612" s="25"/>
      <c r="T612" s="25"/>
      <c r="U612" s="25"/>
      <c r="V612" s="25"/>
      <c r="W612" s="25"/>
      <c r="X612" s="25"/>
      <c r="Y612" s="25"/>
      <c r="Z612" s="25"/>
      <c r="AA612" s="25"/>
      <c r="AB612" s="25"/>
      <c r="AC612" s="25"/>
      <c r="AD612" s="25"/>
    </row>
    <row r="613" spans="1:30" ht="15.75" customHeight="1">
      <c r="A613" s="25"/>
      <c r="B613" s="25"/>
      <c r="C613" s="25"/>
      <c r="D613" s="25"/>
      <c r="E613" s="25"/>
      <c r="F613" s="25"/>
      <c r="G613" s="25"/>
      <c r="H613" s="25"/>
      <c r="I613" s="40"/>
      <c r="J613" s="25"/>
      <c r="K613" s="25"/>
      <c r="L613" s="25"/>
      <c r="M613" s="25"/>
      <c r="N613" s="25"/>
      <c r="O613" s="25"/>
      <c r="P613" s="25"/>
      <c r="Q613" s="25"/>
      <c r="R613" s="25"/>
      <c r="S613" s="25"/>
      <c r="T613" s="25"/>
      <c r="U613" s="25"/>
      <c r="V613" s="25"/>
      <c r="W613" s="25"/>
      <c r="X613" s="25"/>
      <c r="Y613" s="25"/>
      <c r="Z613" s="25"/>
      <c r="AA613" s="25"/>
      <c r="AB613" s="25"/>
      <c r="AC613" s="25"/>
      <c r="AD613" s="25"/>
    </row>
    <row r="614" spans="1:30" ht="15.75" customHeight="1">
      <c r="A614" s="25"/>
      <c r="B614" s="25"/>
      <c r="C614" s="25"/>
      <c r="D614" s="25"/>
      <c r="E614" s="25"/>
      <c r="F614" s="25"/>
      <c r="G614" s="25"/>
      <c r="H614" s="25"/>
      <c r="I614" s="40"/>
      <c r="J614" s="25"/>
      <c r="K614" s="25"/>
      <c r="L614" s="25"/>
      <c r="M614" s="25"/>
      <c r="N614" s="25"/>
      <c r="O614" s="25"/>
      <c r="P614" s="25"/>
      <c r="Q614" s="25"/>
      <c r="R614" s="25"/>
      <c r="S614" s="25"/>
      <c r="T614" s="25"/>
      <c r="U614" s="25"/>
      <c r="V614" s="25"/>
      <c r="W614" s="25"/>
      <c r="X614" s="25"/>
      <c r="Y614" s="25"/>
      <c r="Z614" s="25"/>
      <c r="AA614" s="25"/>
      <c r="AB614" s="25"/>
      <c r="AC614" s="25"/>
      <c r="AD614" s="25"/>
    </row>
    <row r="615" spans="1:30" ht="15.75" customHeight="1">
      <c r="A615" s="25"/>
      <c r="B615" s="25"/>
      <c r="C615" s="25"/>
      <c r="D615" s="25"/>
      <c r="E615" s="25"/>
      <c r="F615" s="25"/>
      <c r="G615" s="25"/>
      <c r="H615" s="25"/>
      <c r="I615" s="40"/>
      <c r="J615" s="25"/>
      <c r="K615" s="25"/>
      <c r="L615" s="25"/>
      <c r="M615" s="25"/>
      <c r="N615" s="25"/>
      <c r="O615" s="25"/>
      <c r="P615" s="25"/>
      <c r="Q615" s="25"/>
      <c r="R615" s="25"/>
      <c r="S615" s="25"/>
      <c r="T615" s="25"/>
      <c r="U615" s="25"/>
      <c r="V615" s="25"/>
      <c r="W615" s="25"/>
      <c r="X615" s="25"/>
      <c r="Y615" s="25"/>
      <c r="Z615" s="25"/>
      <c r="AA615" s="25"/>
      <c r="AB615" s="25"/>
      <c r="AC615" s="25"/>
      <c r="AD615" s="25"/>
    </row>
    <row r="616" spans="1:30" ht="15.75" customHeight="1">
      <c r="A616" s="25"/>
      <c r="B616" s="25"/>
      <c r="C616" s="25"/>
      <c r="D616" s="25"/>
      <c r="E616" s="25"/>
      <c r="F616" s="25"/>
      <c r="G616" s="25"/>
      <c r="H616" s="25"/>
      <c r="I616" s="40"/>
      <c r="J616" s="25"/>
      <c r="K616" s="25"/>
      <c r="L616" s="25"/>
      <c r="M616" s="25"/>
      <c r="N616" s="25"/>
      <c r="O616" s="25"/>
      <c r="P616" s="25"/>
      <c r="Q616" s="25"/>
      <c r="R616" s="25"/>
      <c r="S616" s="25"/>
      <c r="T616" s="25"/>
      <c r="U616" s="25"/>
      <c r="V616" s="25"/>
      <c r="W616" s="25"/>
      <c r="X616" s="25"/>
      <c r="Y616" s="25"/>
      <c r="Z616" s="25"/>
      <c r="AA616" s="25"/>
      <c r="AB616" s="25"/>
      <c r="AC616" s="25"/>
      <c r="AD616" s="25"/>
    </row>
    <row r="617" spans="1:30" ht="15.75" customHeight="1">
      <c r="A617" s="25"/>
      <c r="B617" s="25"/>
      <c r="C617" s="25"/>
      <c r="D617" s="25"/>
      <c r="E617" s="25"/>
      <c r="F617" s="25"/>
      <c r="G617" s="25"/>
      <c r="H617" s="25"/>
      <c r="I617" s="40"/>
      <c r="J617" s="25"/>
      <c r="K617" s="25"/>
      <c r="L617" s="25"/>
      <c r="M617" s="25"/>
      <c r="N617" s="25"/>
      <c r="O617" s="25"/>
      <c r="P617" s="25"/>
      <c r="Q617" s="25"/>
      <c r="R617" s="25"/>
      <c r="S617" s="25"/>
      <c r="T617" s="25"/>
      <c r="U617" s="25"/>
      <c r="V617" s="25"/>
      <c r="W617" s="25"/>
      <c r="X617" s="25"/>
      <c r="Y617" s="25"/>
      <c r="Z617" s="25"/>
      <c r="AA617" s="25"/>
      <c r="AB617" s="25"/>
      <c r="AC617" s="25"/>
      <c r="AD617" s="25"/>
    </row>
    <row r="618" spans="1:30" ht="15.75" customHeight="1">
      <c r="A618" s="25"/>
      <c r="B618" s="25"/>
      <c r="C618" s="25"/>
      <c r="D618" s="25"/>
      <c r="E618" s="25"/>
      <c r="F618" s="25"/>
      <c r="G618" s="25"/>
      <c r="H618" s="25"/>
      <c r="I618" s="40"/>
      <c r="J618" s="25"/>
      <c r="K618" s="25"/>
      <c r="L618" s="25"/>
      <c r="M618" s="25"/>
      <c r="N618" s="25"/>
      <c r="O618" s="25"/>
      <c r="P618" s="25"/>
      <c r="Q618" s="25"/>
      <c r="R618" s="25"/>
      <c r="S618" s="25"/>
      <c r="T618" s="25"/>
      <c r="U618" s="25"/>
      <c r="V618" s="25"/>
      <c r="W618" s="25"/>
      <c r="X618" s="25"/>
      <c r="Y618" s="25"/>
      <c r="Z618" s="25"/>
      <c r="AA618" s="25"/>
      <c r="AB618" s="25"/>
      <c r="AC618" s="25"/>
      <c r="AD618" s="25"/>
    </row>
    <row r="619" spans="1:30" ht="15.75" customHeight="1">
      <c r="A619" s="25"/>
      <c r="B619" s="25"/>
      <c r="C619" s="25"/>
      <c r="D619" s="25"/>
      <c r="E619" s="25"/>
      <c r="F619" s="25"/>
      <c r="G619" s="25"/>
      <c r="H619" s="25"/>
      <c r="I619" s="40"/>
      <c r="J619" s="25"/>
      <c r="K619" s="25"/>
      <c r="L619" s="25"/>
      <c r="M619" s="25"/>
      <c r="N619" s="25"/>
      <c r="O619" s="25"/>
      <c r="P619" s="25"/>
      <c r="Q619" s="25"/>
      <c r="R619" s="25"/>
      <c r="S619" s="25"/>
      <c r="T619" s="25"/>
      <c r="U619" s="25"/>
      <c r="V619" s="25"/>
      <c r="W619" s="25"/>
      <c r="X619" s="25"/>
      <c r="Y619" s="25"/>
      <c r="Z619" s="25"/>
      <c r="AA619" s="25"/>
      <c r="AB619" s="25"/>
      <c r="AC619" s="25"/>
      <c r="AD619" s="25"/>
    </row>
    <row r="620" spans="1:30" ht="15.75" customHeight="1">
      <c r="A620" s="25"/>
      <c r="B620" s="25"/>
      <c r="C620" s="25"/>
      <c r="D620" s="25"/>
      <c r="E620" s="25"/>
      <c r="F620" s="25"/>
      <c r="G620" s="25"/>
      <c r="H620" s="25"/>
      <c r="I620" s="40"/>
      <c r="J620" s="25"/>
      <c r="K620" s="25"/>
      <c r="L620" s="25"/>
      <c r="M620" s="25"/>
      <c r="N620" s="25"/>
      <c r="O620" s="25"/>
      <c r="P620" s="25"/>
      <c r="Q620" s="25"/>
      <c r="R620" s="25"/>
      <c r="S620" s="25"/>
      <c r="T620" s="25"/>
      <c r="U620" s="25"/>
      <c r="V620" s="25"/>
      <c r="W620" s="25"/>
      <c r="X620" s="25"/>
      <c r="Y620" s="25"/>
      <c r="Z620" s="25"/>
      <c r="AA620" s="25"/>
      <c r="AB620" s="25"/>
      <c r="AC620" s="25"/>
      <c r="AD620" s="25"/>
    </row>
    <row r="621" spans="1:30" ht="15.75" customHeight="1">
      <c r="A621" s="25"/>
      <c r="B621" s="25"/>
      <c r="C621" s="25"/>
      <c r="D621" s="25"/>
      <c r="E621" s="25"/>
      <c r="F621" s="25"/>
      <c r="G621" s="25"/>
      <c r="H621" s="25"/>
      <c r="I621" s="40"/>
      <c r="J621" s="25"/>
      <c r="K621" s="25"/>
      <c r="L621" s="25"/>
      <c r="M621" s="25"/>
      <c r="N621" s="25"/>
      <c r="O621" s="25"/>
      <c r="P621" s="25"/>
      <c r="Q621" s="25"/>
      <c r="R621" s="25"/>
      <c r="S621" s="25"/>
      <c r="T621" s="25"/>
      <c r="U621" s="25"/>
      <c r="V621" s="25"/>
      <c r="W621" s="25"/>
      <c r="X621" s="25"/>
      <c r="Y621" s="25"/>
      <c r="Z621" s="25"/>
      <c r="AA621" s="25"/>
      <c r="AB621" s="25"/>
      <c r="AC621" s="25"/>
      <c r="AD621" s="25"/>
    </row>
    <row r="622" spans="1:30" ht="15.75" customHeight="1">
      <c r="A622" s="25"/>
      <c r="B622" s="25"/>
      <c r="C622" s="25"/>
      <c r="D622" s="25"/>
      <c r="E622" s="25"/>
      <c r="F622" s="25"/>
      <c r="G622" s="25"/>
      <c r="H622" s="25"/>
      <c r="I622" s="40"/>
      <c r="J622" s="25"/>
      <c r="K622" s="25"/>
      <c r="L622" s="25"/>
      <c r="M622" s="25"/>
      <c r="N622" s="25"/>
      <c r="O622" s="25"/>
      <c r="P622" s="25"/>
      <c r="Q622" s="25"/>
      <c r="R622" s="25"/>
      <c r="S622" s="25"/>
      <c r="T622" s="25"/>
      <c r="U622" s="25"/>
      <c r="V622" s="25"/>
      <c r="W622" s="25"/>
      <c r="X622" s="25"/>
      <c r="Y622" s="25"/>
      <c r="Z622" s="25"/>
      <c r="AA622" s="25"/>
      <c r="AB622" s="25"/>
      <c r="AC622" s="25"/>
      <c r="AD622" s="25"/>
    </row>
    <row r="623" spans="1:30" ht="15.75" customHeight="1">
      <c r="A623" s="25"/>
      <c r="B623" s="25"/>
      <c r="C623" s="25"/>
      <c r="D623" s="25"/>
      <c r="E623" s="25"/>
      <c r="F623" s="25"/>
      <c r="G623" s="25"/>
      <c r="H623" s="25"/>
      <c r="I623" s="40"/>
      <c r="J623" s="25"/>
      <c r="K623" s="25"/>
      <c r="L623" s="25"/>
      <c r="M623" s="25"/>
      <c r="N623" s="25"/>
      <c r="O623" s="25"/>
      <c r="P623" s="25"/>
      <c r="Q623" s="25"/>
      <c r="R623" s="25"/>
      <c r="S623" s="25"/>
      <c r="T623" s="25"/>
      <c r="U623" s="25"/>
      <c r="V623" s="25"/>
      <c r="W623" s="25"/>
      <c r="X623" s="25"/>
      <c r="Y623" s="25"/>
      <c r="Z623" s="25"/>
      <c r="AA623" s="25"/>
      <c r="AB623" s="25"/>
      <c r="AC623" s="25"/>
      <c r="AD623" s="25"/>
    </row>
    <row r="624" spans="1:30" ht="15.75" customHeight="1">
      <c r="A624" s="25"/>
      <c r="B624" s="25"/>
      <c r="C624" s="25"/>
      <c r="D624" s="25"/>
      <c r="E624" s="25"/>
      <c r="F624" s="25"/>
      <c r="G624" s="25"/>
      <c r="H624" s="25"/>
      <c r="I624" s="40"/>
      <c r="J624" s="25"/>
      <c r="K624" s="25"/>
      <c r="L624" s="25"/>
      <c r="M624" s="25"/>
      <c r="N624" s="25"/>
      <c r="O624" s="25"/>
      <c r="P624" s="25"/>
      <c r="Q624" s="25"/>
      <c r="R624" s="25"/>
      <c r="S624" s="25"/>
      <c r="T624" s="25"/>
      <c r="U624" s="25"/>
      <c r="V624" s="25"/>
      <c r="W624" s="25"/>
      <c r="X624" s="25"/>
      <c r="Y624" s="25"/>
      <c r="Z624" s="25"/>
      <c r="AA624" s="25"/>
      <c r="AB624" s="25"/>
      <c r="AC624" s="25"/>
      <c r="AD624" s="25"/>
    </row>
    <row r="625" spans="1:30" ht="15.75" customHeight="1">
      <c r="A625" s="25"/>
      <c r="B625" s="25"/>
      <c r="C625" s="25"/>
      <c r="D625" s="25"/>
      <c r="E625" s="25"/>
      <c r="F625" s="25"/>
      <c r="G625" s="25"/>
      <c r="H625" s="25"/>
      <c r="I625" s="40"/>
      <c r="J625" s="25"/>
      <c r="K625" s="25"/>
      <c r="L625" s="25"/>
      <c r="M625" s="25"/>
      <c r="N625" s="25"/>
      <c r="O625" s="25"/>
      <c r="P625" s="25"/>
      <c r="Q625" s="25"/>
      <c r="R625" s="25"/>
      <c r="S625" s="25"/>
      <c r="T625" s="25"/>
      <c r="U625" s="25"/>
      <c r="V625" s="25"/>
      <c r="W625" s="25"/>
      <c r="X625" s="25"/>
      <c r="Y625" s="25"/>
      <c r="Z625" s="25"/>
      <c r="AA625" s="25"/>
      <c r="AB625" s="25"/>
      <c r="AC625" s="25"/>
      <c r="AD625" s="25"/>
    </row>
    <row r="626" spans="1:30" ht="15.75" customHeight="1">
      <c r="A626" s="25"/>
      <c r="B626" s="25"/>
      <c r="C626" s="25"/>
      <c r="D626" s="25"/>
      <c r="E626" s="25"/>
      <c r="F626" s="25"/>
      <c r="G626" s="25"/>
      <c r="H626" s="25"/>
      <c r="I626" s="40"/>
      <c r="J626" s="25"/>
      <c r="K626" s="25"/>
      <c r="L626" s="25"/>
      <c r="M626" s="25"/>
      <c r="N626" s="25"/>
      <c r="O626" s="25"/>
      <c r="P626" s="25"/>
      <c r="Q626" s="25"/>
      <c r="R626" s="25"/>
      <c r="S626" s="25"/>
      <c r="T626" s="25"/>
      <c r="U626" s="25"/>
      <c r="V626" s="25"/>
      <c r="W626" s="25"/>
      <c r="X626" s="25"/>
      <c r="Y626" s="25"/>
      <c r="Z626" s="25"/>
      <c r="AA626" s="25"/>
      <c r="AB626" s="25"/>
      <c r="AC626" s="25"/>
      <c r="AD626" s="25"/>
    </row>
    <row r="627" spans="1:30" ht="15.75" customHeight="1">
      <c r="A627" s="25"/>
      <c r="B627" s="25"/>
      <c r="C627" s="25"/>
      <c r="D627" s="25"/>
      <c r="E627" s="25"/>
      <c r="F627" s="25"/>
      <c r="G627" s="25"/>
      <c r="H627" s="25"/>
      <c r="I627" s="40"/>
      <c r="J627" s="25"/>
      <c r="K627" s="25"/>
      <c r="L627" s="25"/>
      <c r="M627" s="25"/>
      <c r="N627" s="25"/>
      <c r="O627" s="25"/>
      <c r="P627" s="25"/>
      <c r="Q627" s="25"/>
      <c r="R627" s="25"/>
      <c r="S627" s="25"/>
      <c r="T627" s="25"/>
      <c r="U627" s="25"/>
      <c r="V627" s="25"/>
      <c r="W627" s="25"/>
      <c r="X627" s="25"/>
      <c r="Y627" s="25"/>
      <c r="Z627" s="25"/>
      <c r="AA627" s="25"/>
      <c r="AB627" s="25"/>
      <c r="AC627" s="25"/>
      <c r="AD627" s="25"/>
    </row>
    <row r="628" spans="1:30" ht="15.75" customHeight="1">
      <c r="A628" s="25"/>
      <c r="B628" s="25"/>
      <c r="C628" s="25"/>
      <c r="D628" s="25"/>
      <c r="E628" s="25"/>
      <c r="F628" s="25"/>
      <c r="G628" s="25"/>
      <c r="H628" s="25"/>
      <c r="I628" s="40"/>
      <c r="J628" s="25"/>
      <c r="K628" s="25"/>
      <c r="L628" s="25"/>
      <c r="M628" s="25"/>
      <c r="N628" s="25"/>
      <c r="O628" s="25"/>
      <c r="P628" s="25"/>
      <c r="Q628" s="25"/>
      <c r="R628" s="25"/>
      <c r="S628" s="25"/>
      <c r="T628" s="25"/>
      <c r="U628" s="25"/>
      <c r="V628" s="25"/>
      <c r="W628" s="25"/>
      <c r="X628" s="25"/>
      <c r="Y628" s="25"/>
      <c r="Z628" s="25"/>
      <c r="AA628" s="25"/>
      <c r="AB628" s="25"/>
      <c r="AC628" s="25"/>
      <c r="AD628" s="25"/>
    </row>
    <row r="629" spans="1:30" ht="15.75" customHeight="1">
      <c r="A629" s="25"/>
      <c r="B629" s="25"/>
      <c r="C629" s="25"/>
      <c r="D629" s="25"/>
      <c r="E629" s="25"/>
      <c r="F629" s="25"/>
      <c r="G629" s="25"/>
      <c r="H629" s="25"/>
      <c r="I629" s="40"/>
      <c r="J629" s="25"/>
      <c r="K629" s="25"/>
      <c r="L629" s="25"/>
      <c r="M629" s="25"/>
      <c r="N629" s="25"/>
      <c r="O629" s="25"/>
      <c r="P629" s="25"/>
      <c r="Q629" s="25"/>
      <c r="R629" s="25"/>
      <c r="S629" s="25"/>
      <c r="T629" s="25"/>
      <c r="U629" s="25"/>
      <c r="V629" s="25"/>
      <c r="W629" s="25"/>
      <c r="X629" s="25"/>
      <c r="Y629" s="25"/>
      <c r="Z629" s="25"/>
      <c r="AA629" s="25"/>
      <c r="AB629" s="25"/>
      <c r="AC629" s="25"/>
      <c r="AD629" s="25"/>
    </row>
    <row r="630" spans="1:30" ht="15.75" customHeight="1">
      <c r="A630" s="25"/>
      <c r="B630" s="25"/>
      <c r="C630" s="25"/>
      <c r="D630" s="25"/>
      <c r="E630" s="25"/>
      <c r="F630" s="25"/>
      <c r="G630" s="25"/>
      <c r="H630" s="25"/>
      <c r="I630" s="40"/>
      <c r="J630" s="25"/>
      <c r="K630" s="25"/>
      <c r="L630" s="25"/>
      <c r="M630" s="25"/>
      <c r="N630" s="25"/>
      <c r="O630" s="25"/>
      <c r="P630" s="25"/>
      <c r="Q630" s="25"/>
      <c r="R630" s="25"/>
      <c r="S630" s="25"/>
      <c r="T630" s="25"/>
      <c r="U630" s="25"/>
      <c r="V630" s="25"/>
      <c r="W630" s="25"/>
      <c r="X630" s="25"/>
      <c r="Y630" s="25"/>
      <c r="Z630" s="25"/>
      <c r="AA630" s="25"/>
      <c r="AB630" s="25"/>
      <c r="AC630" s="25"/>
      <c r="AD630" s="25"/>
    </row>
    <row r="631" spans="1:30" ht="15.75" customHeight="1">
      <c r="A631" s="25"/>
      <c r="B631" s="25"/>
      <c r="C631" s="25"/>
      <c r="D631" s="25"/>
      <c r="E631" s="25"/>
      <c r="F631" s="25"/>
      <c r="G631" s="25"/>
      <c r="H631" s="25"/>
      <c r="I631" s="40"/>
      <c r="J631" s="25"/>
      <c r="K631" s="25"/>
      <c r="L631" s="25"/>
      <c r="M631" s="25"/>
      <c r="N631" s="25"/>
      <c r="O631" s="25"/>
      <c r="P631" s="25"/>
      <c r="Q631" s="25"/>
      <c r="R631" s="25"/>
      <c r="S631" s="25"/>
      <c r="T631" s="25"/>
      <c r="U631" s="25"/>
      <c r="V631" s="25"/>
      <c r="W631" s="25"/>
      <c r="X631" s="25"/>
      <c r="Y631" s="25"/>
      <c r="Z631" s="25"/>
      <c r="AA631" s="25"/>
      <c r="AB631" s="25"/>
      <c r="AC631" s="25"/>
      <c r="AD631" s="25"/>
    </row>
    <row r="632" spans="1:30" ht="15.75" customHeight="1">
      <c r="A632" s="25"/>
      <c r="B632" s="25"/>
      <c r="C632" s="25"/>
      <c r="D632" s="25"/>
      <c r="E632" s="25"/>
      <c r="F632" s="25"/>
      <c r="G632" s="25"/>
      <c r="H632" s="25"/>
      <c r="I632" s="40"/>
      <c r="J632" s="25"/>
      <c r="K632" s="25"/>
      <c r="L632" s="25"/>
      <c r="M632" s="25"/>
      <c r="N632" s="25"/>
      <c r="O632" s="25"/>
      <c r="P632" s="25"/>
      <c r="Q632" s="25"/>
      <c r="R632" s="25"/>
      <c r="S632" s="25"/>
      <c r="T632" s="25"/>
      <c r="U632" s="25"/>
      <c r="V632" s="25"/>
      <c r="W632" s="25"/>
      <c r="X632" s="25"/>
      <c r="Y632" s="25"/>
      <c r="Z632" s="25"/>
      <c r="AA632" s="25"/>
      <c r="AB632" s="25"/>
      <c r="AC632" s="25"/>
      <c r="AD632" s="25"/>
    </row>
    <row r="633" spans="1:30" ht="15.75" customHeight="1">
      <c r="A633" s="25"/>
      <c r="B633" s="25"/>
      <c r="C633" s="25"/>
      <c r="D633" s="25"/>
      <c r="E633" s="25"/>
      <c r="F633" s="25"/>
      <c r="G633" s="25"/>
      <c r="H633" s="25"/>
      <c r="I633" s="40"/>
      <c r="J633" s="25"/>
      <c r="K633" s="25"/>
      <c r="L633" s="25"/>
      <c r="M633" s="25"/>
      <c r="N633" s="25"/>
      <c r="O633" s="25"/>
      <c r="P633" s="25"/>
      <c r="Q633" s="25"/>
      <c r="R633" s="25"/>
      <c r="S633" s="25"/>
      <c r="T633" s="25"/>
      <c r="U633" s="25"/>
      <c r="V633" s="25"/>
      <c r="W633" s="25"/>
      <c r="X633" s="25"/>
      <c r="Y633" s="25"/>
      <c r="Z633" s="25"/>
      <c r="AA633" s="25"/>
      <c r="AB633" s="25"/>
      <c r="AC633" s="25"/>
      <c r="AD633" s="25"/>
    </row>
    <row r="634" spans="1:30" ht="15.75" customHeight="1">
      <c r="A634" s="25"/>
      <c r="B634" s="25"/>
      <c r="C634" s="25"/>
      <c r="D634" s="25"/>
      <c r="E634" s="25"/>
      <c r="F634" s="25"/>
      <c r="G634" s="25"/>
      <c r="H634" s="25"/>
      <c r="I634" s="40"/>
      <c r="J634" s="25"/>
      <c r="K634" s="25"/>
      <c r="L634" s="25"/>
      <c r="M634" s="25"/>
      <c r="N634" s="25"/>
      <c r="O634" s="25"/>
      <c r="P634" s="25"/>
      <c r="Q634" s="25"/>
      <c r="R634" s="25"/>
      <c r="S634" s="25"/>
      <c r="T634" s="25"/>
      <c r="U634" s="25"/>
      <c r="V634" s="25"/>
      <c r="W634" s="25"/>
      <c r="X634" s="25"/>
      <c r="Y634" s="25"/>
      <c r="Z634" s="25"/>
      <c r="AA634" s="25"/>
      <c r="AB634" s="25"/>
      <c r="AC634" s="25"/>
      <c r="AD634" s="25"/>
    </row>
    <row r="635" spans="1:30" ht="15.75" customHeight="1">
      <c r="A635" s="25"/>
      <c r="B635" s="25"/>
      <c r="C635" s="25"/>
      <c r="D635" s="25"/>
      <c r="E635" s="25"/>
      <c r="F635" s="25"/>
      <c r="G635" s="25"/>
      <c r="H635" s="25"/>
      <c r="I635" s="40"/>
      <c r="J635" s="25"/>
      <c r="K635" s="25"/>
      <c r="L635" s="25"/>
      <c r="M635" s="25"/>
      <c r="N635" s="25"/>
      <c r="O635" s="25"/>
      <c r="P635" s="25"/>
      <c r="Q635" s="25"/>
      <c r="R635" s="25"/>
      <c r="S635" s="25"/>
      <c r="T635" s="25"/>
      <c r="U635" s="25"/>
      <c r="V635" s="25"/>
      <c r="W635" s="25"/>
      <c r="X635" s="25"/>
      <c r="Y635" s="25"/>
      <c r="Z635" s="25"/>
      <c r="AA635" s="25"/>
      <c r="AB635" s="25"/>
      <c r="AC635" s="25"/>
      <c r="AD635" s="25"/>
    </row>
    <row r="636" spans="1:30" ht="15.75" customHeight="1">
      <c r="A636" s="25"/>
      <c r="B636" s="25"/>
      <c r="C636" s="25"/>
      <c r="D636" s="25"/>
      <c r="E636" s="25"/>
      <c r="F636" s="25"/>
      <c r="G636" s="25"/>
      <c r="H636" s="25"/>
      <c r="I636" s="40"/>
      <c r="J636" s="25"/>
      <c r="K636" s="25"/>
      <c r="L636" s="25"/>
      <c r="M636" s="25"/>
      <c r="N636" s="25"/>
      <c r="O636" s="25"/>
      <c r="P636" s="25"/>
      <c r="Q636" s="25"/>
      <c r="R636" s="25"/>
      <c r="S636" s="25"/>
      <c r="T636" s="25"/>
      <c r="U636" s="25"/>
      <c r="V636" s="25"/>
      <c r="W636" s="25"/>
      <c r="X636" s="25"/>
      <c r="Y636" s="25"/>
      <c r="Z636" s="25"/>
      <c r="AA636" s="25"/>
      <c r="AB636" s="25"/>
      <c r="AC636" s="25"/>
      <c r="AD636" s="25"/>
    </row>
    <row r="637" spans="1:30" ht="15.75" customHeight="1">
      <c r="A637" s="25"/>
      <c r="B637" s="25"/>
      <c r="C637" s="25"/>
      <c r="D637" s="25"/>
      <c r="E637" s="25"/>
      <c r="F637" s="25"/>
      <c r="G637" s="25"/>
      <c r="H637" s="25"/>
      <c r="I637" s="40"/>
      <c r="J637" s="25"/>
      <c r="K637" s="25"/>
      <c r="L637" s="25"/>
      <c r="M637" s="25"/>
      <c r="N637" s="25"/>
      <c r="O637" s="25"/>
      <c r="P637" s="25"/>
      <c r="Q637" s="25"/>
      <c r="R637" s="25"/>
      <c r="S637" s="25"/>
      <c r="T637" s="25"/>
      <c r="U637" s="25"/>
      <c r="V637" s="25"/>
      <c r="W637" s="25"/>
      <c r="X637" s="25"/>
      <c r="Y637" s="25"/>
      <c r="Z637" s="25"/>
      <c r="AA637" s="25"/>
      <c r="AB637" s="25"/>
      <c r="AC637" s="25"/>
      <c r="AD637" s="25"/>
    </row>
    <row r="638" spans="1:30" ht="15.75" customHeight="1">
      <c r="A638" s="25"/>
      <c r="B638" s="25"/>
      <c r="C638" s="25"/>
      <c r="D638" s="25"/>
      <c r="E638" s="25"/>
      <c r="F638" s="25"/>
      <c r="G638" s="25"/>
      <c r="H638" s="25"/>
      <c r="I638" s="40"/>
      <c r="J638" s="25"/>
      <c r="K638" s="25"/>
      <c r="L638" s="25"/>
      <c r="M638" s="25"/>
      <c r="N638" s="25"/>
      <c r="O638" s="25"/>
      <c r="P638" s="25"/>
      <c r="Q638" s="25"/>
      <c r="R638" s="25"/>
      <c r="S638" s="25"/>
      <c r="T638" s="25"/>
      <c r="U638" s="25"/>
      <c r="V638" s="25"/>
      <c r="W638" s="25"/>
      <c r="X638" s="25"/>
      <c r="Y638" s="25"/>
      <c r="Z638" s="25"/>
      <c r="AA638" s="25"/>
      <c r="AB638" s="25"/>
      <c r="AC638" s="25"/>
      <c r="AD638" s="25"/>
    </row>
    <row r="639" spans="1:30" ht="15.75" customHeight="1">
      <c r="A639" s="25"/>
      <c r="B639" s="25"/>
      <c r="C639" s="25"/>
      <c r="D639" s="25"/>
      <c r="E639" s="25"/>
      <c r="F639" s="25"/>
      <c r="G639" s="25"/>
      <c r="H639" s="25"/>
      <c r="I639" s="40"/>
      <c r="J639" s="25"/>
      <c r="K639" s="25"/>
      <c r="L639" s="25"/>
      <c r="M639" s="25"/>
      <c r="N639" s="25"/>
      <c r="O639" s="25"/>
      <c r="P639" s="25"/>
      <c r="Q639" s="25"/>
      <c r="R639" s="25"/>
      <c r="S639" s="25"/>
      <c r="T639" s="25"/>
      <c r="U639" s="25"/>
      <c r="V639" s="25"/>
      <c r="W639" s="25"/>
      <c r="X639" s="25"/>
      <c r="Y639" s="25"/>
      <c r="Z639" s="25"/>
      <c r="AA639" s="25"/>
      <c r="AB639" s="25"/>
      <c r="AC639" s="25"/>
      <c r="AD639" s="25"/>
    </row>
    <row r="640" spans="1:30" ht="15.75" customHeight="1">
      <c r="A640" s="25"/>
      <c r="B640" s="25"/>
      <c r="C640" s="25"/>
      <c r="D640" s="25"/>
      <c r="E640" s="25"/>
      <c r="F640" s="25"/>
      <c r="G640" s="25"/>
      <c r="H640" s="25"/>
      <c r="I640" s="40"/>
      <c r="J640" s="25"/>
      <c r="K640" s="25"/>
      <c r="L640" s="25"/>
      <c r="M640" s="25"/>
      <c r="N640" s="25"/>
      <c r="O640" s="25"/>
      <c r="P640" s="25"/>
      <c r="Q640" s="25"/>
      <c r="R640" s="25"/>
      <c r="S640" s="25"/>
      <c r="T640" s="25"/>
      <c r="U640" s="25"/>
      <c r="V640" s="25"/>
      <c r="W640" s="25"/>
      <c r="X640" s="25"/>
      <c r="Y640" s="25"/>
      <c r="Z640" s="25"/>
      <c r="AA640" s="25"/>
      <c r="AB640" s="25"/>
      <c r="AC640" s="25"/>
      <c r="AD640" s="25"/>
    </row>
    <row r="641" spans="1:30" ht="15.75" customHeight="1">
      <c r="A641" s="25"/>
      <c r="B641" s="25"/>
      <c r="C641" s="25"/>
      <c r="D641" s="25"/>
      <c r="E641" s="25"/>
      <c r="F641" s="25"/>
      <c r="G641" s="25"/>
      <c r="H641" s="25"/>
      <c r="I641" s="40"/>
      <c r="J641" s="25"/>
      <c r="K641" s="25"/>
      <c r="L641" s="25"/>
      <c r="M641" s="25"/>
      <c r="N641" s="25"/>
      <c r="O641" s="25"/>
      <c r="P641" s="25"/>
      <c r="Q641" s="25"/>
      <c r="R641" s="25"/>
      <c r="S641" s="25"/>
      <c r="T641" s="25"/>
      <c r="U641" s="25"/>
      <c r="V641" s="25"/>
      <c r="W641" s="25"/>
      <c r="X641" s="25"/>
      <c r="Y641" s="25"/>
      <c r="Z641" s="25"/>
      <c r="AA641" s="25"/>
      <c r="AB641" s="25"/>
      <c r="AC641" s="25"/>
      <c r="AD641" s="25"/>
    </row>
    <row r="642" spans="1:30" ht="15.75" customHeight="1">
      <c r="A642" s="25"/>
      <c r="B642" s="25"/>
      <c r="C642" s="25"/>
      <c r="D642" s="25"/>
      <c r="E642" s="25"/>
      <c r="F642" s="25"/>
      <c r="G642" s="25"/>
      <c r="H642" s="25"/>
      <c r="I642" s="40"/>
      <c r="J642" s="25"/>
      <c r="K642" s="25"/>
      <c r="L642" s="25"/>
      <c r="M642" s="25"/>
      <c r="N642" s="25"/>
      <c r="O642" s="25"/>
      <c r="P642" s="25"/>
      <c r="Q642" s="25"/>
      <c r="R642" s="25"/>
      <c r="S642" s="25"/>
      <c r="T642" s="25"/>
      <c r="U642" s="25"/>
      <c r="V642" s="25"/>
      <c r="W642" s="25"/>
      <c r="X642" s="25"/>
      <c r="Y642" s="25"/>
      <c r="Z642" s="25"/>
      <c r="AA642" s="25"/>
      <c r="AB642" s="25"/>
      <c r="AC642" s="25"/>
      <c r="AD642" s="25"/>
    </row>
    <row r="643" spans="1:30" ht="15.75" customHeight="1">
      <c r="A643" s="25"/>
      <c r="B643" s="25"/>
      <c r="C643" s="25"/>
      <c r="D643" s="25"/>
      <c r="E643" s="25"/>
      <c r="F643" s="25"/>
      <c r="G643" s="25"/>
      <c r="H643" s="25"/>
      <c r="I643" s="40"/>
      <c r="J643" s="25"/>
      <c r="K643" s="25"/>
      <c r="L643" s="25"/>
      <c r="M643" s="25"/>
      <c r="N643" s="25"/>
      <c r="O643" s="25"/>
      <c r="P643" s="25"/>
      <c r="Q643" s="25"/>
      <c r="R643" s="25"/>
      <c r="S643" s="25"/>
      <c r="T643" s="25"/>
      <c r="U643" s="25"/>
      <c r="V643" s="25"/>
      <c r="W643" s="25"/>
      <c r="X643" s="25"/>
      <c r="Y643" s="25"/>
      <c r="Z643" s="25"/>
      <c r="AA643" s="25"/>
      <c r="AB643" s="25"/>
      <c r="AC643" s="25"/>
      <c r="AD643" s="25"/>
    </row>
    <row r="644" spans="1:30" ht="15.75" customHeight="1">
      <c r="A644" s="25"/>
      <c r="B644" s="25"/>
      <c r="C644" s="25"/>
      <c r="D644" s="25"/>
      <c r="E644" s="25"/>
      <c r="F644" s="25"/>
      <c r="G644" s="25"/>
      <c r="H644" s="25"/>
      <c r="I644" s="40"/>
      <c r="J644" s="25"/>
      <c r="K644" s="25"/>
      <c r="L644" s="25"/>
      <c r="M644" s="25"/>
      <c r="N644" s="25"/>
      <c r="O644" s="25"/>
      <c r="P644" s="25"/>
      <c r="Q644" s="25"/>
      <c r="R644" s="25"/>
      <c r="S644" s="25"/>
      <c r="T644" s="25"/>
      <c r="U644" s="25"/>
      <c r="V644" s="25"/>
      <c r="W644" s="25"/>
      <c r="X644" s="25"/>
      <c r="Y644" s="25"/>
      <c r="Z644" s="25"/>
      <c r="AA644" s="25"/>
      <c r="AB644" s="25"/>
      <c r="AC644" s="25"/>
      <c r="AD644" s="25"/>
    </row>
    <row r="645" spans="1:30" ht="15.75" customHeight="1">
      <c r="A645" s="25"/>
      <c r="B645" s="25"/>
      <c r="C645" s="25"/>
      <c r="D645" s="25"/>
      <c r="E645" s="25"/>
      <c r="F645" s="25"/>
      <c r="G645" s="25"/>
      <c r="H645" s="25"/>
      <c r="I645" s="40"/>
      <c r="J645" s="25"/>
      <c r="K645" s="25"/>
      <c r="L645" s="25"/>
      <c r="M645" s="25"/>
      <c r="N645" s="25"/>
      <c r="O645" s="25"/>
      <c r="P645" s="25"/>
      <c r="Q645" s="25"/>
      <c r="R645" s="25"/>
      <c r="S645" s="25"/>
      <c r="T645" s="25"/>
      <c r="U645" s="25"/>
      <c r="V645" s="25"/>
      <c r="W645" s="25"/>
      <c r="X645" s="25"/>
      <c r="Y645" s="25"/>
      <c r="Z645" s="25"/>
      <c r="AA645" s="25"/>
      <c r="AB645" s="25"/>
      <c r="AC645" s="25"/>
      <c r="AD645" s="25"/>
    </row>
    <row r="646" spans="1:30" ht="15.75" customHeight="1">
      <c r="A646" s="25"/>
      <c r="B646" s="25"/>
      <c r="C646" s="25"/>
      <c r="D646" s="25"/>
      <c r="E646" s="25"/>
      <c r="F646" s="25"/>
      <c r="G646" s="25"/>
      <c r="H646" s="25"/>
      <c r="I646" s="40"/>
      <c r="J646" s="25"/>
      <c r="K646" s="25"/>
      <c r="L646" s="25"/>
      <c r="M646" s="25"/>
      <c r="N646" s="25"/>
      <c r="O646" s="25"/>
      <c r="P646" s="25"/>
      <c r="Q646" s="25"/>
      <c r="R646" s="25"/>
      <c r="S646" s="25"/>
      <c r="T646" s="25"/>
      <c r="U646" s="25"/>
      <c r="V646" s="25"/>
      <c r="W646" s="25"/>
      <c r="X646" s="25"/>
      <c r="Y646" s="25"/>
      <c r="Z646" s="25"/>
      <c r="AA646" s="25"/>
      <c r="AB646" s="25"/>
      <c r="AC646" s="25"/>
      <c r="AD646" s="25"/>
    </row>
    <row r="647" spans="1:30" ht="15.75" customHeight="1">
      <c r="A647" s="25"/>
      <c r="B647" s="25"/>
      <c r="C647" s="25"/>
      <c r="D647" s="25"/>
      <c r="E647" s="25"/>
      <c r="F647" s="25"/>
      <c r="G647" s="25"/>
      <c r="H647" s="25"/>
      <c r="I647" s="40"/>
      <c r="J647" s="25"/>
      <c r="K647" s="25"/>
      <c r="L647" s="25"/>
      <c r="M647" s="25"/>
      <c r="N647" s="25"/>
      <c r="O647" s="25"/>
      <c r="P647" s="25"/>
      <c r="Q647" s="25"/>
      <c r="R647" s="25"/>
      <c r="S647" s="25"/>
      <c r="T647" s="25"/>
      <c r="U647" s="25"/>
      <c r="V647" s="25"/>
      <c r="W647" s="25"/>
      <c r="X647" s="25"/>
      <c r="Y647" s="25"/>
      <c r="Z647" s="25"/>
      <c r="AA647" s="25"/>
      <c r="AB647" s="25"/>
      <c r="AC647" s="25"/>
      <c r="AD647" s="25"/>
    </row>
    <row r="648" spans="1:30" ht="15.75" customHeight="1">
      <c r="A648" s="25"/>
      <c r="B648" s="25"/>
      <c r="C648" s="25"/>
      <c r="D648" s="25"/>
      <c r="E648" s="25"/>
      <c r="F648" s="25"/>
      <c r="G648" s="25"/>
      <c r="H648" s="25"/>
      <c r="I648" s="40"/>
      <c r="J648" s="25"/>
      <c r="K648" s="25"/>
      <c r="L648" s="25"/>
      <c r="M648" s="25"/>
      <c r="N648" s="25"/>
      <c r="O648" s="25"/>
      <c r="P648" s="25"/>
      <c r="Q648" s="25"/>
      <c r="R648" s="25"/>
      <c r="S648" s="25"/>
      <c r="T648" s="25"/>
      <c r="U648" s="25"/>
      <c r="V648" s="25"/>
      <c r="W648" s="25"/>
      <c r="X648" s="25"/>
      <c r="Y648" s="25"/>
      <c r="Z648" s="25"/>
      <c r="AA648" s="25"/>
      <c r="AB648" s="25"/>
      <c r="AC648" s="25"/>
      <c r="AD648" s="25"/>
    </row>
    <row r="649" spans="1:30" ht="15.75" customHeight="1">
      <c r="A649" s="25"/>
      <c r="B649" s="25"/>
      <c r="C649" s="25"/>
      <c r="D649" s="25"/>
      <c r="E649" s="25"/>
      <c r="F649" s="25"/>
      <c r="G649" s="25"/>
      <c r="H649" s="25"/>
      <c r="I649" s="40"/>
      <c r="J649" s="25"/>
      <c r="K649" s="25"/>
      <c r="L649" s="25"/>
      <c r="M649" s="25"/>
      <c r="N649" s="25"/>
      <c r="O649" s="25"/>
      <c r="P649" s="25"/>
      <c r="Q649" s="25"/>
      <c r="R649" s="25"/>
      <c r="S649" s="25"/>
      <c r="T649" s="25"/>
      <c r="U649" s="25"/>
      <c r="V649" s="25"/>
      <c r="W649" s="25"/>
      <c r="X649" s="25"/>
      <c r="Y649" s="25"/>
      <c r="Z649" s="25"/>
      <c r="AA649" s="25"/>
      <c r="AB649" s="25"/>
      <c r="AC649" s="25"/>
      <c r="AD649" s="25"/>
    </row>
    <row r="650" spans="1:30" ht="15.75" customHeight="1">
      <c r="A650" s="25"/>
      <c r="B650" s="25"/>
      <c r="C650" s="25"/>
      <c r="D650" s="25"/>
      <c r="E650" s="25"/>
      <c r="F650" s="25"/>
      <c r="G650" s="25"/>
      <c r="H650" s="25"/>
      <c r="I650" s="40"/>
      <c r="J650" s="25"/>
      <c r="K650" s="25"/>
      <c r="L650" s="25"/>
      <c r="M650" s="25"/>
      <c r="N650" s="25"/>
      <c r="O650" s="25"/>
      <c r="P650" s="25"/>
      <c r="Q650" s="25"/>
      <c r="R650" s="25"/>
      <c r="S650" s="25"/>
      <c r="T650" s="25"/>
      <c r="U650" s="25"/>
      <c r="V650" s="25"/>
      <c r="W650" s="25"/>
      <c r="X650" s="25"/>
      <c r="Y650" s="25"/>
      <c r="Z650" s="25"/>
      <c r="AA650" s="25"/>
      <c r="AB650" s="25"/>
      <c r="AC650" s="25"/>
      <c r="AD650" s="25"/>
    </row>
    <row r="651" spans="1:30" ht="15.75" customHeight="1">
      <c r="A651" s="25"/>
      <c r="B651" s="25"/>
      <c r="C651" s="25"/>
      <c r="D651" s="25"/>
      <c r="E651" s="25"/>
      <c r="F651" s="25"/>
      <c r="G651" s="25"/>
      <c r="H651" s="25"/>
      <c r="I651" s="40"/>
      <c r="J651" s="25"/>
      <c r="K651" s="25"/>
      <c r="L651" s="25"/>
      <c r="M651" s="25"/>
      <c r="N651" s="25"/>
      <c r="O651" s="25"/>
      <c r="P651" s="25"/>
      <c r="Q651" s="25"/>
      <c r="R651" s="25"/>
      <c r="S651" s="25"/>
      <c r="T651" s="25"/>
      <c r="U651" s="25"/>
      <c r="V651" s="25"/>
      <c r="W651" s="25"/>
      <c r="X651" s="25"/>
      <c r="Y651" s="25"/>
      <c r="Z651" s="25"/>
      <c r="AA651" s="25"/>
      <c r="AB651" s="25"/>
      <c r="AC651" s="25"/>
      <c r="AD651" s="25"/>
    </row>
    <row r="652" spans="1:30" ht="15.75" customHeight="1">
      <c r="A652" s="25"/>
      <c r="B652" s="25"/>
      <c r="C652" s="25"/>
      <c r="D652" s="25"/>
      <c r="E652" s="25"/>
      <c r="F652" s="25"/>
      <c r="G652" s="25"/>
      <c r="H652" s="25"/>
      <c r="I652" s="40"/>
      <c r="J652" s="25"/>
      <c r="K652" s="25"/>
      <c r="L652" s="25"/>
      <c r="M652" s="25"/>
      <c r="N652" s="25"/>
      <c r="O652" s="25"/>
      <c r="P652" s="25"/>
      <c r="Q652" s="25"/>
      <c r="R652" s="25"/>
      <c r="S652" s="25"/>
      <c r="T652" s="25"/>
      <c r="U652" s="25"/>
      <c r="V652" s="25"/>
      <c r="W652" s="25"/>
      <c r="X652" s="25"/>
      <c r="Y652" s="25"/>
      <c r="Z652" s="25"/>
      <c r="AA652" s="25"/>
      <c r="AB652" s="25"/>
      <c r="AC652" s="25"/>
      <c r="AD652" s="25"/>
    </row>
    <row r="653" spans="1:30" ht="15.75" customHeight="1">
      <c r="A653" s="25"/>
      <c r="B653" s="25"/>
      <c r="C653" s="25"/>
      <c r="D653" s="25"/>
      <c r="E653" s="25"/>
      <c r="F653" s="25"/>
      <c r="G653" s="25"/>
      <c r="H653" s="25"/>
      <c r="I653" s="40"/>
      <c r="J653" s="25"/>
      <c r="K653" s="25"/>
      <c r="L653" s="25"/>
      <c r="M653" s="25"/>
      <c r="N653" s="25"/>
      <c r="O653" s="25"/>
      <c r="P653" s="25"/>
      <c r="Q653" s="25"/>
      <c r="R653" s="25"/>
      <c r="S653" s="25"/>
      <c r="T653" s="25"/>
      <c r="U653" s="25"/>
      <c r="V653" s="25"/>
      <c r="W653" s="25"/>
      <c r="X653" s="25"/>
      <c r="Y653" s="25"/>
      <c r="Z653" s="25"/>
      <c r="AA653" s="25"/>
      <c r="AB653" s="25"/>
      <c r="AC653" s="25"/>
      <c r="AD653" s="25"/>
    </row>
    <row r="654" spans="1:30" ht="15.75" customHeight="1">
      <c r="A654" s="25"/>
      <c r="B654" s="25"/>
      <c r="C654" s="25"/>
      <c r="D654" s="25"/>
      <c r="E654" s="25"/>
      <c r="F654" s="25"/>
      <c r="G654" s="25"/>
      <c r="H654" s="25"/>
      <c r="I654" s="40"/>
      <c r="J654" s="25"/>
      <c r="K654" s="25"/>
      <c r="L654" s="25"/>
      <c r="M654" s="25"/>
      <c r="N654" s="25"/>
      <c r="O654" s="25"/>
      <c r="P654" s="25"/>
      <c r="Q654" s="25"/>
      <c r="R654" s="25"/>
      <c r="S654" s="25"/>
      <c r="T654" s="25"/>
      <c r="U654" s="25"/>
      <c r="V654" s="25"/>
      <c r="W654" s="25"/>
      <c r="X654" s="25"/>
      <c r="Y654" s="25"/>
      <c r="Z654" s="25"/>
      <c r="AA654" s="25"/>
      <c r="AB654" s="25"/>
      <c r="AC654" s="25"/>
      <c r="AD654" s="25"/>
    </row>
    <row r="655" spans="1:30" ht="15.75" customHeight="1">
      <c r="A655" s="25"/>
      <c r="B655" s="25"/>
      <c r="C655" s="25"/>
      <c r="D655" s="25"/>
      <c r="E655" s="25"/>
      <c r="F655" s="25"/>
      <c r="G655" s="25"/>
      <c r="H655" s="25"/>
      <c r="I655" s="40"/>
      <c r="J655" s="25"/>
      <c r="K655" s="25"/>
      <c r="L655" s="25"/>
      <c r="M655" s="25"/>
      <c r="N655" s="25"/>
      <c r="O655" s="25"/>
      <c r="P655" s="25"/>
      <c r="Q655" s="25"/>
      <c r="R655" s="25"/>
      <c r="S655" s="25"/>
      <c r="T655" s="25"/>
      <c r="U655" s="25"/>
      <c r="V655" s="25"/>
      <c r="W655" s="25"/>
      <c r="X655" s="25"/>
      <c r="Y655" s="25"/>
      <c r="Z655" s="25"/>
      <c r="AA655" s="25"/>
      <c r="AB655" s="25"/>
      <c r="AC655" s="25"/>
      <c r="AD655" s="25"/>
    </row>
    <row r="656" spans="1:30" ht="15.75" customHeight="1">
      <c r="A656" s="25"/>
      <c r="B656" s="25"/>
      <c r="C656" s="25"/>
      <c r="D656" s="25"/>
      <c r="E656" s="25"/>
      <c r="F656" s="25"/>
      <c r="G656" s="25"/>
      <c r="H656" s="25"/>
      <c r="I656" s="40"/>
      <c r="J656" s="25"/>
      <c r="K656" s="25"/>
      <c r="L656" s="25"/>
      <c r="M656" s="25"/>
      <c r="N656" s="25"/>
      <c r="O656" s="25"/>
      <c r="P656" s="25"/>
      <c r="Q656" s="25"/>
      <c r="R656" s="25"/>
      <c r="S656" s="25"/>
      <c r="T656" s="25"/>
      <c r="U656" s="25"/>
      <c r="V656" s="25"/>
      <c r="W656" s="25"/>
      <c r="X656" s="25"/>
      <c r="Y656" s="25"/>
      <c r="Z656" s="25"/>
      <c r="AA656" s="25"/>
      <c r="AB656" s="25"/>
      <c r="AC656" s="25"/>
      <c r="AD656" s="25"/>
    </row>
    <row r="657" spans="1:30" ht="15.75" customHeight="1">
      <c r="A657" s="25"/>
      <c r="B657" s="25"/>
      <c r="C657" s="25"/>
      <c r="D657" s="25"/>
      <c r="E657" s="25"/>
      <c r="F657" s="25"/>
      <c r="G657" s="25"/>
      <c r="H657" s="25"/>
      <c r="I657" s="40"/>
      <c r="J657" s="25"/>
      <c r="K657" s="25"/>
      <c r="L657" s="25"/>
      <c r="M657" s="25"/>
      <c r="N657" s="25"/>
      <c r="O657" s="25"/>
      <c r="P657" s="25"/>
      <c r="Q657" s="25"/>
      <c r="R657" s="25"/>
      <c r="S657" s="25"/>
      <c r="T657" s="25"/>
      <c r="U657" s="25"/>
      <c r="V657" s="25"/>
      <c r="W657" s="25"/>
      <c r="X657" s="25"/>
      <c r="Y657" s="25"/>
      <c r="Z657" s="25"/>
      <c r="AA657" s="25"/>
      <c r="AB657" s="25"/>
      <c r="AC657" s="25"/>
      <c r="AD657" s="25"/>
    </row>
    <row r="658" spans="1:30" ht="15.75" customHeight="1">
      <c r="A658" s="25"/>
      <c r="B658" s="25"/>
      <c r="C658" s="25"/>
      <c r="D658" s="25"/>
      <c r="E658" s="25"/>
      <c r="F658" s="25"/>
      <c r="G658" s="25"/>
      <c r="H658" s="25"/>
      <c r="I658" s="40"/>
      <c r="J658" s="25"/>
      <c r="K658" s="25"/>
      <c r="L658" s="25"/>
      <c r="M658" s="25"/>
      <c r="N658" s="25"/>
      <c r="O658" s="25"/>
      <c r="P658" s="25"/>
      <c r="Q658" s="25"/>
      <c r="R658" s="25"/>
      <c r="S658" s="25"/>
      <c r="T658" s="25"/>
      <c r="U658" s="25"/>
      <c r="V658" s="25"/>
      <c r="W658" s="25"/>
      <c r="X658" s="25"/>
      <c r="Y658" s="25"/>
      <c r="Z658" s="25"/>
      <c r="AA658" s="25"/>
      <c r="AB658" s="25"/>
      <c r="AC658" s="25"/>
      <c r="AD658" s="25"/>
    </row>
    <row r="659" spans="1:30" ht="15.75" customHeight="1">
      <c r="A659" s="25"/>
      <c r="B659" s="25"/>
      <c r="C659" s="25"/>
      <c r="D659" s="25"/>
      <c r="E659" s="25"/>
      <c r="F659" s="25"/>
      <c r="G659" s="25"/>
      <c r="H659" s="25"/>
      <c r="I659" s="40"/>
      <c r="J659" s="25"/>
      <c r="K659" s="25"/>
      <c r="L659" s="25"/>
      <c r="M659" s="25"/>
      <c r="N659" s="25"/>
      <c r="O659" s="25"/>
      <c r="P659" s="25"/>
      <c r="Q659" s="25"/>
      <c r="R659" s="25"/>
      <c r="S659" s="25"/>
      <c r="T659" s="25"/>
      <c r="U659" s="25"/>
      <c r="V659" s="25"/>
      <c r="W659" s="25"/>
      <c r="X659" s="25"/>
      <c r="Y659" s="25"/>
      <c r="Z659" s="25"/>
      <c r="AA659" s="25"/>
      <c r="AB659" s="25"/>
      <c r="AC659" s="25"/>
      <c r="AD659" s="25"/>
    </row>
    <row r="660" spans="1:30" ht="15.75" customHeight="1">
      <c r="A660" s="25"/>
      <c r="B660" s="25"/>
      <c r="C660" s="25"/>
      <c r="D660" s="25"/>
      <c r="E660" s="25"/>
      <c r="F660" s="25"/>
      <c r="G660" s="25"/>
      <c r="H660" s="25"/>
      <c r="I660" s="40"/>
      <c r="J660" s="25"/>
      <c r="K660" s="25"/>
      <c r="L660" s="25"/>
      <c r="M660" s="25"/>
      <c r="N660" s="25"/>
      <c r="O660" s="25"/>
      <c r="P660" s="25"/>
      <c r="Q660" s="25"/>
      <c r="R660" s="25"/>
      <c r="S660" s="25"/>
      <c r="T660" s="25"/>
      <c r="U660" s="25"/>
      <c r="V660" s="25"/>
      <c r="W660" s="25"/>
      <c r="X660" s="25"/>
      <c r="Y660" s="25"/>
      <c r="Z660" s="25"/>
      <c r="AA660" s="25"/>
      <c r="AB660" s="25"/>
      <c r="AC660" s="25"/>
      <c r="AD660" s="25"/>
    </row>
    <row r="661" spans="1:30" ht="15.75" customHeight="1">
      <c r="A661" s="25"/>
      <c r="B661" s="25"/>
      <c r="C661" s="25"/>
      <c r="D661" s="25"/>
      <c r="E661" s="25"/>
      <c r="F661" s="25"/>
      <c r="G661" s="25"/>
      <c r="H661" s="25"/>
      <c r="I661" s="40"/>
      <c r="J661" s="25"/>
      <c r="K661" s="25"/>
      <c r="L661" s="25"/>
      <c r="M661" s="25"/>
      <c r="N661" s="25"/>
      <c r="O661" s="25"/>
      <c r="P661" s="25"/>
      <c r="Q661" s="25"/>
      <c r="R661" s="25"/>
      <c r="S661" s="25"/>
      <c r="T661" s="25"/>
      <c r="U661" s="25"/>
      <c r="V661" s="25"/>
      <c r="W661" s="25"/>
      <c r="X661" s="25"/>
      <c r="Y661" s="25"/>
      <c r="Z661" s="25"/>
      <c r="AA661" s="25"/>
      <c r="AB661" s="25"/>
      <c r="AC661" s="25"/>
      <c r="AD661" s="25"/>
    </row>
    <row r="662" spans="1:30" ht="15.75" customHeight="1">
      <c r="A662" s="25"/>
      <c r="B662" s="25"/>
      <c r="C662" s="25"/>
      <c r="D662" s="25"/>
      <c r="E662" s="25"/>
      <c r="F662" s="25"/>
      <c r="G662" s="25"/>
      <c r="H662" s="25"/>
      <c r="I662" s="40"/>
      <c r="J662" s="25"/>
      <c r="K662" s="25"/>
      <c r="L662" s="25"/>
      <c r="M662" s="25"/>
      <c r="N662" s="25"/>
      <c r="O662" s="25"/>
      <c r="P662" s="25"/>
      <c r="Q662" s="25"/>
      <c r="R662" s="25"/>
      <c r="S662" s="25"/>
      <c r="T662" s="25"/>
      <c r="U662" s="25"/>
      <c r="V662" s="25"/>
      <c r="W662" s="25"/>
      <c r="X662" s="25"/>
      <c r="Y662" s="25"/>
      <c r="Z662" s="25"/>
      <c r="AA662" s="25"/>
      <c r="AB662" s="25"/>
      <c r="AC662" s="25"/>
      <c r="AD662" s="25"/>
    </row>
    <row r="663" spans="1:30" ht="15.75" customHeight="1">
      <c r="A663" s="25"/>
      <c r="B663" s="25"/>
      <c r="C663" s="25"/>
      <c r="D663" s="25"/>
      <c r="E663" s="25"/>
      <c r="F663" s="25"/>
      <c r="G663" s="25"/>
      <c r="H663" s="25"/>
      <c r="I663" s="40"/>
      <c r="J663" s="25"/>
      <c r="K663" s="25"/>
      <c r="L663" s="25"/>
      <c r="M663" s="25"/>
      <c r="N663" s="25"/>
      <c r="O663" s="25"/>
      <c r="P663" s="25"/>
      <c r="Q663" s="25"/>
      <c r="R663" s="25"/>
      <c r="S663" s="25"/>
      <c r="T663" s="25"/>
      <c r="U663" s="25"/>
      <c r="V663" s="25"/>
      <c r="W663" s="25"/>
      <c r="X663" s="25"/>
      <c r="Y663" s="25"/>
      <c r="Z663" s="25"/>
      <c r="AA663" s="25"/>
      <c r="AB663" s="25"/>
      <c r="AC663" s="25"/>
      <c r="AD663" s="25"/>
    </row>
    <row r="664" spans="1:30" ht="15.75" customHeight="1">
      <c r="A664" s="25"/>
      <c r="B664" s="25"/>
      <c r="C664" s="25"/>
      <c r="D664" s="25"/>
      <c r="E664" s="25"/>
      <c r="F664" s="25"/>
      <c r="G664" s="25"/>
      <c r="H664" s="25"/>
      <c r="I664" s="40"/>
      <c r="J664" s="25"/>
      <c r="K664" s="25"/>
      <c r="L664" s="25"/>
      <c r="M664" s="25"/>
      <c r="N664" s="25"/>
      <c r="O664" s="25"/>
      <c r="P664" s="25"/>
      <c r="Q664" s="25"/>
      <c r="R664" s="25"/>
      <c r="S664" s="25"/>
      <c r="T664" s="25"/>
      <c r="U664" s="25"/>
      <c r="V664" s="25"/>
      <c r="W664" s="25"/>
      <c r="X664" s="25"/>
      <c r="Y664" s="25"/>
      <c r="Z664" s="25"/>
      <c r="AA664" s="25"/>
      <c r="AB664" s="25"/>
      <c r="AC664" s="25"/>
      <c r="AD664" s="25"/>
    </row>
    <row r="665" spans="1:30" ht="15.75" customHeight="1">
      <c r="A665" s="25"/>
      <c r="B665" s="25"/>
      <c r="C665" s="25"/>
      <c r="D665" s="25"/>
      <c r="E665" s="25"/>
      <c r="F665" s="25"/>
      <c r="G665" s="25"/>
      <c r="H665" s="25"/>
      <c r="I665" s="40"/>
      <c r="J665" s="25"/>
      <c r="K665" s="25"/>
      <c r="L665" s="25"/>
      <c r="M665" s="25"/>
      <c r="N665" s="25"/>
      <c r="O665" s="25"/>
      <c r="P665" s="25"/>
      <c r="Q665" s="25"/>
      <c r="R665" s="25"/>
      <c r="S665" s="25"/>
      <c r="T665" s="25"/>
      <c r="U665" s="25"/>
      <c r="V665" s="25"/>
      <c r="W665" s="25"/>
      <c r="X665" s="25"/>
      <c r="Y665" s="25"/>
      <c r="Z665" s="25"/>
      <c r="AA665" s="25"/>
      <c r="AB665" s="25"/>
      <c r="AC665" s="25"/>
      <c r="AD665" s="25"/>
    </row>
    <row r="666" spans="1:30" ht="15.75" customHeight="1">
      <c r="A666" s="25"/>
      <c r="B666" s="25"/>
      <c r="C666" s="25"/>
      <c r="D666" s="25"/>
      <c r="E666" s="25"/>
      <c r="F666" s="25"/>
      <c r="G666" s="25"/>
      <c r="H666" s="25"/>
      <c r="I666" s="40"/>
      <c r="J666" s="25"/>
      <c r="K666" s="25"/>
      <c r="L666" s="25"/>
      <c r="M666" s="25"/>
      <c r="N666" s="25"/>
      <c r="O666" s="25"/>
      <c r="P666" s="25"/>
      <c r="Q666" s="25"/>
      <c r="R666" s="25"/>
      <c r="S666" s="25"/>
      <c r="T666" s="25"/>
      <c r="U666" s="25"/>
      <c r="V666" s="25"/>
      <c r="W666" s="25"/>
      <c r="X666" s="25"/>
      <c r="Y666" s="25"/>
      <c r="Z666" s="25"/>
      <c r="AA666" s="25"/>
      <c r="AB666" s="25"/>
      <c r="AC666" s="25"/>
      <c r="AD666" s="25"/>
    </row>
    <row r="667" spans="1:30" ht="15.75" customHeight="1">
      <c r="A667" s="25"/>
      <c r="B667" s="25"/>
      <c r="C667" s="25"/>
      <c r="D667" s="25"/>
      <c r="E667" s="25"/>
      <c r="F667" s="25"/>
      <c r="G667" s="25"/>
      <c r="H667" s="25"/>
      <c r="I667" s="40"/>
      <c r="J667" s="25"/>
      <c r="K667" s="25"/>
      <c r="L667" s="25"/>
      <c r="M667" s="25"/>
      <c r="N667" s="25"/>
      <c r="O667" s="25"/>
      <c r="P667" s="25"/>
      <c r="Q667" s="25"/>
      <c r="R667" s="25"/>
      <c r="S667" s="25"/>
      <c r="T667" s="25"/>
      <c r="U667" s="25"/>
      <c r="V667" s="25"/>
      <c r="W667" s="25"/>
      <c r="X667" s="25"/>
      <c r="Y667" s="25"/>
      <c r="Z667" s="25"/>
      <c r="AA667" s="25"/>
      <c r="AB667" s="25"/>
      <c r="AC667" s="25"/>
      <c r="AD667" s="25"/>
    </row>
    <row r="668" spans="1:30" ht="15.75" customHeight="1">
      <c r="A668" s="25"/>
      <c r="B668" s="25"/>
      <c r="C668" s="25"/>
      <c r="D668" s="25"/>
      <c r="E668" s="25"/>
      <c r="F668" s="25"/>
      <c r="G668" s="25"/>
      <c r="H668" s="25"/>
      <c r="I668" s="40"/>
      <c r="J668" s="25"/>
      <c r="K668" s="25"/>
      <c r="L668" s="25"/>
      <c r="M668" s="25"/>
      <c r="N668" s="25"/>
      <c r="O668" s="25"/>
      <c r="P668" s="25"/>
      <c r="Q668" s="25"/>
      <c r="R668" s="25"/>
      <c r="S668" s="25"/>
      <c r="T668" s="25"/>
      <c r="U668" s="25"/>
      <c r="V668" s="25"/>
      <c r="W668" s="25"/>
      <c r="X668" s="25"/>
      <c r="Y668" s="25"/>
      <c r="Z668" s="25"/>
      <c r="AA668" s="25"/>
      <c r="AB668" s="25"/>
      <c r="AC668" s="25"/>
      <c r="AD668" s="25"/>
    </row>
    <row r="669" spans="1:30" ht="15.75" customHeight="1">
      <c r="A669" s="25"/>
      <c r="B669" s="25"/>
      <c r="C669" s="25"/>
      <c r="D669" s="25"/>
      <c r="E669" s="25"/>
      <c r="F669" s="25"/>
      <c r="G669" s="25"/>
      <c r="H669" s="25"/>
      <c r="I669" s="40"/>
      <c r="J669" s="25"/>
      <c r="K669" s="25"/>
      <c r="L669" s="25"/>
      <c r="M669" s="25"/>
      <c r="N669" s="25"/>
      <c r="O669" s="25"/>
      <c r="P669" s="25"/>
      <c r="Q669" s="25"/>
      <c r="R669" s="25"/>
      <c r="S669" s="25"/>
      <c r="T669" s="25"/>
      <c r="U669" s="25"/>
      <c r="V669" s="25"/>
      <c r="W669" s="25"/>
      <c r="X669" s="25"/>
      <c r="Y669" s="25"/>
      <c r="Z669" s="25"/>
      <c r="AA669" s="25"/>
      <c r="AB669" s="25"/>
      <c r="AC669" s="25"/>
      <c r="AD669" s="25"/>
    </row>
    <row r="670" spans="1:30" ht="15.75" customHeight="1">
      <c r="A670" s="25"/>
      <c r="B670" s="25"/>
      <c r="C670" s="25"/>
      <c r="D670" s="25"/>
      <c r="E670" s="25"/>
      <c r="F670" s="25"/>
      <c r="G670" s="25"/>
      <c r="H670" s="25"/>
      <c r="I670" s="40"/>
      <c r="J670" s="25"/>
      <c r="K670" s="25"/>
      <c r="L670" s="25"/>
      <c r="M670" s="25"/>
      <c r="N670" s="25"/>
      <c r="O670" s="25"/>
      <c r="P670" s="25"/>
      <c r="Q670" s="25"/>
      <c r="R670" s="25"/>
      <c r="S670" s="25"/>
      <c r="T670" s="25"/>
      <c r="U670" s="25"/>
      <c r="V670" s="25"/>
      <c r="W670" s="25"/>
      <c r="X670" s="25"/>
      <c r="Y670" s="25"/>
      <c r="Z670" s="25"/>
      <c r="AA670" s="25"/>
      <c r="AB670" s="25"/>
      <c r="AC670" s="25"/>
      <c r="AD670" s="25"/>
    </row>
    <row r="671" spans="1:30" ht="15.75" customHeight="1">
      <c r="A671" s="25"/>
      <c r="B671" s="25"/>
      <c r="C671" s="25"/>
      <c r="D671" s="25"/>
      <c r="E671" s="25"/>
      <c r="F671" s="25"/>
      <c r="G671" s="25"/>
      <c r="H671" s="25"/>
      <c r="I671" s="40"/>
      <c r="J671" s="25"/>
      <c r="K671" s="25"/>
      <c r="L671" s="25"/>
      <c r="M671" s="25"/>
      <c r="N671" s="25"/>
      <c r="O671" s="25"/>
      <c r="P671" s="25"/>
      <c r="Q671" s="25"/>
      <c r="R671" s="25"/>
      <c r="S671" s="25"/>
      <c r="T671" s="25"/>
      <c r="U671" s="25"/>
      <c r="V671" s="25"/>
      <c r="W671" s="25"/>
      <c r="X671" s="25"/>
      <c r="Y671" s="25"/>
      <c r="Z671" s="25"/>
      <c r="AA671" s="25"/>
      <c r="AB671" s="25"/>
      <c r="AC671" s="25"/>
      <c r="AD671" s="25"/>
    </row>
    <row r="672" spans="1:30" ht="15.75" customHeight="1">
      <c r="A672" s="25"/>
      <c r="B672" s="25"/>
      <c r="C672" s="25"/>
      <c r="D672" s="25"/>
      <c r="E672" s="25"/>
      <c r="F672" s="25"/>
      <c r="G672" s="25"/>
      <c r="H672" s="25"/>
      <c r="I672" s="40"/>
      <c r="J672" s="25"/>
      <c r="K672" s="25"/>
      <c r="L672" s="25"/>
      <c r="M672" s="25"/>
      <c r="N672" s="25"/>
      <c r="O672" s="25"/>
      <c r="P672" s="25"/>
      <c r="Q672" s="25"/>
      <c r="R672" s="25"/>
      <c r="S672" s="25"/>
      <c r="T672" s="25"/>
      <c r="U672" s="25"/>
      <c r="V672" s="25"/>
      <c r="W672" s="25"/>
      <c r="X672" s="25"/>
      <c r="Y672" s="25"/>
      <c r="Z672" s="25"/>
      <c r="AA672" s="25"/>
      <c r="AB672" s="25"/>
      <c r="AC672" s="25"/>
      <c r="AD672" s="25"/>
    </row>
    <row r="673" spans="1:30" ht="15.75" customHeight="1">
      <c r="A673" s="25"/>
      <c r="B673" s="25"/>
      <c r="C673" s="25"/>
      <c r="D673" s="25"/>
      <c r="E673" s="25"/>
      <c r="F673" s="25"/>
      <c r="G673" s="25"/>
      <c r="H673" s="25"/>
      <c r="I673" s="40"/>
      <c r="J673" s="25"/>
      <c r="K673" s="25"/>
      <c r="L673" s="25"/>
      <c r="M673" s="25"/>
      <c r="N673" s="25"/>
      <c r="O673" s="25"/>
      <c r="P673" s="25"/>
      <c r="Q673" s="25"/>
      <c r="R673" s="25"/>
      <c r="S673" s="25"/>
      <c r="T673" s="25"/>
      <c r="U673" s="25"/>
      <c r="V673" s="25"/>
      <c r="W673" s="25"/>
      <c r="X673" s="25"/>
      <c r="Y673" s="25"/>
      <c r="Z673" s="25"/>
      <c r="AA673" s="25"/>
      <c r="AB673" s="25"/>
      <c r="AC673" s="25"/>
      <c r="AD673" s="25"/>
    </row>
    <row r="674" spans="1:30" ht="15.75" customHeight="1">
      <c r="A674" s="25"/>
      <c r="B674" s="25"/>
      <c r="C674" s="25"/>
      <c r="D674" s="25"/>
      <c r="E674" s="25"/>
      <c r="F674" s="25"/>
      <c r="G674" s="25"/>
      <c r="H674" s="25"/>
      <c r="I674" s="40"/>
      <c r="J674" s="25"/>
      <c r="K674" s="25"/>
      <c r="L674" s="25"/>
      <c r="M674" s="25"/>
      <c r="N674" s="25"/>
      <c r="O674" s="25"/>
      <c r="P674" s="25"/>
      <c r="Q674" s="25"/>
      <c r="R674" s="25"/>
      <c r="S674" s="25"/>
      <c r="T674" s="25"/>
      <c r="U674" s="25"/>
      <c r="V674" s="25"/>
      <c r="W674" s="25"/>
      <c r="X674" s="25"/>
      <c r="Y674" s="25"/>
      <c r="Z674" s="25"/>
      <c r="AA674" s="25"/>
      <c r="AB674" s="25"/>
      <c r="AC674" s="25"/>
      <c r="AD674" s="25"/>
    </row>
    <row r="675" spans="1:30" ht="15.75" customHeight="1">
      <c r="A675" s="25"/>
      <c r="B675" s="25"/>
      <c r="C675" s="25"/>
      <c r="D675" s="25"/>
      <c r="E675" s="25"/>
      <c r="F675" s="25"/>
      <c r="G675" s="25"/>
      <c r="H675" s="25"/>
      <c r="I675" s="40"/>
      <c r="J675" s="25"/>
      <c r="K675" s="25"/>
      <c r="L675" s="25"/>
      <c r="M675" s="25"/>
      <c r="N675" s="25"/>
      <c r="O675" s="25"/>
      <c r="P675" s="25"/>
      <c r="Q675" s="25"/>
      <c r="R675" s="25"/>
      <c r="S675" s="25"/>
      <c r="T675" s="25"/>
      <c r="U675" s="25"/>
      <c r="V675" s="25"/>
      <c r="W675" s="25"/>
      <c r="X675" s="25"/>
      <c r="Y675" s="25"/>
      <c r="Z675" s="25"/>
      <c r="AA675" s="25"/>
      <c r="AB675" s="25"/>
      <c r="AC675" s="25"/>
      <c r="AD675" s="25"/>
    </row>
    <row r="676" spans="1:30" ht="15.75" customHeight="1">
      <c r="A676" s="25"/>
      <c r="B676" s="25"/>
      <c r="C676" s="25"/>
      <c r="D676" s="25"/>
      <c r="E676" s="25"/>
      <c r="F676" s="25"/>
      <c r="G676" s="25"/>
      <c r="H676" s="25"/>
      <c r="I676" s="40"/>
      <c r="J676" s="25"/>
      <c r="K676" s="25"/>
      <c r="L676" s="25"/>
      <c r="M676" s="25"/>
      <c r="N676" s="25"/>
      <c r="O676" s="25"/>
      <c r="P676" s="25"/>
      <c r="Q676" s="25"/>
      <c r="R676" s="25"/>
      <c r="S676" s="25"/>
      <c r="T676" s="25"/>
      <c r="U676" s="25"/>
      <c r="V676" s="25"/>
      <c r="W676" s="25"/>
      <c r="X676" s="25"/>
      <c r="Y676" s="25"/>
      <c r="Z676" s="25"/>
      <c r="AA676" s="25"/>
      <c r="AB676" s="25"/>
      <c r="AC676" s="25"/>
      <c r="AD676" s="25"/>
    </row>
    <row r="677" spans="1:30" ht="15.75" customHeight="1">
      <c r="A677" s="25"/>
      <c r="B677" s="25"/>
      <c r="C677" s="25"/>
      <c r="D677" s="25"/>
      <c r="E677" s="25"/>
      <c r="F677" s="25"/>
      <c r="G677" s="25"/>
      <c r="H677" s="25"/>
      <c r="I677" s="40"/>
      <c r="J677" s="25"/>
      <c r="K677" s="25"/>
      <c r="L677" s="25"/>
      <c r="M677" s="25"/>
      <c r="N677" s="25"/>
      <c r="O677" s="25"/>
      <c r="P677" s="25"/>
      <c r="Q677" s="25"/>
      <c r="R677" s="25"/>
      <c r="S677" s="25"/>
      <c r="T677" s="25"/>
      <c r="U677" s="25"/>
      <c r="V677" s="25"/>
      <c r="W677" s="25"/>
      <c r="X677" s="25"/>
      <c r="Y677" s="25"/>
      <c r="Z677" s="25"/>
      <c r="AA677" s="25"/>
      <c r="AB677" s="25"/>
      <c r="AC677" s="25"/>
      <c r="AD677" s="25"/>
    </row>
    <row r="678" spans="1:30" ht="15.75" customHeight="1">
      <c r="A678" s="25"/>
      <c r="B678" s="25"/>
      <c r="C678" s="25"/>
      <c r="D678" s="25"/>
      <c r="E678" s="25"/>
      <c r="F678" s="25"/>
      <c r="G678" s="25"/>
      <c r="H678" s="25"/>
      <c r="I678" s="40"/>
      <c r="J678" s="25"/>
      <c r="K678" s="25"/>
      <c r="L678" s="25"/>
      <c r="M678" s="25"/>
      <c r="N678" s="25"/>
      <c r="O678" s="25"/>
      <c r="P678" s="25"/>
      <c r="Q678" s="25"/>
      <c r="R678" s="25"/>
      <c r="S678" s="25"/>
      <c r="T678" s="25"/>
      <c r="U678" s="25"/>
      <c r="V678" s="25"/>
      <c r="W678" s="25"/>
      <c r="X678" s="25"/>
      <c r="Y678" s="25"/>
      <c r="Z678" s="25"/>
      <c r="AA678" s="25"/>
      <c r="AB678" s="25"/>
      <c r="AC678" s="25"/>
      <c r="AD678" s="25"/>
    </row>
    <row r="679" spans="1:30" ht="15.75" customHeight="1">
      <c r="A679" s="25"/>
      <c r="B679" s="25"/>
      <c r="C679" s="25"/>
      <c r="D679" s="25"/>
      <c r="E679" s="25"/>
      <c r="F679" s="25"/>
      <c r="G679" s="25"/>
      <c r="H679" s="25"/>
      <c r="I679" s="40"/>
      <c r="J679" s="25"/>
      <c r="K679" s="25"/>
      <c r="L679" s="25"/>
      <c r="M679" s="25"/>
      <c r="N679" s="25"/>
      <c r="O679" s="25"/>
      <c r="P679" s="25"/>
      <c r="Q679" s="25"/>
      <c r="R679" s="25"/>
      <c r="S679" s="25"/>
      <c r="T679" s="25"/>
      <c r="U679" s="25"/>
      <c r="V679" s="25"/>
      <c r="W679" s="25"/>
      <c r="X679" s="25"/>
      <c r="Y679" s="25"/>
      <c r="Z679" s="25"/>
      <c r="AA679" s="25"/>
      <c r="AB679" s="25"/>
      <c r="AC679" s="25"/>
      <c r="AD679" s="25"/>
    </row>
    <row r="680" spans="1:30" ht="15.75" customHeight="1">
      <c r="A680" s="25"/>
      <c r="B680" s="25"/>
      <c r="C680" s="25"/>
      <c r="D680" s="25"/>
      <c r="E680" s="25"/>
      <c r="F680" s="25"/>
      <c r="G680" s="25"/>
      <c r="H680" s="25"/>
      <c r="I680" s="40"/>
      <c r="J680" s="25"/>
      <c r="K680" s="25"/>
      <c r="L680" s="25"/>
      <c r="M680" s="25"/>
      <c r="N680" s="25"/>
      <c r="O680" s="25"/>
      <c r="P680" s="25"/>
      <c r="Q680" s="25"/>
      <c r="R680" s="25"/>
      <c r="S680" s="25"/>
      <c r="T680" s="25"/>
      <c r="U680" s="25"/>
      <c r="V680" s="25"/>
      <c r="W680" s="25"/>
      <c r="X680" s="25"/>
      <c r="Y680" s="25"/>
      <c r="Z680" s="25"/>
      <c r="AA680" s="25"/>
      <c r="AB680" s="25"/>
      <c r="AC680" s="25"/>
      <c r="AD680" s="25"/>
    </row>
    <row r="681" spans="1:30" ht="15.75" customHeight="1">
      <c r="A681" s="25"/>
      <c r="B681" s="25"/>
      <c r="C681" s="25"/>
      <c r="D681" s="25"/>
      <c r="E681" s="25"/>
      <c r="F681" s="25"/>
      <c r="G681" s="25"/>
      <c r="H681" s="25"/>
      <c r="I681" s="40"/>
      <c r="J681" s="25"/>
      <c r="K681" s="25"/>
      <c r="L681" s="25"/>
      <c r="M681" s="25"/>
      <c r="N681" s="25"/>
      <c r="O681" s="25"/>
      <c r="P681" s="25"/>
      <c r="Q681" s="25"/>
      <c r="R681" s="25"/>
      <c r="S681" s="25"/>
      <c r="T681" s="25"/>
      <c r="U681" s="25"/>
      <c r="V681" s="25"/>
      <c r="W681" s="25"/>
      <c r="X681" s="25"/>
      <c r="Y681" s="25"/>
      <c r="Z681" s="25"/>
      <c r="AA681" s="25"/>
      <c r="AB681" s="25"/>
      <c r="AC681" s="25"/>
      <c r="AD681" s="25"/>
    </row>
    <row r="682" spans="1:30" ht="15.75" customHeight="1">
      <c r="A682" s="25"/>
      <c r="B682" s="25"/>
      <c r="C682" s="25"/>
      <c r="D682" s="25"/>
      <c r="E682" s="25"/>
      <c r="F682" s="25"/>
      <c r="G682" s="25"/>
      <c r="H682" s="25"/>
      <c r="I682" s="40"/>
      <c r="J682" s="25"/>
      <c r="K682" s="25"/>
      <c r="L682" s="25"/>
      <c r="M682" s="25"/>
      <c r="N682" s="25"/>
      <c r="O682" s="25"/>
      <c r="P682" s="25"/>
      <c r="Q682" s="25"/>
      <c r="R682" s="25"/>
      <c r="S682" s="25"/>
      <c r="T682" s="25"/>
      <c r="U682" s="25"/>
      <c r="V682" s="25"/>
      <c r="W682" s="25"/>
      <c r="X682" s="25"/>
      <c r="Y682" s="25"/>
      <c r="Z682" s="25"/>
      <c r="AA682" s="25"/>
      <c r="AB682" s="25"/>
      <c r="AC682" s="25"/>
      <c r="AD682" s="25"/>
    </row>
    <row r="683" spans="1:30" ht="15.75" customHeight="1">
      <c r="A683" s="25"/>
      <c r="B683" s="25"/>
      <c r="C683" s="25"/>
      <c r="D683" s="25"/>
      <c r="E683" s="25"/>
      <c r="F683" s="25"/>
      <c r="G683" s="25"/>
      <c r="H683" s="25"/>
      <c r="I683" s="40"/>
      <c r="J683" s="25"/>
      <c r="K683" s="25"/>
      <c r="L683" s="25"/>
      <c r="M683" s="25"/>
      <c r="N683" s="25"/>
      <c r="O683" s="25"/>
      <c r="P683" s="25"/>
      <c r="Q683" s="25"/>
      <c r="R683" s="25"/>
      <c r="S683" s="25"/>
      <c r="T683" s="25"/>
      <c r="U683" s="25"/>
      <c r="V683" s="25"/>
      <c r="W683" s="25"/>
      <c r="X683" s="25"/>
      <c r="Y683" s="25"/>
      <c r="Z683" s="25"/>
      <c r="AA683" s="25"/>
      <c r="AB683" s="25"/>
      <c r="AC683" s="25"/>
      <c r="AD683" s="25"/>
    </row>
    <row r="684" spans="1:30" ht="15.75" customHeight="1">
      <c r="A684" s="25"/>
      <c r="B684" s="25"/>
      <c r="C684" s="25"/>
      <c r="D684" s="25"/>
      <c r="E684" s="25"/>
      <c r="F684" s="25"/>
      <c r="G684" s="25"/>
      <c r="H684" s="25"/>
      <c r="I684" s="40"/>
      <c r="J684" s="25"/>
      <c r="K684" s="25"/>
      <c r="L684" s="25"/>
      <c r="M684" s="25"/>
      <c r="N684" s="25"/>
      <c r="O684" s="25"/>
      <c r="P684" s="25"/>
      <c r="Q684" s="25"/>
      <c r="R684" s="25"/>
      <c r="S684" s="25"/>
      <c r="T684" s="25"/>
      <c r="U684" s="25"/>
      <c r="V684" s="25"/>
      <c r="W684" s="25"/>
      <c r="X684" s="25"/>
      <c r="Y684" s="25"/>
      <c r="Z684" s="25"/>
      <c r="AA684" s="25"/>
      <c r="AB684" s="25"/>
      <c r="AC684" s="25"/>
      <c r="AD684" s="25"/>
    </row>
    <row r="685" spans="1:30" ht="15.75" customHeight="1">
      <c r="A685" s="25"/>
      <c r="B685" s="25"/>
      <c r="C685" s="25"/>
      <c r="D685" s="25"/>
      <c r="E685" s="25"/>
      <c r="F685" s="25"/>
      <c r="G685" s="25"/>
      <c r="H685" s="25"/>
      <c r="I685" s="40"/>
      <c r="J685" s="25"/>
      <c r="K685" s="25"/>
      <c r="L685" s="25"/>
      <c r="M685" s="25"/>
      <c r="N685" s="25"/>
      <c r="O685" s="25"/>
      <c r="P685" s="25"/>
      <c r="Q685" s="25"/>
      <c r="R685" s="25"/>
      <c r="S685" s="25"/>
      <c r="T685" s="25"/>
      <c r="U685" s="25"/>
      <c r="V685" s="25"/>
      <c r="W685" s="25"/>
      <c r="X685" s="25"/>
      <c r="Y685" s="25"/>
      <c r="Z685" s="25"/>
      <c r="AA685" s="25"/>
      <c r="AB685" s="25"/>
      <c r="AC685" s="25"/>
      <c r="AD685" s="25"/>
    </row>
    <row r="686" spans="1:30" ht="15.75" customHeight="1">
      <c r="A686" s="25"/>
      <c r="B686" s="25"/>
      <c r="C686" s="25"/>
      <c r="D686" s="25"/>
      <c r="E686" s="25"/>
      <c r="F686" s="25"/>
      <c r="G686" s="25"/>
      <c r="H686" s="25"/>
      <c r="I686" s="40"/>
      <c r="J686" s="25"/>
      <c r="K686" s="25"/>
      <c r="L686" s="25"/>
      <c r="M686" s="25"/>
      <c r="N686" s="25"/>
      <c r="O686" s="25"/>
      <c r="P686" s="25"/>
      <c r="Q686" s="25"/>
      <c r="R686" s="25"/>
      <c r="S686" s="25"/>
      <c r="T686" s="25"/>
      <c r="U686" s="25"/>
      <c r="V686" s="25"/>
      <c r="W686" s="25"/>
      <c r="X686" s="25"/>
      <c r="Y686" s="25"/>
      <c r="Z686" s="25"/>
      <c r="AA686" s="25"/>
      <c r="AB686" s="25"/>
      <c r="AC686" s="25"/>
      <c r="AD686" s="25"/>
    </row>
    <row r="687" spans="1:30" ht="15.75" customHeight="1">
      <c r="A687" s="25"/>
      <c r="B687" s="25"/>
      <c r="C687" s="25"/>
      <c r="D687" s="25"/>
      <c r="E687" s="25"/>
      <c r="F687" s="25"/>
      <c r="G687" s="25"/>
      <c r="H687" s="25"/>
      <c r="I687" s="40"/>
      <c r="J687" s="25"/>
      <c r="K687" s="25"/>
      <c r="L687" s="25"/>
      <c r="M687" s="25"/>
      <c r="N687" s="25"/>
      <c r="O687" s="25"/>
      <c r="P687" s="25"/>
      <c r="Q687" s="25"/>
      <c r="R687" s="25"/>
      <c r="S687" s="25"/>
      <c r="T687" s="25"/>
      <c r="U687" s="25"/>
      <c r="V687" s="25"/>
      <c r="W687" s="25"/>
      <c r="X687" s="25"/>
      <c r="Y687" s="25"/>
      <c r="Z687" s="25"/>
      <c r="AA687" s="25"/>
      <c r="AB687" s="25"/>
      <c r="AC687" s="25"/>
      <c r="AD687" s="25"/>
    </row>
    <row r="688" spans="1:30" ht="15.75" customHeight="1">
      <c r="A688" s="25"/>
      <c r="B688" s="25"/>
      <c r="C688" s="25"/>
      <c r="D688" s="25"/>
      <c r="E688" s="25"/>
      <c r="F688" s="25"/>
      <c r="G688" s="25"/>
      <c r="H688" s="25"/>
      <c r="I688" s="40"/>
      <c r="J688" s="25"/>
      <c r="K688" s="25"/>
      <c r="L688" s="25"/>
      <c r="M688" s="25"/>
      <c r="N688" s="25"/>
      <c r="O688" s="25"/>
      <c r="P688" s="25"/>
      <c r="Q688" s="25"/>
      <c r="R688" s="25"/>
      <c r="S688" s="25"/>
      <c r="T688" s="25"/>
      <c r="U688" s="25"/>
      <c r="V688" s="25"/>
      <c r="W688" s="25"/>
      <c r="X688" s="25"/>
      <c r="Y688" s="25"/>
      <c r="Z688" s="25"/>
      <c r="AA688" s="25"/>
      <c r="AB688" s="25"/>
      <c r="AC688" s="25"/>
      <c r="AD688" s="25"/>
    </row>
    <row r="689" spans="1:30" ht="15.75" customHeight="1">
      <c r="A689" s="25"/>
      <c r="B689" s="25"/>
      <c r="C689" s="25"/>
      <c r="D689" s="25"/>
      <c r="E689" s="25"/>
      <c r="F689" s="25"/>
      <c r="G689" s="25"/>
      <c r="H689" s="25"/>
      <c r="I689" s="40"/>
      <c r="J689" s="25"/>
      <c r="K689" s="25"/>
      <c r="L689" s="25"/>
      <c r="M689" s="25"/>
      <c r="N689" s="25"/>
      <c r="O689" s="25"/>
      <c r="P689" s="25"/>
      <c r="Q689" s="25"/>
      <c r="R689" s="25"/>
      <c r="S689" s="25"/>
      <c r="T689" s="25"/>
      <c r="U689" s="25"/>
      <c r="V689" s="25"/>
      <c r="W689" s="25"/>
      <c r="X689" s="25"/>
      <c r="Y689" s="25"/>
      <c r="Z689" s="25"/>
      <c r="AA689" s="25"/>
      <c r="AB689" s="25"/>
      <c r="AC689" s="25"/>
      <c r="AD689" s="25"/>
    </row>
    <row r="690" spans="1:30" ht="15.75" customHeight="1">
      <c r="A690" s="25"/>
      <c r="B690" s="25"/>
      <c r="C690" s="25"/>
      <c r="D690" s="25"/>
      <c r="E690" s="25"/>
      <c r="F690" s="25"/>
      <c r="G690" s="25"/>
      <c r="H690" s="25"/>
      <c r="I690" s="40"/>
      <c r="J690" s="25"/>
      <c r="K690" s="25"/>
      <c r="L690" s="25"/>
      <c r="M690" s="25"/>
      <c r="N690" s="25"/>
      <c r="O690" s="25"/>
      <c r="P690" s="25"/>
      <c r="Q690" s="25"/>
      <c r="R690" s="25"/>
      <c r="S690" s="25"/>
      <c r="T690" s="25"/>
      <c r="U690" s="25"/>
      <c r="V690" s="25"/>
      <c r="W690" s="25"/>
      <c r="X690" s="25"/>
      <c r="Y690" s="25"/>
      <c r="Z690" s="25"/>
      <c r="AA690" s="25"/>
      <c r="AB690" s="25"/>
      <c r="AC690" s="25"/>
      <c r="AD690" s="25"/>
    </row>
    <row r="691" spans="1:30" ht="15.75" customHeight="1">
      <c r="A691" s="25"/>
      <c r="B691" s="25"/>
      <c r="C691" s="25"/>
      <c r="D691" s="25"/>
      <c r="E691" s="25"/>
      <c r="F691" s="25"/>
      <c r="G691" s="25"/>
      <c r="H691" s="25"/>
      <c r="I691" s="40"/>
      <c r="J691" s="25"/>
      <c r="K691" s="25"/>
      <c r="L691" s="25"/>
      <c r="M691" s="25"/>
      <c r="N691" s="25"/>
      <c r="O691" s="25"/>
      <c r="P691" s="25"/>
      <c r="Q691" s="25"/>
      <c r="R691" s="25"/>
      <c r="S691" s="25"/>
      <c r="T691" s="25"/>
      <c r="U691" s="25"/>
      <c r="V691" s="25"/>
      <c r="W691" s="25"/>
      <c r="X691" s="25"/>
      <c r="Y691" s="25"/>
      <c r="Z691" s="25"/>
      <c r="AA691" s="25"/>
      <c r="AB691" s="25"/>
      <c r="AC691" s="25"/>
      <c r="AD691" s="25"/>
    </row>
    <row r="692" spans="1:30" ht="15.75" customHeight="1">
      <c r="A692" s="25"/>
      <c r="B692" s="25"/>
      <c r="C692" s="25"/>
      <c r="D692" s="25"/>
      <c r="E692" s="25"/>
      <c r="F692" s="25"/>
      <c r="G692" s="25"/>
      <c r="H692" s="25"/>
      <c r="I692" s="40"/>
      <c r="J692" s="25"/>
      <c r="K692" s="25"/>
      <c r="L692" s="25"/>
      <c r="M692" s="25"/>
      <c r="N692" s="25"/>
      <c r="O692" s="25"/>
      <c r="P692" s="25"/>
      <c r="Q692" s="25"/>
      <c r="R692" s="25"/>
      <c r="S692" s="25"/>
      <c r="T692" s="25"/>
      <c r="U692" s="25"/>
      <c r="V692" s="25"/>
      <c r="W692" s="25"/>
      <c r="X692" s="25"/>
      <c r="Y692" s="25"/>
      <c r="Z692" s="25"/>
      <c r="AA692" s="25"/>
      <c r="AB692" s="25"/>
      <c r="AC692" s="25"/>
      <c r="AD692" s="25"/>
    </row>
    <row r="693" spans="1:30" ht="15.75" customHeight="1">
      <c r="A693" s="25"/>
      <c r="B693" s="25"/>
      <c r="C693" s="25"/>
      <c r="D693" s="25"/>
      <c r="E693" s="25"/>
      <c r="F693" s="25"/>
      <c r="G693" s="25"/>
      <c r="H693" s="25"/>
      <c r="I693" s="40"/>
      <c r="J693" s="25"/>
      <c r="K693" s="25"/>
      <c r="L693" s="25"/>
      <c r="M693" s="25"/>
      <c r="N693" s="25"/>
      <c r="O693" s="25"/>
      <c r="P693" s="25"/>
      <c r="Q693" s="25"/>
      <c r="R693" s="25"/>
      <c r="S693" s="25"/>
      <c r="T693" s="25"/>
      <c r="U693" s="25"/>
      <c r="V693" s="25"/>
      <c r="W693" s="25"/>
      <c r="X693" s="25"/>
      <c r="Y693" s="25"/>
      <c r="Z693" s="25"/>
      <c r="AA693" s="25"/>
      <c r="AB693" s="25"/>
      <c r="AC693" s="25"/>
      <c r="AD693" s="25"/>
    </row>
    <row r="694" spans="1:30" ht="15.75" customHeight="1">
      <c r="A694" s="25"/>
      <c r="B694" s="25"/>
      <c r="C694" s="25"/>
      <c r="D694" s="25"/>
      <c r="E694" s="25"/>
      <c r="F694" s="25"/>
      <c r="G694" s="25"/>
      <c r="H694" s="25"/>
      <c r="I694" s="40"/>
      <c r="J694" s="25"/>
      <c r="K694" s="25"/>
      <c r="L694" s="25"/>
      <c r="M694" s="25"/>
      <c r="N694" s="25"/>
      <c r="O694" s="25"/>
      <c r="P694" s="25"/>
      <c r="Q694" s="25"/>
      <c r="R694" s="25"/>
      <c r="S694" s="25"/>
      <c r="T694" s="25"/>
      <c r="U694" s="25"/>
      <c r="V694" s="25"/>
      <c r="W694" s="25"/>
      <c r="X694" s="25"/>
      <c r="Y694" s="25"/>
      <c r="Z694" s="25"/>
      <c r="AA694" s="25"/>
      <c r="AB694" s="25"/>
      <c r="AC694" s="25"/>
      <c r="AD694" s="25"/>
    </row>
    <row r="695" spans="1:30" ht="15.75" customHeight="1">
      <c r="A695" s="25"/>
      <c r="B695" s="25"/>
      <c r="C695" s="25"/>
      <c r="D695" s="25"/>
      <c r="E695" s="25"/>
      <c r="F695" s="25"/>
      <c r="G695" s="25"/>
      <c r="H695" s="25"/>
      <c r="I695" s="40"/>
      <c r="J695" s="25"/>
      <c r="K695" s="25"/>
      <c r="L695" s="25"/>
      <c r="M695" s="25"/>
      <c r="N695" s="25"/>
      <c r="O695" s="25"/>
      <c r="P695" s="25"/>
      <c r="Q695" s="25"/>
      <c r="R695" s="25"/>
      <c r="S695" s="25"/>
      <c r="T695" s="25"/>
      <c r="U695" s="25"/>
      <c r="V695" s="25"/>
      <c r="W695" s="25"/>
      <c r="X695" s="25"/>
      <c r="Y695" s="25"/>
      <c r="Z695" s="25"/>
      <c r="AA695" s="25"/>
      <c r="AB695" s="25"/>
      <c r="AC695" s="25"/>
      <c r="AD695" s="25"/>
    </row>
    <row r="696" spans="1:30" ht="15.75" customHeight="1">
      <c r="A696" s="25"/>
      <c r="B696" s="25"/>
      <c r="C696" s="25"/>
      <c r="D696" s="25"/>
      <c r="E696" s="25"/>
      <c r="F696" s="25"/>
      <c r="G696" s="25"/>
      <c r="H696" s="25"/>
      <c r="I696" s="40"/>
      <c r="J696" s="25"/>
      <c r="K696" s="25"/>
      <c r="L696" s="25"/>
      <c r="M696" s="25"/>
      <c r="N696" s="25"/>
      <c r="O696" s="25"/>
      <c r="P696" s="25"/>
      <c r="Q696" s="25"/>
      <c r="R696" s="25"/>
      <c r="S696" s="25"/>
      <c r="T696" s="25"/>
      <c r="U696" s="25"/>
      <c r="V696" s="25"/>
      <c r="W696" s="25"/>
      <c r="X696" s="25"/>
      <c r="Y696" s="25"/>
      <c r="Z696" s="25"/>
      <c r="AA696" s="25"/>
      <c r="AB696" s="25"/>
      <c r="AC696" s="25"/>
      <c r="AD696" s="25"/>
    </row>
    <row r="697" spans="1:30" ht="15.75" customHeight="1">
      <c r="A697" s="25"/>
      <c r="B697" s="25"/>
      <c r="C697" s="25"/>
      <c r="D697" s="25"/>
      <c r="E697" s="25"/>
      <c r="F697" s="25"/>
      <c r="G697" s="25"/>
      <c r="H697" s="25"/>
      <c r="I697" s="40"/>
      <c r="J697" s="25"/>
      <c r="K697" s="25"/>
      <c r="L697" s="25"/>
      <c r="M697" s="25"/>
      <c r="N697" s="25"/>
      <c r="O697" s="25"/>
      <c r="P697" s="25"/>
      <c r="Q697" s="25"/>
      <c r="R697" s="25"/>
      <c r="S697" s="25"/>
      <c r="T697" s="25"/>
      <c r="U697" s="25"/>
      <c r="V697" s="25"/>
      <c r="W697" s="25"/>
      <c r="X697" s="25"/>
      <c r="Y697" s="25"/>
      <c r="Z697" s="25"/>
      <c r="AA697" s="25"/>
      <c r="AB697" s="25"/>
      <c r="AC697" s="25"/>
      <c r="AD697" s="25"/>
    </row>
    <row r="698" spans="1:30" ht="15.75" customHeight="1">
      <c r="A698" s="25"/>
      <c r="B698" s="25"/>
      <c r="C698" s="25"/>
      <c r="D698" s="25"/>
      <c r="E698" s="25"/>
      <c r="F698" s="25"/>
      <c r="G698" s="25"/>
      <c r="H698" s="25"/>
      <c r="I698" s="40"/>
      <c r="J698" s="25"/>
      <c r="K698" s="25"/>
      <c r="L698" s="25"/>
      <c r="M698" s="25"/>
      <c r="N698" s="25"/>
      <c r="O698" s="25"/>
      <c r="P698" s="25"/>
      <c r="Q698" s="25"/>
      <c r="R698" s="25"/>
      <c r="S698" s="25"/>
      <c r="T698" s="25"/>
      <c r="U698" s="25"/>
      <c r="V698" s="25"/>
      <c r="W698" s="25"/>
      <c r="X698" s="25"/>
      <c r="Y698" s="25"/>
      <c r="Z698" s="25"/>
      <c r="AA698" s="25"/>
      <c r="AB698" s="25"/>
      <c r="AC698" s="25"/>
      <c r="AD698" s="25"/>
    </row>
    <row r="699" spans="1:30" ht="15.75" customHeight="1">
      <c r="A699" s="25"/>
      <c r="B699" s="25"/>
      <c r="C699" s="25"/>
      <c r="D699" s="25"/>
      <c r="E699" s="25"/>
      <c r="F699" s="25"/>
      <c r="G699" s="25"/>
      <c r="H699" s="25"/>
      <c r="I699" s="40"/>
      <c r="J699" s="25"/>
      <c r="K699" s="25"/>
      <c r="L699" s="25"/>
      <c r="M699" s="25"/>
      <c r="N699" s="25"/>
      <c r="O699" s="25"/>
      <c r="P699" s="25"/>
      <c r="Q699" s="25"/>
      <c r="R699" s="25"/>
      <c r="S699" s="25"/>
      <c r="T699" s="25"/>
      <c r="U699" s="25"/>
      <c r="V699" s="25"/>
      <c r="W699" s="25"/>
      <c r="X699" s="25"/>
      <c r="Y699" s="25"/>
      <c r="Z699" s="25"/>
      <c r="AA699" s="25"/>
      <c r="AB699" s="25"/>
      <c r="AC699" s="25"/>
      <c r="AD699" s="25"/>
    </row>
    <row r="700" spans="1:30" ht="15.75" customHeight="1">
      <c r="A700" s="25"/>
      <c r="B700" s="25"/>
      <c r="C700" s="25"/>
      <c r="D700" s="25"/>
      <c r="E700" s="25"/>
      <c r="F700" s="25"/>
      <c r="G700" s="25"/>
      <c r="H700" s="25"/>
      <c r="I700" s="40"/>
      <c r="J700" s="25"/>
      <c r="K700" s="25"/>
      <c r="L700" s="25"/>
      <c r="M700" s="25"/>
      <c r="N700" s="25"/>
      <c r="O700" s="25"/>
      <c r="P700" s="25"/>
      <c r="Q700" s="25"/>
      <c r="R700" s="25"/>
      <c r="S700" s="25"/>
      <c r="T700" s="25"/>
      <c r="U700" s="25"/>
      <c r="V700" s="25"/>
      <c r="W700" s="25"/>
      <c r="X700" s="25"/>
      <c r="Y700" s="25"/>
      <c r="Z700" s="25"/>
      <c r="AA700" s="25"/>
      <c r="AB700" s="25"/>
      <c r="AC700" s="25"/>
      <c r="AD700" s="25"/>
    </row>
    <row r="701" spans="1:30" ht="15.75" customHeight="1">
      <c r="A701" s="25"/>
      <c r="B701" s="25"/>
      <c r="C701" s="25"/>
      <c r="D701" s="25"/>
      <c r="E701" s="25"/>
      <c r="F701" s="25"/>
      <c r="G701" s="25"/>
      <c r="H701" s="25"/>
      <c r="I701" s="40"/>
      <c r="J701" s="25"/>
      <c r="K701" s="25"/>
      <c r="L701" s="25"/>
      <c r="M701" s="25"/>
      <c r="N701" s="25"/>
      <c r="O701" s="25"/>
      <c r="P701" s="25"/>
      <c r="Q701" s="25"/>
      <c r="R701" s="25"/>
      <c r="S701" s="25"/>
      <c r="T701" s="25"/>
      <c r="U701" s="25"/>
      <c r="V701" s="25"/>
      <c r="W701" s="25"/>
      <c r="X701" s="25"/>
      <c r="Y701" s="25"/>
      <c r="Z701" s="25"/>
      <c r="AA701" s="25"/>
      <c r="AB701" s="25"/>
      <c r="AC701" s="25"/>
      <c r="AD701" s="25"/>
    </row>
    <row r="702" spans="1:30" ht="15.75" customHeight="1">
      <c r="A702" s="25"/>
      <c r="B702" s="25"/>
      <c r="C702" s="25"/>
      <c r="D702" s="25"/>
      <c r="E702" s="25"/>
      <c r="F702" s="25"/>
      <c r="G702" s="25"/>
      <c r="H702" s="25"/>
      <c r="I702" s="40"/>
      <c r="J702" s="25"/>
      <c r="K702" s="25"/>
      <c r="L702" s="25"/>
      <c r="M702" s="25"/>
      <c r="N702" s="25"/>
      <c r="O702" s="25"/>
      <c r="P702" s="25"/>
      <c r="Q702" s="25"/>
      <c r="R702" s="25"/>
      <c r="S702" s="25"/>
      <c r="T702" s="25"/>
      <c r="U702" s="25"/>
      <c r="V702" s="25"/>
      <c r="W702" s="25"/>
      <c r="X702" s="25"/>
      <c r="Y702" s="25"/>
      <c r="Z702" s="25"/>
      <c r="AA702" s="25"/>
      <c r="AB702" s="25"/>
      <c r="AC702" s="25"/>
      <c r="AD702" s="25"/>
    </row>
    <row r="703" spans="1:30" ht="15.75" customHeight="1">
      <c r="A703" s="25"/>
      <c r="B703" s="25"/>
      <c r="C703" s="25"/>
      <c r="D703" s="25"/>
      <c r="E703" s="25"/>
      <c r="F703" s="25"/>
      <c r="G703" s="25"/>
      <c r="H703" s="25"/>
      <c r="I703" s="40"/>
      <c r="J703" s="25"/>
      <c r="K703" s="25"/>
      <c r="L703" s="25"/>
      <c r="M703" s="25"/>
      <c r="N703" s="25"/>
      <c r="O703" s="25"/>
      <c r="P703" s="25"/>
      <c r="Q703" s="25"/>
      <c r="R703" s="25"/>
      <c r="S703" s="25"/>
      <c r="T703" s="25"/>
      <c r="U703" s="25"/>
      <c r="V703" s="25"/>
      <c r="W703" s="25"/>
      <c r="X703" s="25"/>
      <c r="Y703" s="25"/>
      <c r="Z703" s="25"/>
      <c r="AA703" s="25"/>
      <c r="AB703" s="25"/>
      <c r="AC703" s="25"/>
      <c r="AD703" s="25"/>
    </row>
    <row r="704" spans="1:30" ht="15.75" customHeight="1">
      <c r="A704" s="25"/>
      <c r="B704" s="25"/>
      <c r="C704" s="25"/>
      <c r="D704" s="25"/>
      <c r="E704" s="25"/>
      <c r="F704" s="25"/>
      <c r="G704" s="25"/>
      <c r="H704" s="25"/>
      <c r="I704" s="40"/>
      <c r="J704" s="25"/>
      <c r="K704" s="25"/>
      <c r="L704" s="25"/>
      <c r="M704" s="25"/>
      <c r="N704" s="25"/>
      <c r="O704" s="25"/>
      <c r="P704" s="25"/>
      <c r="Q704" s="25"/>
      <c r="R704" s="25"/>
      <c r="S704" s="25"/>
      <c r="T704" s="25"/>
      <c r="U704" s="25"/>
      <c r="V704" s="25"/>
      <c r="W704" s="25"/>
      <c r="X704" s="25"/>
      <c r="Y704" s="25"/>
      <c r="Z704" s="25"/>
      <c r="AA704" s="25"/>
      <c r="AB704" s="25"/>
      <c r="AC704" s="25"/>
      <c r="AD704" s="25"/>
    </row>
    <row r="705" spans="1:30" ht="15.75" customHeight="1">
      <c r="A705" s="25"/>
      <c r="B705" s="25"/>
      <c r="C705" s="25"/>
      <c r="D705" s="25"/>
      <c r="E705" s="25"/>
      <c r="F705" s="25"/>
      <c r="G705" s="25"/>
      <c r="H705" s="25"/>
      <c r="I705" s="40"/>
      <c r="J705" s="25"/>
      <c r="K705" s="25"/>
      <c r="L705" s="25"/>
      <c r="M705" s="25"/>
      <c r="N705" s="25"/>
      <c r="O705" s="25"/>
      <c r="P705" s="25"/>
      <c r="Q705" s="25"/>
      <c r="R705" s="25"/>
      <c r="S705" s="25"/>
      <c r="T705" s="25"/>
      <c r="U705" s="25"/>
      <c r="V705" s="25"/>
      <c r="W705" s="25"/>
      <c r="X705" s="25"/>
      <c r="Y705" s="25"/>
      <c r="Z705" s="25"/>
      <c r="AA705" s="25"/>
      <c r="AB705" s="25"/>
      <c r="AC705" s="25"/>
      <c r="AD705" s="25"/>
    </row>
    <row r="706" spans="1:30" ht="15.75" customHeight="1">
      <c r="A706" s="25"/>
      <c r="B706" s="25"/>
      <c r="C706" s="25"/>
      <c r="D706" s="25"/>
      <c r="E706" s="25"/>
      <c r="F706" s="25"/>
      <c r="G706" s="25"/>
      <c r="H706" s="25"/>
      <c r="I706" s="40"/>
      <c r="J706" s="25"/>
      <c r="K706" s="25"/>
      <c r="L706" s="25"/>
      <c r="M706" s="25"/>
      <c r="N706" s="25"/>
      <c r="O706" s="25"/>
      <c r="P706" s="25"/>
      <c r="Q706" s="25"/>
      <c r="R706" s="25"/>
      <c r="S706" s="25"/>
      <c r="T706" s="25"/>
      <c r="U706" s="25"/>
      <c r="V706" s="25"/>
      <c r="W706" s="25"/>
      <c r="X706" s="25"/>
      <c r="Y706" s="25"/>
      <c r="Z706" s="25"/>
      <c r="AA706" s="25"/>
      <c r="AB706" s="25"/>
      <c r="AC706" s="25"/>
      <c r="AD706" s="25"/>
    </row>
    <row r="707" spans="1:30" ht="15.75" customHeight="1">
      <c r="A707" s="25"/>
      <c r="B707" s="25"/>
      <c r="C707" s="25"/>
      <c r="D707" s="25"/>
      <c r="E707" s="25"/>
      <c r="F707" s="25"/>
      <c r="G707" s="25"/>
      <c r="H707" s="25"/>
      <c r="I707" s="40"/>
      <c r="J707" s="25"/>
      <c r="K707" s="25"/>
      <c r="L707" s="25"/>
      <c r="M707" s="25"/>
      <c r="N707" s="25"/>
      <c r="O707" s="25"/>
      <c r="P707" s="25"/>
      <c r="Q707" s="25"/>
      <c r="R707" s="25"/>
      <c r="S707" s="25"/>
      <c r="T707" s="25"/>
      <c r="U707" s="25"/>
      <c r="V707" s="25"/>
      <c r="W707" s="25"/>
      <c r="X707" s="25"/>
      <c r="Y707" s="25"/>
      <c r="Z707" s="25"/>
      <c r="AA707" s="25"/>
      <c r="AB707" s="25"/>
      <c r="AC707" s="25"/>
      <c r="AD707" s="25"/>
    </row>
    <row r="708" spans="1:30" ht="15.75" customHeight="1">
      <c r="A708" s="25"/>
      <c r="B708" s="25"/>
      <c r="C708" s="25"/>
      <c r="D708" s="25"/>
      <c r="E708" s="25"/>
      <c r="F708" s="25"/>
      <c r="G708" s="25"/>
      <c r="H708" s="25"/>
      <c r="I708" s="40"/>
      <c r="J708" s="25"/>
      <c r="K708" s="25"/>
      <c r="L708" s="25"/>
      <c r="M708" s="25"/>
      <c r="N708" s="25"/>
      <c r="O708" s="25"/>
      <c r="P708" s="25"/>
      <c r="Q708" s="25"/>
      <c r="R708" s="25"/>
      <c r="S708" s="25"/>
      <c r="T708" s="25"/>
      <c r="U708" s="25"/>
      <c r="V708" s="25"/>
      <c r="W708" s="25"/>
      <c r="X708" s="25"/>
      <c r="Y708" s="25"/>
      <c r="Z708" s="25"/>
      <c r="AA708" s="25"/>
      <c r="AB708" s="25"/>
      <c r="AC708" s="25"/>
      <c r="AD708" s="25"/>
    </row>
    <row r="709" spans="1:30" ht="15.75" customHeight="1">
      <c r="A709" s="25"/>
      <c r="B709" s="25"/>
      <c r="C709" s="25"/>
      <c r="D709" s="25"/>
      <c r="E709" s="25"/>
      <c r="F709" s="25"/>
      <c r="G709" s="25"/>
      <c r="H709" s="25"/>
      <c r="I709" s="40"/>
      <c r="J709" s="25"/>
      <c r="K709" s="25"/>
      <c r="L709" s="25"/>
      <c r="M709" s="25"/>
      <c r="N709" s="25"/>
      <c r="O709" s="25"/>
      <c r="P709" s="25"/>
      <c r="Q709" s="25"/>
      <c r="R709" s="25"/>
      <c r="S709" s="25"/>
      <c r="T709" s="25"/>
      <c r="U709" s="25"/>
      <c r="V709" s="25"/>
      <c r="W709" s="25"/>
      <c r="X709" s="25"/>
      <c r="Y709" s="25"/>
      <c r="Z709" s="25"/>
      <c r="AA709" s="25"/>
      <c r="AB709" s="25"/>
      <c r="AC709" s="25"/>
      <c r="AD709" s="25"/>
    </row>
    <row r="710" spans="1:30" ht="15.75" customHeight="1">
      <c r="A710" s="25"/>
      <c r="B710" s="25"/>
      <c r="C710" s="25"/>
      <c r="D710" s="25"/>
      <c r="E710" s="25"/>
      <c r="F710" s="25"/>
      <c r="G710" s="25"/>
      <c r="H710" s="25"/>
      <c r="I710" s="40"/>
      <c r="J710" s="25"/>
      <c r="K710" s="25"/>
      <c r="L710" s="25"/>
      <c r="M710" s="25"/>
      <c r="N710" s="25"/>
      <c r="O710" s="25"/>
      <c r="P710" s="25"/>
      <c r="Q710" s="25"/>
      <c r="R710" s="25"/>
      <c r="S710" s="25"/>
      <c r="T710" s="25"/>
      <c r="U710" s="25"/>
      <c r="V710" s="25"/>
      <c r="W710" s="25"/>
      <c r="X710" s="25"/>
      <c r="Y710" s="25"/>
      <c r="Z710" s="25"/>
      <c r="AA710" s="25"/>
      <c r="AB710" s="25"/>
      <c r="AC710" s="25"/>
      <c r="AD710" s="25"/>
    </row>
    <row r="711" spans="1:30" ht="15.75" customHeight="1">
      <c r="A711" s="25"/>
      <c r="B711" s="25"/>
      <c r="C711" s="25"/>
      <c r="D711" s="25"/>
      <c r="E711" s="25"/>
      <c r="F711" s="25"/>
      <c r="G711" s="25"/>
      <c r="H711" s="25"/>
      <c r="I711" s="40"/>
      <c r="J711" s="25"/>
      <c r="K711" s="25"/>
      <c r="L711" s="25"/>
      <c r="M711" s="25"/>
      <c r="N711" s="25"/>
      <c r="O711" s="25"/>
      <c r="P711" s="25"/>
      <c r="Q711" s="25"/>
      <c r="R711" s="25"/>
      <c r="S711" s="25"/>
      <c r="T711" s="25"/>
      <c r="U711" s="25"/>
      <c r="V711" s="25"/>
      <c r="W711" s="25"/>
      <c r="X711" s="25"/>
      <c r="Y711" s="25"/>
      <c r="Z711" s="25"/>
      <c r="AA711" s="25"/>
      <c r="AB711" s="25"/>
      <c r="AC711" s="25"/>
      <c r="AD711" s="25"/>
    </row>
    <row r="712" spans="1:30" ht="15.75" customHeight="1">
      <c r="A712" s="25"/>
      <c r="B712" s="25"/>
      <c r="C712" s="25"/>
      <c r="D712" s="25"/>
      <c r="E712" s="25"/>
      <c r="F712" s="25"/>
      <c r="G712" s="25"/>
      <c r="H712" s="25"/>
      <c r="I712" s="40"/>
      <c r="J712" s="25"/>
      <c r="K712" s="25"/>
      <c r="L712" s="25"/>
      <c r="M712" s="25"/>
      <c r="N712" s="25"/>
      <c r="O712" s="25"/>
      <c r="P712" s="25"/>
      <c r="Q712" s="25"/>
      <c r="R712" s="25"/>
      <c r="S712" s="25"/>
      <c r="T712" s="25"/>
      <c r="U712" s="25"/>
      <c r="V712" s="25"/>
      <c r="W712" s="25"/>
      <c r="X712" s="25"/>
      <c r="Y712" s="25"/>
      <c r="Z712" s="25"/>
      <c r="AA712" s="25"/>
      <c r="AB712" s="25"/>
      <c r="AC712" s="25"/>
      <c r="AD712" s="25"/>
    </row>
    <row r="713" spans="1:30" ht="15.75" customHeight="1">
      <c r="A713" s="25"/>
      <c r="B713" s="25"/>
      <c r="C713" s="25"/>
      <c r="D713" s="25"/>
      <c r="E713" s="25"/>
      <c r="F713" s="25"/>
      <c r="G713" s="25"/>
      <c r="H713" s="25"/>
      <c r="I713" s="40"/>
      <c r="J713" s="25"/>
      <c r="K713" s="25"/>
      <c r="L713" s="25"/>
      <c r="M713" s="25"/>
      <c r="N713" s="25"/>
      <c r="O713" s="25"/>
      <c r="P713" s="25"/>
      <c r="Q713" s="25"/>
      <c r="R713" s="25"/>
      <c r="S713" s="25"/>
      <c r="T713" s="25"/>
      <c r="U713" s="25"/>
      <c r="V713" s="25"/>
      <c r="W713" s="25"/>
      <c r="X713" s="25"/>
      <c r="Y713" s="25"/>
      <c r="Z713" s="25"/>
      <c r="AA713" s="25"/>
      <c r="AB713" s="25"/>
      <c r="AC713" s="25"/>
      <c r="AD713" s="25"/>
    </row>
    <row r="714" spans="1:30" ht="15.75" customHeight="1">
      <c r="A714" s="25"/>
      <c r="B714" s="25"/>
      <c r="C714" s="25"/>
      <c r="D714" s="25"/>
      <c r="E714" s="25"/>
      <c r="F714" s="25"/>
      <c r="G714" s="25"/>
      <c r="H714" s="25"/>
      <c r="I714" s="40"/>
      <c r="J714" s="25"/>
      <c r="K714" s="25"/>
      <c r="L714" s="25"/>
      <c r="M714" s="25"/>
      <c r="N714" s="25"/>
      <c r="O714" s="25"/>
      <c r="P714" s="25"/>
      <c r="Q714" s="25"/>
      <c r="R714" s="25"/>
      <c r="S714" s="25"/>
      <c r="T714" s="25"/>
      <c r="U714" s="25"/>
      <c r="V714" s="25"/>
      <c r="W714" s="25"/>
      <c r="X714" s="25"/>
      <c r="Y714" s="25"/>
      <c r="Z714" s="25"/>
      <c r="AA714" s="25"/>
      <c r="AB714" s="25"/>
      <c r="AC714" s="25"/>
      <c r="AD714" s="25"/>
    </row>
    <row r="715" spans="1:30" ht="15.75" customHeight="1">
      <c r="A715" s="25"/>
      <c r="B715" s="25"/>
      <c r="C715" s="25"/>
      <c r="D715" s="25"/>
      <c r="E715" s="25"/>
      <c r="F715" s="25"/>
      <c r="G715" s="25"/>
      <c r="H715" s="25"/>
      <c r="I715" s="40"/>
      <c r="J715" s="25"/>
      <c r="K715" s="25"/>
      <c r="L715" s="25"/>
      <c r="M715" s="25"/>
      <c r="N715" s="25"/>
      <c r="O715" s="25"/>
      <c r="P715" s="25"/>
      <c r="Q715" s="25"/>
      <c r="R715" s="25"/>
      <c r="S715" s="25"/>
      <c r="T715" s="25"/>
      <c r="U715" s="25"/>
      <c r="V715" s="25"/>
      <c r="W715" s="25"/>
      <c r="X715" s="25"/>
      <c r="Y715" s="25"/>
      <c r="Z715" s="25"/>
      <c r="AA715" s="25"/>
      <c r="AB715" s="25"/>
      <c r="AC715" s="25"/>
      <c r="AD715" s="25"/>
    </row>
    <row r="716" spans="1:30" ht="15.75" customHeight="1">
      <c r="A716" s="25"/>
      <c r="B716" s="25"/>
      <c r="C716" s="25"/>
      <c r="D716" s="25"/>
      <c r="E716" s="25"/>
      <c r="F716" s="25"/>
      <c r="G716" s="25"/>
      <c r="H716" s="25"/>
      <c r="I716" s="40"/>
      <c r="J716" s="25"/>
      <c r="K716" s="25"/>
      <c r="L716" s="25"/>
      <c r="M716" s="25"/>
      <c r="N716" s="25"/>
      <c r="O716" s="25"/>
      <c r="P716" s="25"/>
      <c r="Q716" s="25"/>
      <c r="R716" s="25"/>
      <c r="S716" s="25"/>
      <c r="T716" s="25"/>
      <c r="U716" s="25"/>
      <c r="V716" s="25"/>
      <c r="W716" s="25"/>
      <c r="X716" s="25"/>
      <c r="Y716" s="25"/>
      <c r="Z716" s="25"/>
      <c r="AA716" s="25"/>
      <c r="AB716" s="25"/>
      <c r="AC716" s="25"/>
      <c r="AD716" s="25"/>
    </row>
    <row r="717" spans="1:30" ht="15.75" customHeight="1">
      <c r="A717" s="25"/>
      <c r="B717" s="25"/>
      <c r="C717" s="25"/>
      <c r="D717" s="25"/>
      <c r="E717" s="25"/>
      <c r="F717" s="25"/>
      <c r="G717" s="25"/>
      <c r="H717" s="25"/>
      <c r="I717" s="40"/>
      <c r="J717" s="25"/>
      <c r="K717" s="25"/>
      <c r="L717" s="25"/>
      <c r="M717" s="25"/>
      <c r="N717" s="25"/>
      <c r="O717" s="25"/>
      <c r="P717" s="25"/>
      <c r="Q717" s="25"/>
      <c r="R717" s="25"/>
      <c r="S717" s="25"/>
      <c r="T717" s="25"/>
      <c r="U717" s="25"/>
      <c r="V717" s="25"/>
      <c r="W717" s="25"/>
      <c r="X717" s="25"/>
      <c r="Y717" s="25"/>
      <c r="Z717" s="25"/>
      <c r="AA717" s="25"/>
      <c r="AB717" s="25"/>
      <c r="AC717" s="25"/>
      <c r="AD717" s="25"/>
    </row>
    <row r="718" spans="1:30" ht="15.75" customHeight="1">
      <c r="A718" s="25"/>
      <c r="B718" s="25"/>
      <c r="C718" s="25"/>
      <c r="D718" s="25"/>
      <c r="E718" s="25"/>
      <c r="F718" s="25"/>
      <c r="G718" s="25"/>
      <c r="H718" s="25"/>
      <c r="I718" s="40"/>
      <c r="J718" s="25"/>
      <c r="K718" s="25"/>
      <c r="L718" s="25"/>
      <c r="M718" s="25"/>
      <c r="N718" s="25"/>
      <c r="O718" s="25"/>
      <c r="P718" s="25"/>
      <c r="Q718" s="25"/>
      <c r="R718" s="25"/>
      <c r="S718" s="25"/>
      <c r="T718" s="25"/>
      <c r="U718" s="25"/>
      <c r="V718" s="25"/>
      <c r="W718" s="25"/>
      <c r="X718" s="25"/>
      <c r="Y718" s="25"/>
      <c r="Z718" s="25"/>
      <c r="AA718" s="25"/>
      <c r="AB718" s="25"/>
      <c r="AC718" s="25"/>
      <c r="AD718" s="25"/>
    </row>
    <row r="719" spans="1:30" ht="15.75" customHeight="1">
      <c r="A719" s="25"/>
      <c r="B719" s="25"/>
      <c r="C719" s="25"/>
      <c r="D719" s="25"/>
      <c r="E719" s="25"/>
      <c r="F719" s="25"/>
      <c r="G719" s="25"/>
      <c r="H719" s="25"/>
      <c r="I719" s="40"/>
      <c r="J719" s="25"/>
      <c r="K719" s="25"/>
      <c r="L719" s="25"/>
      <c r="M719" s="25"/>
      <c r="N719" s="25"/>
      <c r="O719" s="25"/>
      <c r="P719" s="25"/>
      <c r="Q719" s="25"/>
      <c r="R719" s="25"/>
      <c r="S719" s="25"/>
      <c r="T719" s="25"/>
      <c r="U719" s="25"/>
      <c r="V719" s="25"/>
      <c r="W719" s="25"/>
      <c r="X719" s="25"/>
      <c r="Y719" s="25"/>
      <c r="Z719" s="25"/>
      <c r="AA719" s="25"/>
      <c r="AB719" s="25"/>
      <c r="AC719" s="25"/>
      <c r="AD719" s="25"/>
    </row>
    <row r="720" spans="1:30" ht="15.75" customHeight="1">
      <c r="A720" s="25"/>
      <c r="B720" s="25"/>
      <c r="C720" s="25"/>
      <c r="D720" s="25"/>
      <c r="E720" s="25"/>
      <c r="F720" s="25"/>
      <c r="G720" s="25"/>
      <c r="H720" s="25"/>
      <c r="I720" s="40"/>
      <c r="J720" s="25"/>
      <c r="K720" s="25"/>
      <c r="L720" s="25"/>
      <c r="M720" s="25"/>
      <c r="N720" s="25"/>
      <c r="O720" s="25"/>
      <c r="P720" s="25"/>
      <c r="Q720" s="25"/>
      <c r="R720" s="25"/>
      <c r="S720" s="25"/>
      <c r="T720" s="25"/>
      <c r="U720" s="25"/>
      <c r="V720" s="25"/>
      <c r="W720" s="25"/>
      <c r="X720" s="25"/>
      <c r="Y720" s="25"/>
      <c r="Z720" s="25"/>
      <c r="AA720" s="25"/>
      <c r="AB720" s="25"/>
      <c r="AC720" s="25"/>
      <c r="AD720" s="25"/>
    </row>
    <row r="721" spans="1:30" ht="15.75" customHeight="1">
      <c r="A721" s="25"/>
      <c r="B721" s="25"/>
      <c r="C721" s="25"/>
      <c r="D721" s="25"/>
      <c r="E721" s="25"/>
      <c r="F721" s="25"/>
      <c r="G721" s="25"/>
      <c r="H721" s="25"/>
      <c r="I721" s="40"/>
      <c r="J721" s="25"/>
      <c r="K721" s="25"/>
      <c r="L721" s="25"/>
      <c r="M721" s="25"/>
      <c r="N721" s="25"/>
      <c r="O721" s="25"/>
      <c r="P721" s="25"/>
      <c r="Q721" s="25"/>
      <c r="R721" s="25"/>
      <c r="S721" s="25"/>
      <c r="T721" s="25"/>
      <c r="U721" s="25"/>
      <c r="V721" s="25"/>
      <c r="W721" s="25"/>
      <c r="X721" s="25"/>
      <c r="Y721" s="25"/>
      <c r="Z721" s="25"/>
      <c r="AA721" s="25"/>
      <c r="AB721" s="25"/>
      <c r="AC721" s="25"/>
      <c r="AD721" s="25"/>
    </row>
    <row r="722" spans="1:30" ht="15.75" customHeight="1">
      <c r="A722" s="25"/>
      <c r="B722" s="25"/>
      <c r="C722" s="25"/>
      <c r="D722" s="25"/>
      <c r="E722" s="25"/>
      <c r="F722" s="25"/>
      <c r="G722" s="25"/>
      <c r="H722" s="25"/>
      <c r="I722" s="40"/>
      <c r="J722" s="25"/>
      <c r="K722" s="25"/>
      <c r="L722" s="25"/>
      <c r="M722" s="25"/>
      <c r="N722" s="25"/>
      <c r="O722" s="25"/>
      <c r="P722" s="25"/>
      <c r="Q722" s="25"/>
      <c r="R722" s="25"/>
      <c r="S722" s="25"/>
      <c r="T722" s="25"/>
      <c r="U722" s="25"/>
      <c r="V722" s="25"/>
      <c r="W722" s="25"/>
      <c r="X722" s="25"/>
      <c r="Y722" s="25"/>
      <c r="Z722" s="25"/>
      <c r="AA722" s="25"/>
      <c r="AB722" s="25"/>
      <c r="AC722" s="25"/>
      <c r="AD722" s="25"/>
    </row>
    <row r="723" spans="1:30" ht="15.75" customHeight="1">
      <c r="A723" s="25"/>
      <c r="B723" s="25"/>
      <c r="C723" s="25"/>
      <c r="D723" s="25"/>
      <c r="E723" s="25"/>
      <c r="F723" s="25"/>
      <c r="G723" s="25"/>
      <c r="H723" s="25"/>
      <c r="I723" s="40"/>
      <c r="J723" s="25"/>
      <c r="K723" s="25"/>
      <c r="L723" s="25"/>
      <c r="M723" s="25"/>
      <c r="N723" s="25"/>
      <c r="O723" s="25"/>
      <c r="P723" s="25"/>
      <c r="Q723" s="25"/>
      <c r="R723" s="25"/>
      <c r="S723" s="25"/>
      <c r="T723" s="25"/>
      <c r="U723" s="25"/>
      <c r="V723" s="25"/>
      <c r="W723" s="25"/>
      <c r="X723" s="25"/>
      <c r="Y723" s="25"/>
      <c r="Z723" s="25"/>
      <c r="AA723" s="25"/>
      <c r="AB723" s="25"/>
      <c r="AC723" s="25"/>
      <c r="AD723" s="25"/>
    </row>
    <row r="724" spans="1:30" ht="15.75" customHeight="1">
      <c r="A724" s="25"/>
      <c r="B724" s="25"/>
      <c r="C724" s="25"/>
      <c r="D724" s="25"/>
      <c r="E724" s="25"/>
      <c r="F724" s="25"/>
      <c r="G724" s="25"/>
      <c r="H724" s="25"/>
      <c r="I724" s="40"/>
      <c r="J724" s="25"/>
      <c r="K724" s="25"/>
      <c r="L724" s="25"/>
      <c r="M724" s="25"/>
      <c r="N724" s="25"/>
      <c r="O724" s="25"/>
      <c r="P724" s="25"/>
      <c r="Q724" s="25"/>
      <c r="R724" s="25"/>
      <c r="S724" s="25"/>
      <c r="T724" s="25"/>
      <c r="U724" s="25"/>
      <c r="V724" s="25"/>
      <c r="W724" s="25"/>
      <c r="X724" s="25"/>
      <c r="Y724" s="25"/>
      <c r="Z724" s="25"/>
      <c r="AA724" s="25"/>
      <c r="AB724" s="25"/>
      <c r="AC724" s="25"/>
      <c r="AD724" s="25"/>
    </row>
    <row r="725" spans="1:30" ht="15.75" customHeight="1">
      <c r="A725" s="25"/>
      <c r="B725" s="25"/>
      <c r="C725" s="25"/>
      <c r="D725" s="25"/>
      <c r="E725" s="25"/>
      <c r="F725" s="25"/>
      <c r="G725" s="25"/>
      <c r="H725" s="25"/>
      <c r="I725" s="40"/>
      <c r="J725" s="25"/>
      <c r="K725" s="25"/>
      <c r="L725" s="25"/>
      <c r="M725" s="25"/>
      <c r="N725" s="25"/>
      <c r="O725" s="25"/>
      <c r="P725" s="25"/>
      <c r="Q725" s="25"/>
      <c r="R725" s="25"/>
      <c r="S725" s="25"/>
      <c r="T725" s="25"/>
      <c r="U725" s="25"/>
      <c r="V725" s="25"/>
      <c r="W725" s="25"/>
      <c r="X725" s="25"/>
      <c r="Y725" s="25"/>
      <c r="Z725" s="25"/>
      <c r="AA725" s="25"/>
      <c r="AB725" s="25"/>
      <c r="AC725" s="25"/>
      <c r="AD725" s="25"/>
    </row>
    <row r="726" spans="1:30" ht="15.75" customHeight="1">
      <c r="A726" s="25"/>
      <c r="B726" s="25"/>
      <c r="C726" s="25"/>
      <c r="D726" s="25"/>
      <c r="E726" s="25"/>
      <c r="F726" s="25"/>
      <c r="G726" s="25"/>
      <c r="H726" s="25"/>
      <c r="I726" s="40"/>
      <c r="J726" s="25"/>
      <c r="K726" s="25"/>
      <c r="L726" s="25"/>
      <c r="M726" s="25"/>
      <c r="N726" s="25"/>
      <c r="O726" s="25"/>
      <c r="P726" s="25"/>
      <c r="Q726" s="25"/>
      <c r="R726" s="25"/>
      <c r="S726" s="25"/>
      <c r="T726" s="25"/>
      <c r="U726" s="25"/>
      <c r="V726" s="25"/>
      <c r="W726" s="25"/>
      <c r="X726" s="25"/>
      <c r="Y726" s="25"/>
      <c r="Z726" s="25"/>
      <c r="AA726" s="25"/>
      <c r="AB726" s="25"/>
      <c r="AC726" s="25"/>
      <c r="AD726" s="25"/>
    </row>
    <row r="727" spans="1:30" ht="15.75" customHeight="1">
      <c r="A727" s="25"/>
      <c r="B727" s="25"/>
      <c r="C727" s="25"/>
      <c r="D727" s="25"/>
      <c r="E727" s="25"/>
      <c r="F727" s="25"/>
      <c r="G727" s="25"/>
      <c r="H727" s="25"/>
      <c r="I727" s="40"/>
      <c r="J727" s="25"/>
      <c r="K727" s="25"/>
      <c r="L727" s="25"/>
      <c r="M727" s="25"/>
      <c r="N727" s="25"/>
      <c r="O727" s="25"/>
      <c r="P727" s="25"/>
      <c r="Q727" s="25"/>
      <c r="R727" s="25"/>
      <c r="S727" s="25"/>
      <c r="T727" s="25"/>
      <c r="U727" s="25"/>
      <c r="V727" s="25"/>
      <c r="W727" s="25"/>
      <c r="X727" s="25"/>
      <c r="Y727" s="25"/>
      <c r="Z727" s="25"/>
      <c r="AA727" s="25"/>
      <c r="AB727" s="25"/>
      <c r="AC727" s="25"/>
      <c r="AD727" s="25"/>
    </row>
    <row r="728" spans="1:30" ht="15.75" customHeight="1">
      <c r="A728" s="25"/>
      <c r="B728" s="25"/>
      <c r="C728" s="25"/>
      <c r="D728" s="25"/>
      <c r="E728" s="25"/>
      <c r="F728" s="25"/>
      <c r="G728" s="25"/>
      <c r="H728" s="25"/>
      <c r="I728" s="40"/>
      <c r="J728" s="25"/>
      <c r="K728" s="25"/>
      <c r="L728" s="25"/>
      <c r="M728" s="25"/>
      <c r="N728" s="25"/>
      <c r="O728" s="25"/>
      <c r="P728" s="25"/>
      <c r="Q728" s="25"/>
      <c r="R728" s="25"/>
      <c r="S728" s="25"/>
      <c r="T728" s="25"/>
      <c r="U728" s="25"/>
      <c r="V728" s="25"/>
      <c r="W728" s="25"/>
      <c r="X728" s="25"/>
      <c r="Y728" s="25"/>
      <c r="Z728" s="25"/>
      <c r="AA728" s="25"/>
      <c r="AB728" s="25"/>
      <c r="AC728" s="25"/>
      <c r="AD728" s="25"/>
    </row>
    <row r="729" spans="1:30" ht="15.75" customHeight="1">
      <c r="A729" s="25"/>
      <c r="B729" s="25"/>
      <c r="C729" s="25"/>
      <c r="D729" s="25"/>
      <c r="E729" s="25"/>
      <c r="F729" s="25"/>
      <c r="G729" s="25"/>
      <c r="H729" s="25"/>
      <c r="I729" s="40"/>
      <c r="J729" s="25"/>
      <c r="K729" s="25"/>
      <c r="L729" s="25"/>
      <c r="M729" s="25"/>
      <c r="N729" s="25"/>
      <c r="O729" s="25"/>
      <c r="P729" s="25"/>
      <c r="Q729" s="25"/>
      <c r="R729" s="25"/>
      <c r="S729" s="25"/>
      <c r="T729" s="25"/>
      <c r="U729" s="25"/>
      <c r="V729" s="25"/>
      <c r="W729" s="25"/>
      <c r="X729" s="25"/>
      <c r="Y729" s="25"/>
      <c r="Z729" s="25"/>
      <c r="AA729" s="25"/>
      <c r="AB729" s="25"/>
      <c r="AC729" s="25"/>
      <c r="AD729" s="25"/>
    </row>
    <row r="730" spans="1:30" ht="15.75" customHeight="1">
      <c r="A730" s="25"/>
      <c r="B730" s="25"/>
      <c r="C730" s="25"/>
      <c r="D730" s="25"/>
      <c r="E730" s="25"/>
      <c r="F730" s="25"/>
      <c r="G730" s="25"/>
      <c r="H730" s="25"/>
      <c r="I730" s="40"/>
      <c r="J730" s="25"/>
      <c r="K730" s="25"/>
      <c r="L730" s="25"/>
      <c r="M730" s="25"/>
      <c r="N730" s="25"/>
      <c r="O730" s="25"/>
      <c r="P730" s="25"/>
      <c r="Q730" s="25"/>
      <c r="R730" s="25"/>
      <c r="S730" s="25"/>
      <c r="T730" s="25"/>
      <c r="U730" s="25"/>
      <c r="V730" s="25"/>
      <c r="W730" s="25"/>
      <c r="X730" s="25"/>
      <c r="Y730" s="25"/>
      <c r="Z730" s="25"/>
      <c r="AA730" s="25"/>
      <c r="AB730" s="25"/>
      <c r="AC730" s="25"/>
      <c r="AD730" s="25"/>
    </row>
    <row r="731" spans="1:30" ht="15.75" customHeight="1">
      <c r="A731" s="25"/>
      <c r="B731" s="25"/>
      <c r="C731" s="25"/>
      <c r="D731" s="25"/>
      <c r="E731" s="25"/>
      <c r="F731" s="25"/>
      <c r="G731" s="25"/>
      <c r="H731" s="25"/>
      <c r="I731" s="40"/>
      <c r="J731" s="25"/>
      <c r="K731" s="25"/>
      <c r="L731" s="25"/>
      <c r="M731" s="25"/>
      <c r="N731" s="25"/>
      <c r="O731" s="25"/>
      <c r="P731" s="25"/>
      <c r="Q731" s="25"/>
      <c r="R731" s="25"/>
      <c r="S731" s="25"/>
      <c r="T731" s="25"/>
      <c r="U731" s="25"/>
      <c r="V731" s="25"/>
      <c r="W731" s="25"/>
      <c r="X731" s="25"/>
      <c r="Y731" s="25"/>
      <c r="Z731" s="25"/>
      <c r="AA731" s="25"/>
      <c r="AB731" s="25"/>
      <c r="AC731" s="25"/>
      <c r="AD731" s="25"/>
    </row>
    <row r="732" spans="1:30" ht="15.75" customHeight="1">
      <c r="A732" s="25"/>
      <c r="B732" s="25"/>
      <c r="C732" s="25"/>
      <c r="D732" s="25"/>
      <c r="E732" s="25"/>
      <c r="F732" s="25"/>
      <c r="G732" s="25"/>
      <c r="H732" s="25"/>
      <c r="I732" s="40"/>
      <c r="J732" s="25"/>
      <c r="K732" s="25"/>
      <c r="L732" s="25"/>
      <c r="M732" s="25"/>
      <c r="N732" s="25"/>
      <c r="O732" s="25"/>
      <c r="P732" s="25"/>
      <c r="Q732" s="25"/>
      <c r="R732" s="25"/>
      <c r="S732" s="25"/>
      <c r="T732" s="25"/>
      <c r="U732" s="25"/>
      <c r="V732" s="25"/>
      <c r="W732" s="25"/>
      <c r="X732" s="25"/>
      <c r="Y732" s="25"/>
      <c r="Z732" s="25"/>
      <c r="AA732" s="25"/>
      <c r="AB732" s="25"/>
      <c r="AC732" s="25"/>
      <c r="AD732" s="25"/>
    </row>
    <row r="733" spans="1:30" ht="15.75" customHeight="1">
      <c r="A733" s="25"/>
      <c r="B733" s="25"/>
      <c r="C733" s="25"/>
      <c r="D733" s="25"/>
      <c r="E733" s="25"/>
      <c r="F733" s="25"/>
      <c r="G733" s="25"/>
      <c r="H733" s="25"/>
      <c r="I733" s="40"/>
      <c r="J733" s="25"/>
      <c r="K733" s="25"/>
      <c r="L733" s="25"/>
      <c r="M733" s="25"/>
      <c r="N733" s="25"/>
      <c r="O733" s="25"/>
      <c r="P733" s="25"/>
      <c r="Q733" s="25"/>
      <c r="R733" s="25"/>
      <c r="S733" s="25"/>
      <c r="T733" s="25"/>
      <c r="U733" s="25"/>
      <c r="V733" s="25"/>
      <c r="W733" s="25"/>
      <c r="X733" s="25"/>
      <c r="Y733" s="25"/>
      <c r="Z733" s="25"/>
      <c r="AA733" s="25"/>
      <c r="AB733" s="25"/>
      <c r="AC733" s="25"/>
      <c r="AD733" s="25"/>
    </row>
    <row r="734" spans="1:30" ht="15.75" customHeight="1">
      <c r="A734" s="25"/>
      <c r="B734" s="25"/>
      <c r="C734" s="25"/>
      <c r="D734" s="25"/>
      <c r="E734" s="25"/>
      <c r="F734" s="25"/>
      <c r="G734" s="25"/>
      <c r="H734" s="25"/>
      <c r="I734" s="40"/>
      <c r="J734" s="25"/>
      <c r="K734" s="25"/>
      <c r="L734" s="25"/>
      <c r="M734" s="25"/>
      <c r="N734" s="25"/>
      <c r="O734" s="25"/>
      <c r="P734" s="25"/>
      <c r="Q734" s="25"/>
      <c r="R734" s="25"/>
      <c r="S734" s="25"/>
      <c r="T734" s="25"/>
      <c r="U734" s="25"/>
      <c r="V734" s="25"/>
      <c r="W734" s="25"/>
      <c r="X734" s="25"/>
      <c r="Y734" s="25"/>
      <c r="Z734" s="25"/>
      <c r="AA734" s="25"/>
      <c r="AB734" s="25"/>
      <c r="AC734" s="25"/>
      <c r="AD734" s="25"/>
    </row>
    <row r="735" spans="1:30" ht="15.75" customHeight="1">
      <c r="A735" s="25"/>
      <c r="B735" s="25"/>
      <c r="C735" s="25"/>
      <c r="D735" s="25"/>
      <c r="E735" s="25"/>
      <c r="F735" s="25"/>
      <c r="G735" s="25"/>
      <c r="H735" s="25"/>
      <c r="I735" s="40"/>
      <c r="J735" s="25"/>
      <c r="K735" s="25"/>
      <c r="L735" s="25"/>
      <c r="M735" s="25"/>
      <c r="N735" s="25"/>
      <c r="O735" s="25"/>
      <c r="P735" s="25"/>
      <c r="Q735" s="25"/>
      <c r="R735" s="25"/>
      <c r="S735" s="25"/>
      <c r="T735" s="25"/>
      <c r="U735" s="25"/>
      <c r="V735" s="25"/>
      <c r="W735" s="25"/>
      <c r="X735" s="25"/>
      <c r="Y735" s="25"/>
      <c r="Z735" s="25"/>
      <c r="AA735" s="25"/>
      <c r="AB735" s="25"/>
      <c r="AC735" s="25"/>
      <c r="AD735" s="25"/>
    </row>
    <row r="736" spans="1:30" ht="15.75" customHeight="1">
      <c r="A736" s="25"/>
      <c r="B736" s="25"/>
      <c r="C736" s="25"/>
      <c r="D736" s="25"/>
      <c r="E736" s="25"/>
      <c r="F736" s="25"/>
      <c r="G736" s="25"/>
      <c r="H736" s="25"/>
      <c r="I736" s="40"/>
      <c r="J736" s="25"/>
      <c r="K736" s="25"/>
      <c r="L736" s="25"/>
      <c r="M736" s="25"/>
      <c r="N736" s="25"/>
      <c r="O736" s="25"/>
      <c r="P736" s="25"/>
      <c r="Q736" s="25"/>
      <c r="R736" s="25"/>
      <c r="S736" s="25"/>
      <c r="T736" s="25"/>
      <c r="U736" s="25"/>
      <c r="V736" s="25"/>
      <c r="W736" s="25"/>
      <c r="X736" s="25"/>
      <c r="Y736" s="25"/>
      <c r="Z736" s="25"/>
      <c r="AA736" s="25"/>
      <c r="AB736" s="25"/>
      <c r="AC736" s="25"/>
      <c r="AD736" s="25"/>
    </row>
    <row r="737" spans="1:30" ht="15.75" customHeight="1">
      <c r="A737" s="25"/>
      <c r="B737" s="25"/>
      <c r="C737" s="25"/>
      <c r="D737" s="25"/>
      <c r="E737" s="25"/>
      <c r="F737" s="25"/>
      <c r="G737" s="25"/>
      <c r="H737" s="25"/>
      <c r="I737" s="40"/>
      <c r="J737" s="25"/>
      <c r="K737" s="25"/>
      <c r="L737" s="25"/>
      <c r="M737" s="25"/>
      <c r="N737" s="25"/>
      <c r="O737" s="25"/>
      <c r="P737" s="25"/>
      <c r="Q737" s="25"/>
      <c r="R737" s="25"/>
      <c r="S737" s="25"/>
      <c r="T737" s="25"/>
      <c r="U737" s="25"/>
      <c r="V737" s="25"/>
      <c r="W737" s="25"/>
      <c r="X737" s="25"/>
      <c r="Y737" s="25"/>
      <c r="Z737" s="25"/>
      <c r="AA737" s="25"/>
      <c r="AB737" s="25"/>
      <c r="AC737" s="25"/>
      <c r="AD737" s="25"/>
    </row>
    <row r="738" spans="1:30" ht="15.75" customHeight="1">
      <c r="A738" s="25"/>
      <c r="B738" s="25"/>
      <c r="C738" s="25"/>
      <c r="D738" s="25"/>
      <c r="E738" s="25"/>
      <c r="F738" s="25"/>
      <c r="G738" s="25"/>
      <c r="H738" s="25"/>
      <c r="I738" s="40"/>
      <c r="J738" s="25"/>
      <c r="K738" s="25"/>
      <c r="L738" s="25"/>
      <c r="M738" s="25"/>
      <c r="N738" s="25"/>
      <c r="O738" s="25"/>
      <c r="P738" s="25"/>
      <c r="Q738" s="25"/>
      <c r="R738" s="25"/>
      <c r="S738" s="25"/>
      <c r="T738" s="25"/>
      <c r="U738" s="25"/>
      <c r="V738" s="25"/>
      <c r="W738" s="25"/>
      <c r="X738" s="25"/>
      <c r="Y738" s="25"/>
      <c r="Z738" s="25"/>
      <c r="AA738" s="25"/>
      <c r="AB738" s="25"/>
      <c r="AC738" s="25"/>
      <c r="AD738" s="25"/>
    </row>
    <row r="739" spans="1:30" ht="15.75" customHeight="1">
      <c r="A739" s="25"/>
      <c r="B739" s="25"/>
      <c r="C739" s="25"/>
      <c r="D739" s="25"/>
      <c r="E739" s="25"/>
      <c r="F739" s="25"/>
      <c r="G739" s="25"/>
      <c r="H739" s="25"/>
      <c r="I739" s="40"/>
      <c r="J739" s="25"/>
      <c r="K739" s="25"/>
      <c r="L739" s="25"/>
      <c r="M739" s="25"/>
      <c r="N739" s="25"/>
      <c r="O739" s="25"/>
      <c r="P739" s="25"/>
      <c r="Q739" s="25"/>
      <c r="R739" s="25"/>
      <c r="S739" s="25"/>
      <c r="T739" s="25"/>
      <c r="U739" s="25"/>
      <c r="V739" s="25"/>
      <c r="W739" s="25"/>
      <c r="X739" s="25"/>
      <c r="Y739" s="25"/>
      <c r="Z739" s="25"/>
      <c r="AA739" s="25"/>
      <c r="AB739" s="25"/>
      <c r="AC739" s="25"/>
      <c r="AD739" s="25"/>
    </row>
    <row r="740" spans="1:30" ht="15.75" customHeight="1">
      <c r="A740" s="25"/>
      <c r="B740" s="25"/>
      <c r="C740" s="25"/>
      <c r="D740" s="25"/>
      <c r="E740" s="25"/>
      <c r="F740" s="25"/>
      <c r="G740" s="25"/>
      <c r="H740" s="25"/>
      <c r="I740" s="40"/>
      <c r="J740" s="25"/>
      <c r="K740" s="25"/>
      <c r="L740" s="25"/>
      <c r="M740" s="25"/>
      <c r="N740" s="25"/>
      <c r="O740" s="25"/>
      <c r="P740" s="25"/>
      <c r="Q740" s="25"/>
      <c r="R740" s="25"/>
      <c r="S740" s="25"/>
      <c r="T740" s="25"/>
      <c r="U740" s="25"/>
      <c r="V740" s="25"/>
      <c r="W740" s="25"/>
      <c r="X740" s="25"/>
      <c r="Y740" s="25"/>
      <c r="Z740" s="25"/>
      <c r="AA740" s="25"/>
      <c r="AB740" s="25"/>
      <c r="AC740" s="25"/>
      <c r="AD740" s="25"/>
    </row>
    <row r="741" spans="1:30" ht="15.75" customHeight="1">
      <c r="A741" s="25"/>
      <c r="B741" s="25"/>
      <c r="C741" s="25"/>
      <c r="D741" s="25"/>
      <c r="E741" s="25"/>
      <c r="F741" s="25"/>
      <c r="G741" s="25"/>
      <c r="H741" s="25"/>
      <c r="I741" s="40"/>
      <c r="J741" s="25"/>
      <c r="K741" s="25"/>
      <c r="L741" s="25"/>
      <c r="M741" s="25"/>
      <c r="N741" s="25"/>
      <c r="O741" s="25"/>
      <c r="P741" s="25"/>
      <c r="Q741" s="25"/>
      <c r="R741" s="25"/>
      <c r="S741" s="25"/>
      <c r="T741" s="25"/>
      <c r="U741" s="25"/>
      <c r="V741" s="25"/>
      <c r="W741" s="25"/>
      <c r="X741" s="25"/>
      <c r="Y741" s="25"/>
      <c r="Z741" s="25"/>
      <c r="AA741" s="25"/>
      <c r="AB741" s="25"/>
      <c r="AC741" s="25"/>
      <c r="AD741" s="25"/>
    </row>
    <row r="742" spans="1:30" ht="15.75" customHeight="1">
      <c r="A742" s="25"/>
      <c r="B742" s="25"/>
      <c r="C742" s="25"/>
      <c r="D742" s="25"/>
      <c r="E742" s="25"/>
      <c r="F742" s="25"/>
      <c r="G742" s="25"/>
      <c r="H742" s="25"/>
      <c r="I742" s="40"/>
      <c r="J742" s="25"/>
      <c r="K742" s="25"/>
      <c r="L742" s="25"/>
      <c r="M742" s="25"/>
      <c r="N742" s="25"/>
      <c r="O742" s="25"/>
      <c r="P742" s="25"/>
      <c r="Q742" s="25"/>
      <c r="R742" s="25"/>
      <c r="S742" s="25"/>
      <c r="T742" s="25"/>
      <c r="U742" s="25"/>
      <c r="V742" s="25"/>
      <c r="W742" s="25"/>
      <c r="X742" s="25"/>
      <c r="Y742" s="25"/>
      <c r="Z742" s="25"/>
      <c r="AA742" s="25"/>
      <c r="AB742" s="25"/>
      <c r="AC742" s="25"/>
      <c r="AD742" s="25"/>
    </row>
    <row r="743" spans="1:30" ht="15.75" customHeight="1">
      <c r="A743" s="25"/>
      <c r="B743" s="25"/>
      <c r="C743" s="25"/>
      <c r="D743" s="25"/>
      <c r="E743" s="25"/>
      <c r="F743" s="25"/>
      <c r="G743" s="25"/>
      <c r="H743" s="25"/>
      <c r="I743" s="40"/>
      <c r="J743" s="25"/>
      <c r="K743" s="25"/>
      <c r="L743" s="25"/>
      <c r="M743" s="25"/>
      <c r="N743" s="25"/>
      <c r="O743" s="25"/>
      <c r="P743" s="25"/>
      <c r="Q743" s="25"/>
      <c r="R743" s="25"/>
      <c r="S743" s="25"/>
      <c r="T743" s="25"/>
      <c r="U743" s="25"/>
      <c r="V743" s="25"/>
      <c r="W743" s="25"/>
      <c r="X743" s="25"/>
      <c r="Y743" s="25"/>
      <c r="Z743" s="25"/>
      <c r="AA743" s="25"/>
      <c r="AB743" s="25"/>
      <c r="AC743" s="25"/>
      <c r="AD743" s="25"/>
    </row>
    <row r="744" spans="1:30" ht="15.75" customHeight="1">
      <c r="A744" s="25"/>
      <c r="B744" s="25"/>
      <c r="C744" s="25"/>
      <c r="D744" s="25"/>
      <c r="E744" s="25"/>
      <c r="F744" s="25"/>
      <c r="G744" s="25"/>
      <c r="H744" s="25"/>
      <c r="I744" s="40"/>
      <c r="J744" s="25"/>
      <c r="K744" s="25"/>
      <c r="L744" s="25"/>
      <c r="M744" s="25"/>
      <c r="N744" s="25"/>
      <c r="O744" s="25"/>
      <c r="P744" s="25"/>
      <c r="Q744" s="25"/>
      <c r="R744" s="25"/>
      <c r="S744" s="25"/>
      <c r="T744" s="25"/>
      <c r="U744" s="25"/>
      <c r="V744" s="25"/>
      <c r="W744" s="25"/>
      <c r="X744" s="25"/>
      <c r="Y744" s="25"/>
      <c r="Z744" s="25"/>
      <c r="AA744" s="25"/>
      <c r="AB744" s="25"/>
      <c r="AC744" s="25"/>
      <c r="AD744" s="25"/>
    </row>
    <row r="745" spans="1:30" ht="15.75" customHeight="1">
      <c r="A745" s="25"/>
      <c r="B745" s="25"/>
      <c r="C745" s="25"/>
      <c r="D745" s="25"/>
      <c r="E745" s="25"/>
      <c r="F745" s="25"/>
      <c r="G745" s="25"/>
      <c r="H745" s="25"/>
      <c r="I745" s="40"/>
      <c r="J745" s="25"/>
      <c r="K745" s="25"/>
      <c r="L745" s="25"/>
      <c r="M745" s="25"/>
      <c r="N745" s="25"/>
      <c r="O745" s="25"/>
      <c r="P745" s="25"/>
      <c r="Q745" s="25"/>
      <c r="R745" s="25"/>
      <c r="S745" s="25"/>
      <c r="T745" s="25"/>
      <c r="U745" s="25"/>
      <c r="V745" s="25"/>
      <c r="W745" s="25"/>
      <c r="X745" s="25"/>
      <c r="Y745" s="25"/>
      <c r="Z745" s="25"/>
      <c r="AA745" s="25"/>
      <c r="AB745" s="25"/>
      <c r="AC745" s="25"/>
      <c r="AD745" s="25"/>
    </row>
    <row r="746" spans="1:30" ht="15.75" customHeight="1">
      <c r="A746" s="25"/>
      <c r="B746" s="25"/>
      <c r="C746" s="25"/>
      <c r="D746" s="25"/>
      <c r="E746" s="25"/>
      <c r="F746" s="25"/>
      <c r="G746" s="25"/>
      <c r="H746" s="25"/>
      <c r="I746" s="40"/>
      <c r="J746" s="25"/>
      <c r="K746" s="25"/>
      <c r="L746" s="25"/>
      <c r="M746" s="25"/>
      <c r="N746" s="25"/>
      <c r="O746" s="25"/>
      <c r="P746" s="25"/>
      <c r="Q746" s="25"/>
      <c r="R746" s="25"/>
      <c r="S746" s="25"/>
      <c r="T746" s="25"/>
      <c r="U746" s="25"/>
      <c r="V746" s="25"/>
      <c r="W746" s="25"/>
      <c r="X746" s="25"/>
      <c r="Y746" s="25"/>
      <c r="Z746" s="25"/>
      <c r="AA746" s="25"/>
      <c r="AB746" s="25"/>
      <c r="AC746" s="25"/>
      <c r="AD746" s="25"/>
    </row>
    <row r="747" spans="1:30" ht="15.75" customHeight="1">
      <c r="A747" s="25"/>
      <c r="B747" s="25"/>
      <c r="C747" s="25"/>
      <c r="D747" s="25"/>
      <c r="E747" s="25"/>
      <c r="F747" s="25"/>
      <c r="G747" s="25"/>
      <c r="H747" s="25"/>
      <c r="I747" s="40"/>
      <c r="J747" s="25"/>
      <c r="K747" s="25"/>
      <c r="L747" s="25"/>
      <c r="M747" s="25"/>
      <c r="N747" s="25"/>
      <c r="O747" s="25"/>
      <c r="P747" s="25"/>
      <c r="Q747" s="25"/>
      <c r="R747" s="25"/>
      <c r="S747" s="25"/>
      <c r="T747" s="25"/>
      <c r="U747" s="25"/>
      <c r="V747" s="25"/>
      <c r="W747" s="25"/>
      <c r="X747" s="25"/>
      <c r="Y747" s="25"/>
      <c r="Z747" s="25"/>
      <c r="AA747" s="25"/>
      <c r="AB747" s="25"/>
      <c r="AC747" s="25"/>
      <c r="AD747" s="25"/>
    </row>
    <row r="748" spans="1:30" ht="15.75" customHeight="1">
      <c r="A748" s="25"/>
      <c r="B748" s="25"/>
      <c r="C748" s="25"/>
      <c r="D748" s="25"/>
      <c r="E748" s="25"/>
      <c r="F748" s="25"/>
      <c r="G748" s="25"/>
      <c r="H748" s="25"/>
      <c r="I748" s="40"/>
      <c r="J748" s="25"/>
      <c r="K748" s="25"/>
      <c r="L748" s="25"/>
      <c r="M748" s="25"/>
      <c r="N748" s="25"/>
      <c r="O748" s="25"/>
      <c r="P748" s="25"/>
      <c r="Q748" s="25"/>
      <c r="R748" s="25"/>
      <c r="S748" s="25"/>
      <c r="T748" s="25"/>
      <c r="U748" s="25"/>
      <c r="V748" s="25"/>
      <c r="W748" s="25"/>
      <c r="X748" s="25"/>
      <c r="Y748" s="25"/>
      <c r="Z748" s="25"/>
      <c r="AA748" s="25"/>
      <c r="AB748" s="25"/>
      <c r="AC748" s="25"/>
      <c r="AD748" s="25"/>
    </row>
    <row r="749" spans="1:30" ht="15.75" customHeight="1">
      <c r="A749" s="25"/>
      <c r="B749" s="25"/>
      <c r="C749" s="25"/>
      <c r="D749" s="25"/>
      <c r="E749" s="25"/>
      <c r="F749" s="25"/>
      <c r="G749" s="25"/>
      <c r="H749" s="25"/>
      <c r="I749" s="40"/>
      <c r="J749" s="25"/>
      <c r="K749" s="25"/>
      <c r="L749" s="25"/>
      <c r="M749" s="25"/>
      <c r="N749" s="25"/>
      <c r="O749" s="25"/>
      <c r="P749" s="25"/>
      <c r="Q749" s="25"/>
      <c r="R749" s="25"/>
      <c r="S749" s="25"/>
      <c r="T749" s="25"/>
      <c r="U749" s="25"/>
      <c r="V749" s="25"/>
      <c r="W749" s="25"/>
      <c r="X749" s="25"/>
      <c r="Y749" s="25"/>
      <c r="Z749" s="25"/>
      <c r="AA749" s="25"/>
      <c r="AB749" s="25"/>
      <c r="AC749" s="25"/>
      <c r="AD749" s="25"/>
    </row>
    <row r="750" spans="1:30" ht="15.75" customHeight="1">
      <c r="A750" s="25"/>
      <c r="B750" s="25"/>
      <c r="C750" s="25"/>
      <c r="D750" s="25"/>
      <c r="E750" s="25"/>
      <c r="F750" s="25"/>
      <c r="G750" s="25"/>
      <c r="H750" s="25"/>
      <c r="I750" s="40"/>
      <c r="J750" s="25"/>
      <c r="K750" s="25"/>
      <c r="L750" s="25"/>
      <c r="M750" s="25"/>
      <c r="N750" s="25"/>
      <c r="O750" s="25"/>
      <c r="P750" s="25"/>
      <c r="Q750" s="25"/>
      <c r="R750" s="25"/>
      <c r="S750" s="25"/>
      <c r="T750" s="25"/>
      <c r="U750" s="25"/>
      <c r="V750" s="25"/>
      <c r="W750" s="25"/>
      <c r="X750" s="25"/>
      <c r="Y750" s="25"/>
      <c r="Z750" s="25"/>
      <c r="AA750" s="25"/>
      <c r="AB750" s="25"/>
      <c r="AC750" s="25"/>
      <c r="AD750" s="25"/>
    </row>
    <row r="751" spans="1:30" ht="15.75" customHeight="1">
      <c r="A751" s="25"/>
      <c r="B751" s="25"/>
      <c r="C751" s="25"/>
      <c r="D751" s="25"/>
      <c r="E751" s="25"/>
      <c r="F751" s="25"/>
      <c r="G751" s="25"/>
      <c r="H751" s="25"/>
      <c r="I751" s="40"/>
      <c r="J751" s="25"/>
      <c r="K751" s="25"/>
      <c r="L751" s="25"/>
      <c r="M751" s="25"/>
      <c r="N751" s="25"/>
      <c r="O751" s="25"/>
      <c r="P751" s="25"/>
      <c r="Q751" s="25"/>
      <c r="R751" s="25"/>
      <c r="S751" s="25"/>
      <c r="T751" s="25"/>
      <c r="U751" s="25"/>
      <c r="V751" s="25"/>
      <c r="W751" s="25"/>
      <c r="X751" s="25"/>
      <c r="Y751" s="25"/>
      <c r="Z751" s="25"/>
      <c r="AA751" s="25"/>
      <c r="AB751" s="25"/>
      <c r="AC751" s="25"/>
      <c r="AD751" s="25"/>
    </row>
    <row r="752" spans="1:30" ht="15.75" customHeight="1">
      <c r="A752" s="25"/>
      <c r="B752" s="25"/>
      <c r="C752" s="25"/>
      <c r="D752" s="25"/>
      <c r="E752" s="25"/>
      <c r="F752" s="25"/>
      <c r="G752" s="25"/>
      <c r="H752" s="25"/>
      <c r="I752" s="40"/>
      <c r="J752" s="25"/>
      <c r="K752" s="25"/>
      <c r="L752" s="25"/>
      <c r="M752" s="25"/>
      <c r="N752" s="25"/>
      <c r="O752" s="25"/>
      <c r="P752" s="25"/>
      <c r="Q752" s="25"/>
      <c r="R752" s="25"/>
      <c r="S752" s="25"/>
      <c r="T752" s="25"/>
      <c r="U752" s="25"/>
      <c r="V752" s="25"/>
      <c r="W752" s="25"/>
      <c r="X752" s="25"/>
      <c r="Y752" s="25"/>
      <c r="Z752" s="25"/>
      <c r="AA752" s="25"/>
      <c r="AB752" s="25"/>
      <c r="AC752" s="25"/>
      <c r="AD752" s="25"/>
    </row>
    <row r="753" spans="1:30" ht="15.75" customHeight="1">
      <c r="A753" s="25"/>
      <c r="B753" s="25"/>
      <c r="C753" s="25"/>
      <c r="D753" s="25"/>
      <c r="E753" s="25"/>
      <c r="F753" s="25"/>
      <c r="G753" s="25"/>
      <c r="H753" s="25"/>
      <c r="I753" s="40"/>
      <c r="J753" s="25"/>
      <c r="K753" s="25"/>
      <c r="L753" s="25"/>
      <c r="M753" s="25"/>
      <c r="N753" s="25"/>
      <c r="O753" s="25"/>
      <c r="P753" s="25"/>
      <c r="Q753" s="25"/>
      <c r="R753" s="25"/>
      <c r="S753" s="25"/>
      <c r="T753" s="25"/>
      <c r="U753" s="25"/>
      <c r="V753" s="25"/>
      <c r="W753" s="25"/>
      <c r="X753" s="25"/>
      <c r="Y753" s="25"/>
      <c r="Z753" s="25"/>
      <c r="AA753" s="25"/>
      <c r="AB753" s="25"/>
      <c r="AC753" s="25"/>
      <c r="AD753" s="25"/>
    </row>
    <row r="754" spans="1:30" ht="15.75" customHeight="1">
      <c r="A754" s="25"/>
      <c r="B754" s="25"/>
      <c r="C754" s="25"/>
      <c r="D754" s="25"/>
      <c r="E754" s="25"/>
      <c r="F754" s="25"/>
      <c r="G754" s="25"/>
      <c r="H754" s="25"/>
      <c r="I754" s="40"/>
      <c r="J754" s="25"/>
      <c r="K754" s="25"/>
      <c r="L754" s="25"/>
      <c r="M754" s="25"/>
      <c r="N754" s="25"/>
      <c r="O754" s="25"/>
      <c r="P754" s="25"/>
      <c r="Q754" s="25"/>
      <c r="R754" s="25"/>
      <c r="S754" s="25"/>
      <c r="T754" s="25"/>
      <c r="U754" s="25"/>
      <c r="V754" s="25"/>
      <c r="W754" s="25"/>
      <c r="X754" s="25"/>
      <c r="Y754" s="25"/>
      <c r="Z754" s="25"/>
      <c r="AA754" s="25"/>
      <c r="AB754" s="25"/>
      <c r="AC754" s="25"/>
      <c r="AD754" s="25"/>
    </row>
    <row r="755" spans="1:30" ht="15.75" customHeight="1">
      <c r="A755" s="25"/>
      <c r="B755" s="25"/>
      <c r="C755" s="25"/>
      <c r="D755" s="25"/>
      <c r="E755" s="25"/>
      <c r="F755" s="25"/>
      <c r="G755" s="25"/>
      <c r="H755" s="25"/>
      <c r="I755" s="40"/>
      <c r="J755" s="25"/>
      <c r="K755" s="25"/>
      <c r="L755" s="25"/>
      <c r="M755" s="25"/>
      <c r="N755" s="25"/>
      <c r="O755" s="25"/>
      <c r="P755" s="25"/>
      <c r="Q755" s="25"/>
      <c r="R755" s="25"/>
      <c r="S755" s="25"/>
      <c r="T755" s="25"/>
      <c r="U755" s="25"/>
      <c r="V755" s="25"/>
      <c r="W755" s="25"/>
      <c r="X755" s="25"/>
      <c r="Y755" s="25"/>
      <c r="Z755" s="25"/>
      <c r="AA755" s="25"/>
      <c r="AB755" s="25"/>
      <c r="AC755" s="25"/>
      <c r="AD755" s="25"/>
    </row>
    <row r="756" spans="1:30" ht="15.75" customHeight="1">
      <c r="A756" s="25"/>
      <c r="B756" s="25"/>
      <c r="C756" s="25"/>
      <c r="D756" s="25"/>
      <c r="E756" s="25"/>
      <c r="F756" s="25"/>
      <c r="G756" s="25"/>
      <c r="H756" s="25"/>
      <c r="I756" s="40"/>
      <c r="J756" s="25"/>
      <c r="K756" s="25"/>
      <c r="L756" s="25"/>
      <c r="M756" s="25"/>
      <c r="N756" s="25"/>
      <c r="O756" s="25"/>
      <c r="P756" s="25"/>
      <c r="Q756" s="25"/>
      <c r="R756" s="25"/>
      <c r="S756" s="25"/>
      <c r="T756" s="25"/>
      <c r="U756" s="25"/>
      <c r="V756" s="25"/>
      <c r="W756" s="25"/>
      <c r="X756" s="25"/>
      <c r="Y756" s="25"/>
      <c r="Z756" s="25"/>
      <c r="AA756" s="25"/>
      <c r="AB756" s="25"/>
      <c r="AC756" s="25"/>
      <c r="AD756" s="25"/>
    </row>
    <row r="757" spans="1:30" ht="15.75" customHeight="1">
      <c r="A757" s="25"/>
      <c r="B757" s="25"/>
      <c r="C757" s="25"/>
      <c r="D757" s="25"/>
      <c r="E757" s="25"/>
      <c r="F757" s="25"/>
      <c r="G757" s="25"/>
      <c r="H757" s="25"/>
      <c r="I757" s="40"/>
      <c r="J757" s="25"/>
      <c r="K757" s="25"/>
      <c r="L757" s="25"/>
      <c r="M757" s="25"/>
      <c r="N757" s="25"/>
      <c r="O757" s="25"/>
      <c r="P757" s="25"/>
      <c r="Q757" s="25"/>
      <c r="R757" s="25"/>
      <c r="S757" s="25"/>
      <c r="T757" s="25"/>
      <c r="U757" s="25"/>
      <c r="V757" s="25"/>
      <c r="W757" s="25"/>
      <c r="X757" s="25"/>
      <c r="Y757" s="25"/>
      <c r="Z757" s="25"/>
      <c r="AA757" s="25"/>
      <c r="AB757" s="25"/>
      <c r="AC757" s="25"/>
      <c r="AD757" s="25"/>
    </row>
    <row r="758" spans="1:30" ht="15.75" customHeight="1">
      <c r="A758" s="25"/>
      <c r="B758" s="25"/>
      <c r="C758" s="25"/>
      <c r="D758" s="25"/>
      <c r="E758" s="25"/>
      <c r="F758" s="25"/>
      <c r="G758" s="25"/>
      <c r="H758" s="25"/>
      <c r="I758" s="40"/>
      <c r="J758" s="25"/>
      <c r="K758" s="25"/>
      <c r="L758" s="25"/>
      <c r="M758" s="25"/>
      <c r="N758" s="25"/>
      <c r="O758" s="25"/>
      <c r="P758" s="25"/>
      <c r="Q758" s="25"/>
      <c r="R758" s="25"/>
      <c r="S758" s="25"/>
      <c r="T758" s="25"/>
      <c r="U758" s="25"/>
      <c r="V758" s="25"/>
      <c r="W758" s="25"/>
      <c r="X758" s="25"/>
      <c r="Y758" s="25"/>
      <c r="Z758" s="25"/>
      <c r="AA758" s="25"/>
      <c r="AB758" s="25"/>
      <c r="AC758" s="25"/>
      <c r="AD758" s="25"/>
    </row>
    <row r="759" spans="1:30" ht="15.75" customHeight="1">
      <c r="A759" s="25"/>
      <c r="B759" s="25"/>
      <c r="C759" s="25"/>
      <c r="D759" s="25"/>
      <c r="E759" s="25"/>
      <c r="F759" s="25"/>
      <c r="G759" s="25"/>
      <c r="H759" s="25"/>
      <c r="I759" s="40"/>
      <c r="J759" s="25"/>
      <c r="K759" s="25"/>
      <c r="L759" s="25"/>
      <c r="M759" s="25"/>
      <c r="N759" s="25"/>
      <c r="O759" s="25"/>
      <c r="P759" s="25"/>
      <c r="Q759" s="25"/>
      <c r="R759" s="25"/>
      <c r="S759" s="25"/>
      <c r="T759" s="25"/>
      <c r="U759" s="25"/>
      <c r="V759" s="25"/>
      <c r="W759" s="25"/>
      <c r="X759" s="25"/>
      <c r="Y759" s="25"/>
      <c r="Z759" s="25"/>
      <c r="AA759" s="25"/>
      <c r="AB759" s="25"/>
      <c r="AC759" s="25"/>
      <c r="AD759" s="25"/>
    </row>
    <row r="760" spans="1:30" ht="15.75" customHeight="1">
      <c r="A760" s="25"/>
      <c r="B760" s="25"/>
      <c r="C760" s="25"/>
      <c r="D760" s="25"/>
      <c r="E760" s="25"/>
      <c r="F760" s="25"/>
      <c r="G760" s="25"/>
      <c r="H760" s="25"/>
      <c r="I760" s="40"/>
      <c r="J760" s="25"/>
      <c r="K760" s="25"/>
      <c r="L760" s="25"/>
      <c r="M760" s="25"/>
      <c r="N760" s="25"/>
      <c r="O760" s="25"/>
      <c r="P760" s="25"/>
      <c r="Q760" s="25"/>
      <c r="R760" s="25"/>
      <c r="S760" s="25"/>
      <c r="T760" s="25"/>
      <c r="U760" s="25"/>
      <c r="V760" s="25"/>
      <c r="W760" s="25"/>
      <c r="X760" s="25"/>
      <c r="Y760" s="25"/>
      <c r="Z760" s="25"/>
      <c r="AA760" s="25"/>
      <c r="AB760" s="25"/>
      <c r="AC760" s="25"/>
      <c r="AD760" s="25"/>
    </row>
    <row r="761" spans="1:30" ht="15.75" customHeight="1">
      <c r="A761" s="25"/>
      <c r="B761" s="25"/>
      <c r="C761" s="25"/>
      <c r="D761" s="25"/>
      <c r="E761" s="25"/>
      <c r="F761" s="25"/>
      <c r="G761" s="25"/>
      <c r="H761" s="25"/>
      <c r="I761" s="40"/>
      <c r="J761" s="25"/>
      <c r="K761" s="25"/>
      <c r="L761" s="25"/>
      <c r="M761" s="25"/>
      <c r="N761" s="25"/>
      <c r="O761" s="25"/>
      <c r="P761" s="25"/>
      <c r="Q761" s="25"/>
      <c r="R761" s="25"/>
      <c r="S761" s="25"/>
      <c r="T761" s="25"/>
      <c r="U761" s="25"/>
      <c r="V761" s="25"/>
      <c r="W761" s="25"/>
      <c r="X761" s="25"/>
      <c r="Y761" s="25"/>
      <c r="Z761" s="25"/>
      <c r="AA761" s="25"/>
      <c r="AB761" s="25"/>
      <c r="AC761" s="25"/>
      <c r="AD761" s="25"/>
    </row>
    <row r="762" spans="1:30" ht="15.75" customHeight="1">
      <c r="A762" s="25"/>
      <c r="B762" s="25"/>
      <c r="C762" s="25"/>
      <c r="D762" s="25"/>
      <c r="E762" s="25"/>
      <c r="F762" s="25"/>
      <c r="G762" s="25"/>
      <c r="H762" s="25"/>
      <c r="I762" s="40"/>
      <c r="J762" s="25"/>
      <c r="K762" s="25"/>
      <c r="L762" s="25"/>
      <c r="M762" s="25"/>
      <c r="N762" s="25"/>
      <c r="O762" s="25"/>
      <c r="P762" s="25"/>
      <c r="Q762" s="25"/>
      <c r="R762" s="25"/>
      <c r="S762" s="25"/>
      <c r="T762" s="25"/>
      <c r="U762" s="25"/>
      <c r="V762" s="25"/>
      <c r="W762" s="25"/>
      <c r="X762" s="25"/>
      <c r="Y762" s="25"/>
      <c r="Z762" s="25"/>
      <c r="AA762" s="25"/>
      <c r="AB762" s="25"/>
      <c r="AC762" s="25"/>
      <c r="AD762" s="25"/>
    </row>
    <row r="763" spans="1:30" ht="15.75" customHeight="1">
      <c r="A763" s="25"/>
      <c r="B763" s="25"/>
      <c r="C763" s="25"/>
      <c r="D763" s="25"/>
      <c r="E763" s="25"/>
      <c r="F763" s="25"/>
      <c r="G763" s="25"/>
      <c r="H763" s="25"/>
      <c r="I763" s="40"/>
      <c r="J763" s="25"/>
      <c r="K763" s="25"/>
      <c r="L763" s="25"/>
      <c r="M763" s="25"/>
      <c r="N763" s="25"/>
      <c r="O763" s="25"/>
      <c r="P763" s="25"/>
      <c r="Q763" s="25"/>
      <c r="R763" s="25"/>
      <c r="S763" s="25"/>
      <c r="T763" s="25"/>
      <c r="U763" s="25"/>
      <c r="V763" s="25"/>
      <c r="W763" s="25"/>
      <c r="X763" s="25"/>
      <c r="Y763" s="25"/>
      <c r="Z763" s="25"/>
      <c r="AA763" s="25"/>
      <c r="AB763" s="25"/>
      <c r="AC763" s="25"/>
      <c r="AD763" s="25"/>
    </row>
    <row r="764" spans="1:30" ht="15.75" customHeight="1">
      <c r="A764" s="25"/>
      <c r="B764" s="25"/>
      <c r="C764" s="25"/>
      <c r="D764" s="25"/>
      <c r="E764" s="25"/>
      <c r="F764" s="25"/>
      <c r="G764" s="25"/>
      <c r="H764" s="25"/>
      <c r="I764" s="40"/>
      <c r="J764" s="25"/>
      <c r="K764" s="25"/>
      <c r="L764" s="25"/>
      <c r="M764" s="25"/>
      <c r="N764" s="25"/>
      <c r="O764" s="25"/>
      <c r="P764" s="25"/>
      <c r="Q764" s="25"/>
      <c r="R764" s="25"/>
      <c r="S764" s="25"/>
      <c r="T764" s="25"/>
      <c r="U764" s="25"/>
      <c r="V764" s="25"/>
      <c r="W764" s="25"/>
      <c r="X764" s="25"/>
      <c r="Y764" s="25"/>
      <c r="Z764" s="25"/>
      <c r="AA764" s="25"/>
      <c r="AB764" s="25"/>
      <c r="AC764" s="25"/>
      <c r="AD764" s="25"/>
    </row>
    <row r="765" spans="1:30" ht="15.75" customHeight="1">
      <c r="A765" s="25"/>
      <c r="B765" s="25"/>
      <c r="C765" s="25"/>
      <c r="D765" s="25"/>
      <c r="E765" s="25"/>
      <c r="F765" s="25"/>
      <c r="G765" s="25"/>
      <c r="H765" s="25"/>
      <c r="I765" s="40"/>
      <c r="J765" s="25"/>
      <c r="K765" s="25"/>
      <c r="L765" s="25"/>
      <c r="M765" s="25"/>
      <c r="N765" s="25"/>
      <c r="O765" s="25"/>
      <c r="P765" s="25"/>
      <c r="Q765" s="25"/>
      <c r="R765" s="25"/>
      <c r="S765" s="25"/>
      <c r="T765" s="25"/>
      <c r="U765" s="25"/>
      <c r="V765" s="25"/>
      <c r="W765" s="25"/>
      <c r="X765" s="25"/>
      <c r="Y765" s="25"/>
      <c r="Z765" s="25"/>
      <c r="AA765" s="25"/>
      <c r="AB765" s="25"/>
      <c r="AC765" s="25"/>
      <c r="AD765" s="25"/>
    </row>
    <row r="766" spans="1:30" ht="15.75" customHeight="1">
      <c r="A766" s="25"/>
      <c r="B766" s="25"/>
      <c r="C766" s="25"/>
      <c r="D766" s="25"/>
      <c r="E766" s="25"/>
      <c r="F766" s="25"/>
      <c r="G766" s="25"/>
      <c r="H766" s="25"/>
      <c r="I766" s="40"/>
      <c r="J766" s="25"/>
      <c r="K766" s="25"/>
      <c r="L766" s="25"/>
      <c r="M766" s="25"/>
      <c r="N766" s="25"/>
      <c r="O766" s="25"/>
      <c r="P766" s="25"/>
      <c r="Q766" s="25"/>
      <c r="R766" s="25"/>
      <c r="S766" s="25"/>
      <c r="T766" s="25"/>
      <c r="U766" s="25"/>
      <c r="V766" s="25"/>
      <c r="W766" s="25"/>
      <c r="X766" s="25"/>
      <c r="Y766" s="25"/>
      <c r="Z766" s="25"/>
      <c r="AA766" s="25"/>
      <c r="AB766" s="25"/>
      <c r="AC766" s="25"/>
      <c r="AD766" s="25"/>
    </row>
    <row r="767" spans="1:30" ht="15.75" customHeight="1">
      <c r="A767" s="25"/>
      <c r="B767" s="25"/>
      <c r="C767" s="25"/>
      <c r="D767" s="25"/>
      <c r="E767" s="25"/>
      <c r="F767" s="25"/>
      <c r="G767" s="25"/>
      <c r="H767" s="25"/>
      <c r="I767" s="40"/>
      <c r="J767" s="25"/>
      <c r="K767" s="25"/>
      <c r="L767" s="25"/>
      <c r="M767" s="25"/>
      <c r="N767" s="25"/>
      <c r="O767" s="25"/>
      <c r="P767" s="25"/>
      <c r="Q767" s="25"/>
      <c r="R767" s="25"/>
      <c r="S767" s="25"/>
      <c r="T767" s="25"/>
      <c r="U767" s="25"/>
      <c r="V767" s="25"/>
      <c r="W767" s="25"/>
      <c r="X767" s="25"/>
      <c r="Y767" s="25"/>
      <c r="Z767" s="25"/>
      <c r="AA767" s="25"/>
      <c r="AB767" s="25"/>
      <c r="AC767" s="25"/>
      <c r="AD767" s="25"/>
    </row>
    <row r="768" spans="1:30" ht="15.75" customHeight="1">
      <c r="A768" s="25"/>
      <c r="B768" s="25"/>
      <c r="C768" s="25"/>
      <c r="D768" s="25"/>
      <c r="E768" s="25"/>
      <c r="F768" s="25"/>
      <c r="G768" s="25"/>
      <c r="H768" s="25"/>
      <c r="I768" s="40"/>
      <c r="J768" s="25"/>
      <c r="K768" s="25"/>
      <c r="L768" s="25"/>
      <c r="M768" s="25"/>
      <c r="N768" s="25"/>
      <c r="O768" s="25"/>
      <c r="P768" s="25"/>
      <c r="Q768" s="25"/>
      <c r="R768" s="25"/>
      <c r="S768" s="25"/>
      <c r="T768" s="25"/>
      <c r="U768" s="25"/>
      <c r="V768" s="25"/>
      <c r="W768" s="25"/>
      <c r="X768" s="25"/>
      <c r="Y768" s="25"/>
      <c r="Z768" s="25"/>
      <c r="AA768" s="25"/>
      <c r="AB768" s="25"/>
      <c r="AC768" s="25"/>
      <c r="AD768" s="25"/>
    </row>
    <row r="769" spans="1:30" ht="15.75" customHeight="1">
      <c r="A769" s="25"/>
      <c r="B769" s="25"/>
      <c r="C769" s="25"/>
      <c r="D769" s="25"/>
      <c r="E769" s="25"/>
      <c r="F769" s="25"/>
      <c r="G769" s="25"/>
      <c r="H769" s="25"/>
      <c r="I769" s="40"/>
      <c r="J769" s="25"/>
      <c r="K769" s="25"/>
      <c r="L769" s="25"/>
      <c r="M769" s="25"/>
      <c r="N769" s="25"/>
      <c r="O769" s="25"/>
      <c r="P769" s="25"/>
      <c r="Q769" s="25"/>
      <c r="R769" s="25"/>
      <c r="S769" s="25"/>
      <c r="T769" s="25"/>
      <c r="U769" s="25"/>
      <c r="V769" s="25"/>
      <c r="W769" s="25"/>
      <c r="X769" s="25"/>
      <c r="Y769" s="25"/>
      <c r="Z769" s="25"/>
      <c r="AA769" s="25"/>
      <c r="AB769" s="25"/>
      <c r="AC769" s="25"/>
      <c r="AD769" s="25"/>
    </row>
    <row r="770" spans="1:30" ht="15.75" customHeight="1">
      <c r="A770" s="25"/>
      <c r="B770" s="25"/>
      <c r="C770" s="25"/>
      <c r="D770" s="25"/>
      <c r="E770" s="25"/>
      <c r="F770" s="25"/>
      <c r="G770" s="25"/>
      <c r="H770" s="25"/>
      <c r="I770" s="40"/>
      <c r="J770" s="25"/>
      <c r="K770" s="25"/>
      <c r="L770" s="25"/>
      <c r="M770" s="25"/>
      <c r="N770" s="25"/>
      <c r="O770" s="25"/>
      <c r="P770" s="25"/>
      <c r="Q770" s="25"/>
      <c r="R770" s="25"/>
      <c r="S770" s="25"/>
      <c r="T770" s="25"/>
      <c r="U770" s="25"/>
      <c r="V770" s="25"/>
      <c r="W770" s="25"/>
      <c r="X770" s="25"/>
      <c r="Y770" s="25"/>
      <c r="Z770" s="25"/>
      <c r="AA770" s="25"/>
      <c r="AB770" s="25"/>
      <c r="AC770" s="25"/>
      <c r="AD770" s="25"/>
    </row>
    <row r="771" spans="1:30" ht="15.75" customHeight="1">
      <c r="A771" s="25"/>
      <c r="B771" s="25"/>
      <c r="C771" s="25"/>
      <c r="D771" s="25"/>
      <c r="E771" s="25"/>
      <c r="F771" s="25"/>
      <c r="G771" s="25"/>
      <c r="H771" s="25"/>
      <c r="I771" s="40"/>
      <c r="J771" s="25"/>
      <c r="K771" s="25"/>
      <c r="L771" s="25"/>
      <c r="M771" s="25"/>
      <c r="N771" s="25"/>
      <c r="O771" s="25"/>
      <c r="P771" s="25"/>
      <c r="Q771" s="25"/>
      <c r="R771" s="25"/>
      <c r="S771" s="25"/>
      <c r="T771" s="25"/>
      <c r="U771" s="25"/>
      <c r="V771" s="25"/>
      <c r="W771" s="25"/>
      <c r="X771" s="25"/>
      <c r="Y771" s="25"/>
      <c r="Z771" s="25"/>
      <c r="AA771" s="25"/>
      <c r="AB771" s="25"/>
      <c r="AC771" s="25"/>
      <c r="AD771" s="25"/>
    </row>
    <row r="772" spans="1:30" ht="15.75" customHeight="1">
      <c r="A772" s="25"/>
      <c r="B772" s="25"/>
      <c r="C772" s="25"/>
      <c r="D772" s="25"/>
      <c r="E772" s="25"/>
      <c r="F772" s="25"/>
      <c r="G772" s="25"/>
      <c r="H772" s="25"/>
      <c r="I772" s="40"/>
      <c r="J772" s="25"/>
      <c r="K772" s="25"/>
      <c r="L772" s="25"/>
      <c r="M772" s="25"/>
      <c r="N772" s="25"/>
      <c r="O772" s="25"/>
      <c r="P772" s="25"/>
      <c r="Q772" s="25"/>
      <c r="R772" s="25"/>
      <c r="S772" s="25"/>
      <c r="T772" s="25"/>
      <c r="U772" s="25"/>
      <c r="V772" s="25"/>
      <c r="W772" s="25"/>
      <c r="X772" s="25"/>
      <c r="Y772" s="25"/>
      <c r="Z772" s="25"/>
      <c r="AA772" s="25"/>
      <c r="AB772" s="25"/>
      <c r="AC772" s="25"/>
      <c r="AD772" s="25"/>
    </row>
    <row r="773" spans="1:30" ht="15.75" customHeight="1">
      <c r="A773" s="25"/>
      <c r="B773" s="25"/>
      <c r="C773" s="25"/>
      <c r="D773" s="25"/>
      <c r="E773" s="25"/>
      <c r="F773" s="25"/>
      <c r="G773" s="25"/>
      <c r="H773" s="25"/>
      <c r="I773" s="40"/>
      <c r="J773" s="25"/>
      <c r="K773" s="25"/>
      <c r="L773" s="25"/>
      <c r="M773" s="25"/>
      <c r="N773" s="25"/>
      <c r="O773" s="25"/>
      <c r="P773" s="25"/>
      <c r="Q773" s="25"/>
      <c r="R773" s="25"/>
      <c r="S773" s="25"/>
      <c r="T773" s="25"/>
      <c r="U773" s="25"/>
      <c r="V773" s="25"/>
      <c r="W773" s="25"/>
      <c r="X773" s="25"/>
      <c r="Y773" s="25"/>
      <c r="Z773" s="25"/>
      <c r="AA773" s="25"/>
      <c r="AB773" s="25"/>
      <c r="AC773" s="25"/>
      <c r="AD773" s="25"/>
    </row>
    <row r="774" spans="1:30" ht="15.75" customHeight="1">
      <c r="A774" s="25"/>
      <c r="B774" s="25"/>
      <c r="C774" s="25"/>
      <c r="D774" s="25"/>
      <c r="E774" s="25"/>
      <c r="F774" s="25"/>
      <c r="G774" s="25"/>
      <c r="H774" s="25"/>
      <c r="I774" s="40"/>
      <c r="J774" s="25"/>
      <c r="K774" s="25"/>
      <c r="L774" s="25"/>
      <c r="M774" s="25"/>
      <c r="N774" s="25"/>
      <c r="O774" s="25"/>
      <c r="P774" s="25"/>
      <c r="Q774" s="25"/>
      <c r="R774" s="25"/>
      <c r="S774" s="25"/>
      <c r="T774" s="25"/>
      <c r="U774" s="25"/>
      <c r="V774" s="25"/>
      <c r="W774" s="25"/>
      <c r="X774" s="25"/>
      <c r="Y774" s="25"/>
      <c r="Z774" s="25"/>
      <c r="AA774" s="25"/>
      <c r="AB774" s="25"/>
      <c r="AC774" s="25"/>
      <c r="AD774" s="25"/>
    </row>
    <row r="775" spans="1:30" ht="15.75" customHeight="1">
      <c r="A775" s="25"/>
      <c r="B775" s="25"/>
      <c r="C775" s="25"/>
      <c r="D775" s="25"/>
      <c r="E775" s="25"/>
      <c r="F775" s="25"/>
      <c r="G775" s="25"/>
      <c r="H775" s="25"/>
      <c r="I775" s="40"/>
      <c r="J775" s="25"/>
      <c r="K775" s="25"/>
      <c r="L775" s="25"/>
      <c r="M775" s="25"/>
      <c r="N775" s="25"/>
      <c r="O775" s="25"/>
      <c r="P775" s="25"/>
      <c r="Q775" s="25"/>
      <c r="R775" s="25"/>
      <c r="S775" s="25"/>
      <c r="T775" s="25"/>
      <c r="U775" s="25"/>
      <c r="V775" s="25"/>
      <c r="W775" s="25"/>
      <c r="X775" s="25"/>
      <c r="Y775" s="25"/>
      <c r="Z775" s="25"/>
      <c r="AA775" s="25"/>
      <c r="AB775" s="25"/>
      <c r="AC775" s="25"/>
      <c r="AD775" s="25"/>
    </row>
    <row r="776" spans="1:30" ht="15.75" customHeight="1">
      <c r="A776" s="25"/>
      <c r="B776" s="25"/>
      <c r="C776" s="25"/>
      <c r="D776" s="25"/>
      <c r="E776" s="25"/>
      <c r="F776" s="25"/>
      <c r="G776" s="25"/>
      <c r="H776" s="25"/>
      <c r="I776" s="40"/>
      <c r="J776" s="25"/>
      <c r="K776" s="25"/>
      <c r="L776" s="25"/>
      <c r="M776" s="25"/>
      <c r="N776" s="25"/>
      <c r="O776" s="25"/>
      <c r="P776" s="25"/>
      <c r="Q776" s="25"/>
      <c r="R776" s="25"/>
      <c r="S776" s="25"/>
      <c r="T776" s="25"/>
      <c r="U776" s="25"/>
      <c r="V776" s="25"/>
      <c r="W776" s="25"/>
      <c r="X776" s="25"/>
      <c r="Y776" s="25"/>
      <c r="Z776" s="25"/>
      <c r="AA776" s="25"/>
      <c r="AB776" s="25"/>
      <c r="AC776" s="25"/>
      <c r="AD776" s="25"/>
    </row>
    <row r="777" spans="1:30" ht="15.75" customHeight="1">
      <c r="A777" s="25"/>
      <c r="B777" s="25"/>
      <c r="C777" s="25"/>
      <c r="D777" s="25"/>
      <c r="E777" s="25"/>
      <c r="F777" s="25"/>
      <c r="G777" s="25"/>
      <c r="H777" s="25"/>
      <c r="I777" s="40"/>
      <c r="J777" s="25"/>
      <c r="K777" s="25"/>
      <c r="L777" s="25"/>
      <c r="M777" s="25"/>
      <c r="N777" s="25"/>
      <c r="O777" s="25"/>
      <c r="P777" s="25"/>
      <c r="Q777" s="25"/>
      <c r="R777" s="25"/>
      <c r="S777" s="25"/>
      <c r="T777" s="25"/>
      <c r="U777" s="25"/>
      <c r="V777" s="25"/>
      <c r="W777" s="25"/>
      <c r="X777" s="25"/>
      <c r="Y777" s="25"/>
      <c r="Z777" s="25"/>
      <c r="AA777" s="25"/>
      <c r="AB777" s="25"/>
      <c r="AC777" s="25"/>
      <c r="AD777" s="25"/>
    </row>
    <row r="778" spans="1:30" ht="15.75" customHeight="1">
      <c r="A778" s="25"/>
      <c r="B778" s="25"/>
      <c r="C778" s="25"/>
      <c r="D778" s="25"/>
      <c r="E778" s="25"/>
      <c r="F778" s="25"/>
      <c r="G778" s="25"/>
      <c r="H778" s="25"/>
      <c r="I778" s="40"/>
      <c r="J778" s="25"/>
      <c r="K778" s="25"/>
      <c r="L778" s="25"/>
      <c r="M778" s="25"/>
      <c r="N778" s="25"/>
      <c r="O778" s="25"/>
      <c r="P778" s="25"/>
      <c r="Q778" s="25"/>
      <c r="R778" s="25"/>
      <c r="S778" s="25"/>
      <c r="T778" s="25"/>
      <c r="U778" s="25"/>
      <c r="V778" s="25"/>
      <c r="W778" s="25"/>
      <c r="X778" s="25"/>
      <c r="Y778" s="25"/>
      <c r="Z778" s="25"/>
      <c r="AA778" s="25"/>
      <c r="AB778" s="25"/>
      <c r="AC778" s="25"/>
      <c r="AD778" s="25"/>
    </row>
    <row r="779" spans="1:30" ht="15.75" customHeight="1">
      <c r="A779" s="25"/>
      <c r="B779" s="25"/>
      <c r="C779" s="25"/>
      <c r="D779" s="25"/>
      <c r="E779" s="25"/>
      <c r="F779" s="25"/>
      <c r="G779" s="25"/>
      <c r="H779" s="25"/>
      <c r="I779" s="40"/>
      <c r="J779" s="25"/>
      <c r="K779" s="25"/>
      <c r="L779" s="25"/>
      <c r="M779" s="25"/>
      <c r="N779" s="25"/>
      <c r="O779" s="25"/>
      <c r="P779" s="25"/>
      <c r="Q779" s="25"/>
      <c r="R779" s="25"/>
      <c r="S779" s="25"/>
      <c r="T779" s="25"/>
      <c r="U779" s="25"/>
      <c r="V779" s="25"/>
      <c r="W779" s="25"/>
      <c r="X779" s="25"/>
      <c r="Y779" s="25"/>
      <c r="Z779" s="25"/>
      <c r="AA779" s="25"/>
      <c r="AB779" s="25"/>
      <c r="AC779" s="25"/>
      <c r="AD779" s="25"/>
    </row>
    <row r="780" spans="1:30" ht="15.75" customHeight="1">
      <c r="A780" s="25"/>
      <c r="B780" s="25"/>
      <c r="C780" s="25"/>
      <c r="D780" s="25"/>
      <c r="E780" s="25"/>
      <c r="F780" s="25"/>
      <c r="G780" s="25"/>
      <c r="H780" s="25"/>
      <c r="I780" s="40"/>
      <c r="J780" s="25"/>
      <c r="K780" s="25"/>
      <c r="L780" s="25"/>
      <c r="M780" s="25"/>
      <c r="N780" s="25"/>
      <c r="O780" s="25"/>
      <c r="P780" s="25"/>
      <c r="Q780" s="25"/>
      <c r="R780" s="25"/>
      <c r="S780" s="25"/>
      <c r="T780" s="25"/>
      <c r="U780" s="25"/>
      <c r="V780" s="25"/>
      <c r="W780" s="25"/>
      <c r="X780" s="25"/>
      <c r="Y780" s="25"/>
      <c r="Z780" s="25"/>
      <c r="AA780" s="25"/>
      <c r="AB780" s="25"/>
      <c r="AC780" s="25"/>
      <c r="AD780" s="25"/>
    </row>
    <row r="781" spans="1:30" ht="15.75" customHeight="1">
      <c r="A781" s="25"/>
      <c r="B781" s="25"/>
      <c r="C781" s="25"/>
      <c r="D781" s="25"/>
      <c r="E781" s="25"/>
      <c r="F781" s="25"/>
      <c r="G781" s="25"/>
      <c r="H781" s="25"/>
      <c r="I781" s="40"/>
      <c r="J781" s="25"/>
      <c r="K781" s="25"/>
      <c r="L781" s="25"/>
      <c r="M781" s="25"/>
      <c r="N781" s="25"/>
      <c r="O781" s="25"/>
      <c r="P781" s="25"/>
      <c r="Q781" s="25"/>
      <c r="R781" s="25"/>
      <c r="S781" s="25"/>
      <c r="T781" s="25"/>
      <c r="U781" s="25"/>
      <c r="V781" s="25"/>
      <c r="W781" s="25"/>
      <c r="X781" s="25"/>
      <c r="Y781" s="25"/>
      <c r="Z781" s="25"/>
      <c r="AA781" s="25"/>
      <c r="AB781" s="25"/>
      <c r="AC781" s="25"/>
      <c r="AD781" s="25"/>
    </row>
    <row r="782" spans="1:30" ht="15.75" customHeight="1">
      <c r="A782" s="25"/>
      <c r="B782" s="25"/>
      <c r="C782" s="25"/>
      <c r="D782" s="25"/>
      <c r="E782" s="25"/>
      <c r="F782" s="25"/>
      <c r="G782" s="25"/>
      <c r="H782" s="25"/>
      <c r="I782" s="40"/>
      <c r="J782" s="25"/>
      <c r="K782" s="25"/>
      <c r="L782" s="25"/>
      <c r="M782" s="25"/>
      <c r="N782" s="25"/>
      <c r="O782" s="25"/>
      <c r="P782" s="25"/>
      <c r="Q782" s="25"/>
      <c r="R782" s="25"/>
      <c r="S782" s="25"/>
      <c r="T782" s="25"/>
      <c r="U782" s="25"/>
      <c r="V782" s="25"/>
      <c r="W782" s="25"/>
      <c r="X782" s="25"/>
      <c r="Y782" s="25"/>
      <c r="Z782" s="25"/>
      <c r="AA782" s="25"/>
      <c r="AB782" s="25"/>
      <c r="AC782" s="25"/>
      <c r="AD782" s="25"/>
    </row>
    <row r="783" spans="1:30" ht="15.75" customHeight="1">
      <c r="A783" s="25"/>
      <c r="B783" s="25"/>
      <c r="C783" s="25"/>
      <c r="D783" s="25"/>
      <c r="E783" s="25"/>
      <c r="F783" s="25"/>
      <c r="G783" s="25"/>
      <c r="H783" s="25"/>
      <c r="I783" s="40"/>
      <c r="J783" s="25"/>
      <c r="K783" s="25"/>
      <c r="L783" s="25"/>
      <c r="M783" s="25"/>
      <c r="N783" s="25"/>
      <c r="O783" s="25"/>
      <c r="P783" s="25"/>
      <c r="Q783" s="25"/>
      <c r="R783" s="25"/>
      <c r="S783" s="25"/>
      <c r="T783" s="25"/>
      <c r="U783" s="25"/>
      <c r="V783" s="25"/>
      <c r="W783" s="25"/>
      <c r="X783" s="25"/>
      <c r="Y783" s="25"/>
      <c r="Z783" s="25"/>
      <c r="AA783" s="25"/>
      <c r="AB783" s="25"/>
      <c r="AC783" s="25"/>
      <c r="AD783" s="25"/>
    </row>
    <row r="784" spans="1:30" ht="15.75" customHeight="1">
      <c r="A784" s="25"/>
      <c r="B784" s="25"/>
      <c r="C784" s="25"/>
      <c r="D784" s="25"/>
      <c r="E784" s="25"/>
      <c r="F784" s="25"/>
      <c r="G784" s="25"/>
      <c r="H784" s="25"/>
      <c r="I784" s="40"/>
      <c r="J784" s="25"/>
      <c r="K784" s="25"/>
      <c r="L784" s="25"/>
      <c r="M784" s="25"/>
      <c r="N784" s="25"/>
      <c r="O784" s="25"/>
      <c r="P784" s="25"/>
      <c r="Q784" s="25"/>
      <c r="R784" s="25"/>
      <c r="S784" s="25"/>
      <c r="T784" s="25"/>
      <c r="U784" s="25"/>
      <c r="V784" s="25"/>
      <c r="W784" s="25"/>
      <c r="X784" s="25"/>
      <c r="Y784" s="25"/>
      <c r="Z784" s="25"/>
      <c r="AA784" s="25"/>
      <c r="AB784" s="25"/>
      <c r="AC784" s="25"/>
      <c r="AD784" s="25"/>
    </row>
    <row r="785" spans="1:30" ht="15.75" customHeight="1">
      <c r="A785" s="25"/>
      <c r="B785" s="25"/>
      <c r="C785" s="25"/>
      <c r="D785" s="25"/>
      <c r="E785" s="25"/>
      <c r="F785" s="25"/>
      <c r="G785" s="25"/>
      <c r="H785" s="25"/>
      <c r="I785" s="40"/>
      <c r="J785" s="25"/>
      <c r="K785" s="25"/>
      <c r="L785" s="25"/>
      <c r="M785" s="25"/>
      <c r="N785" s="25"/>
      <c r="O785" s="25"/>
      <c r="P785" s="25"/>
      <c r="Q785" s="25"/>
      <c r="R785" s="25"/>
      <c r="S785" s="25"/>
      <c r="T785" s="25"/>
      <c r="U785" s="25"/>
      <c r="V785" s="25"/>
      <c r="W785" s="25"/>
      <c r="X785" s="25"/>
      <c r="Y785" s="25"/>
      <c r="Z785" s="25"/>
      <c r="AA785" s="25"/>
      <c r="AB785" s="25"/>
      <c r="AC785" s="25"/>
      <c r="AD785" s="25"/>
    </row>
    <row r="786" spans="1:30" ht="15.75" customHeight="1">
      <c r="A786" s="25"/>
      <c r="B786" s="25"/>
      <c r="C786" s="25"/>
      <c r="D786" s="25"/>
      <c r="E786" s="25"/>
      <c r="F786" s="25"/>
      <c r="G786" s="25"/>
      <c r="H786" s="25"/>
      <c r="I786" s="40"/>
      <c r="J786" s="25"/>
      <c r="K786" s="25"/>
      <c r="L786" s="25"/>
      <c r="M786" s="25"/>
      <c r="N786" s="25"/>
      <c r="O786" s="25"/>
      <c r="P786" s="25"/>
      <c r="Q786" s="25"/>
      <c r="R786" s="25"/>
      <c r="S786" s="25"/>
      <c r="T786" s="25"/>
      <c r="U786" s="25"/>
      <c r="V786" s="25"/>
      <c r="W786" s="25"/>
      <c r="X786" s="25"/>
      <c r="Y786" s="25"/>
      <c r="Z786" s="25"/>
      <c r="AA786" s="25"/>
      <c r="AB786" s="25"/>
      <c r="AC786" s="25"/>
      <c r="AD786" s="25"/>
    </row>
    <row r="787" spans="1:30" ht="15.75" customHeight="1">
      <c r="A787" s="25"/>
      <c r="B787" s="25"/>
      <c r="C787" s="25"/>
      <c r="D787" s="25"/>
      <c r="E787" s="25"/>
      <c r="F787" s="25"/>
      <c r="G787" s="25"/>
      <c r="H787" s="25"/>
      <c r="I787" s="40"/>
      <c r="J787" s="25"/>
      <c r="K787" s="25"/>
      <c r="L787" s="25"/>
      <c r="M787" s="25"/>
      <c r="N787" s="25"/>
      <c r="O787" s="25"/>
      <c r="P787" s="25"/>
      <c r="Q787" s="25"/>
      <c r="R787" s="25"/>
      <c r="S787" s="25"/>
      <c r="T787" s="25"/>
      <c r="U787" s="25"/>
      <c r="V787" s="25"/>
      <c r="W787" s="25"/>
      <c r="X787" s="25"/>
      <c r="Y787" s="25"/>
      <c r="Z787" s="25"/>
      <c r="AA787" s="25"/>
      <c r="AB787" s="25"/>
      <c r="AC787" s="25"/>
      <c r="AD787" s="25"/>
    </row>
    <row r="788" spans="1:30" ht="15.75" customHeight="1">
      <c r="A788" s="25"/>
      <c r="B788" s="25"/>
      <c r="C788" s="25"/>
      <c r="D788" s="25"/>
      <c r="E788" s="25"/>
      <c r="F788" s="25"/>
      <c r="G788" s="25"/>
      <c r="H788" s="25"/>
      <c r="I788" s="40"/>
      <c r="J788" s="25"/>
      <c r="K788" s="25"/>
      <c r="L788" s="25"/>
      <c r="M788" s="25"/>
      <c r="N788" s="25"/>
      <c r="O788" s="25"/>
      <c r="P788" s="25"/>
      <c r="Q788" s="25"/>
      <c r="R788" s="25"/>
      <c r="S788" s="25"/>
      <c r="T788" s="25"/>
      <c r="U788" s="25"/>
      <c r="V788" s="25"/>
      <c r="W788" s="25"/>
      <c r="X788" s="25"/>
      <c r="Y788" s="25"/>
      <c r="Z788" s="25"/>
      <c r="AA788" s="25"/>
      <c r="AB788" s="25"/>
      <c r="AC788" s="25"/>
      <c r="AD788" s="25"/>
    </row>
    <row r="789" spans="1:30" ht="15.75" customHeight="1">
      <c r="A789" s="25"/>
      <c r="B789" s="25"/>
      <c r="C789" s="25"/>
      <c r="D789" s="25"/>
      <c r="E789" s="25"/>
      <c r="F789" s="25"/>
      <c r="G789" s="25"/>
      <c r="H789" s="25"/>
      <c r="I789" s="40"/>
      <c r="J789" s="25"/>
      <c r="K789" s="25"/>
      <c r="L789" s="25"/>
      <c r="M789" s="25"/>
      <c r="N789" s="25"/>
      <c r="O789" s="25"/>
      <c r="P789" s="25"/>
      <c r="Q789" s="25"/>
      <c r="R789" s="25"/>
      <c r="S789" s="25"/>
      <c r="T789" s="25"/>
      <c r="U789" s="25"/>
      <c r="V789" s="25"/>
      <c r="W789" s="25"/>
      <c r="X789" s="25"/>
      <c r="Y789" s="25"/>
      <c r="Z789" s="25"/>
      <c r="AA789" s="25"/>
      <c r="AB789" s="25"/>
      <c r="AC789" s="25"/>
      <c r="AD789" s="25"/>
    </row>
    <row r="790" spans="1:30" ht="15.75" customHeight="1">
      <c r="A790" s="25"/>
      <c r="B790" s="25"/>
      <c r="C790" s="25"/>
      <c r="D790" s="25"/>
      <c r="E790" s="25"/>
      <c r="F790" s="25"/>
      <c r="G790" s="25"/>
      <c r="H790" s="25"/>
      <c r="I790" s="40"/>
      <c r="J790" s="25"/>
      <c r="K790" s="25"/>
      <c r="L790" s="25"/>
      <c r="M790" s="25"/>
      <c r="N790" s="25"/>
      <c r="O790" s="25"/>
      <c r="P790" s="25"/>
      <c r="Q790" s="25"/>
      <c r="R790" s="25"/>
      <c r="S790" s="25"/>
      <c r="T790" s="25"/>
      <c r="U790" s="25"/>
      <c r="V790" s="25"/>
      <c r="W790" s="25"/>
      <c r="X790" s="25"/>
      <c r="Y790" s="25"/>
      <c r="Z790" s="25"/>
      <c r="AA790" s="25"/>
      <c r="AB790" s="25"/>
      <c r="AC790" s="25"/>
      <c r="AD790" s="25"/>
    </row>
    <row r="791" spans="1:30" ht="15.75" customHeight="1">
      <c r="A791" s="25"/>
      <c r="B791" s="25"/>
      <c r="C791" s="25"/>
      <c r="D791" s="25"/>
      <c r="E791" s="25"/>
      <c r="F791" s="25"/>
      <c r="G791" s="25"/>
      <c r="H791" s="25"/>
      <c r="I791" s="40"/>
      <c r="J791" s="25"/>
      <c r="K791" s="25"/>
      <c r="L791" s="25"/>
      <c r="M791" s="25"/>
      <c r="N791" s="25"/>
      <c r="O791" s="25"/>
      <c r="P791" s="25"/>
      <c r="Q791" s="25"/>
      <c r="R791" s="25"/>
      <c r="S791" s="25"/>
      <c r="T791" s="25"/>
      <c r="U791" s="25"/>
      <c r="V791" s="25"/>
      <c r="W791" s="25"/>
      <c r="X791" s="25"/>
      <c r="Y791" s="25"/>
      <c r="Z791" s="25"/>
      <c r="AA791" s="25"/>
      <c r="AB791" s="25"/>
      <c r="AC791" s="25"/>
      <c r="AD791" s="25"/>
    </row>
    <row r="792" spans="1:30" ht="15.75" customHeight="1">
      <c r="A792" s="25"/>
      <c r="B792" s="25"/>
      <c r="C792" s="25"/>
      <c r="D792" s="25"/>
      <c r="E792" s="25"/>
      <c r="F792" s="25"/>
      <c r="G792" s="25"/>
      <c r="H792" s="25"/>
      <c r="I792" s="40"/>
      <c r="J792" s="25"/>
      <c r="K792" s="25"/>
      <c r="L792" s="25"/>
      <c r="M792" s="25"/>
      <c r="N792" s="25"/>
      <c r="O792" s="25"/>
      <c r="P792" s="25"/>
      <c r="Q792" s="25"/>
      <c r="R792" s="25"/>
      <c r="S792" s="25"/>
      <c r="T792" s="25"/>
      <c r="U792" s="25"/>
      <c r="V792" s="25"/>
      <c r="W792" s="25"/>
      <c r="X792" s="25"/>
      <c r="Y792" s="25"/>
      <c r="Z792" s="25"/>
      <c r="AA792" s="25"/>
      <c r="AB792" s="25"/>
      <c r="AC792" s="25"/>
      <c r="AD792" s="25"/>
    </row>
    <row r="793" spans="1:30" ht="15.75" customHeight="1">
      <c r="A793" s="25"/>
      <c r="B793" s="25"/>
      <c r="C793" s="25"/>
      <c r="D793" s="25"/>
      <c r="E793" s="25"/>
      <c r="F793" s="25"/>
      <c r="G793" s="25"/>
      <c r="H793" s="25"/>
      <c r="I793" s="40"/>
      <c r="J793" s="25"/>
      <c r="K793" s="25"/>
      <c r="L793" s="25"/>
      <c r="M793" s="25"/>
      <c r="N793" s="25"/>
      <c r="O793" s="25"/>
      <c r="P793" s="25"/>
      <c r="Q793" s="25"/>
      <c r="R793" s="25"/>
      <c r="S793" s="25"/>
      <c r="T793" s="25"/>
      <c r="U793" s="25"/>
      <c r="V793" s="25"/>
      <c r="W793" s="25"/>
      <c r="X793" s="25"/>
      <c r="Y793" s="25"/>
      <c r="Z793" s="25"/>
      <c r="AA793" s="25"/>
      <c r="AB793" s="25"/>
      <c r="AC793" s="25"/>
      <c r="AD793" s="25"/>
    </row>
    <row r="794" spans="1:30" ht="15.75" customHeight="1">
      <c r="A794" s="25"/>
      <c r="B794" s="25"/>
      <c r="C794" s="25"/>
      <c r="D794" s="25"/>
      <c r="E794" s="25"/>
      <c r="F794" s="25"/>
      <c r="G794" s="25"/>
      <c r="H794" s="25"/>
      <c r="I794" s="40"/>
      <c r="J794" s="25"/>
      <c r="K794" s="25"/>
      <c r="L794" s="25"/>
      <c r="M794" s="25"/>
      <c r="N794" s="25"/>
      <c r="O794" s="25"/>
      <c r="P794" s="25"/>
      <c r="Q794" s="25"/>
      <c r="R794" s="25"/>
      <c r="S794" s="25"/>
      <c r="T794" s="25"/>
      <c r="U794" s="25"/>
      <c r="V794" s="25"/>
      <c r="W794" s="25"/>
      <c r="X794" s="25"/>
      <c r="Y794" s="25"/>
      <c r="Z794" s="25"/>
      <c r="AA794" s="25"/>
      <c r="AB794" s="25"/>
      <c r="AC794" s="25"/>
      <c r="AD794" s="25"/>
    </row>
    <row r="795" spans="1:30" ht="15.75" customHeight="1">
      <c r="A795" s="25"/>
      <c r="B795" s="25"/>
      <c r="C795" s="25"/>
      <c r="D795" s="25"/>
      <c r="E795" s="25"/>
      <c r="F795" s="25"/>
      <c r="G795" s="25"/>
      <c r="H795" s="25"/>
      <c r="I795" s="40"/>
      <c r="J795" s="25"/>
      <c r="K795" s="25"/>
      <c r="L795" s="25"/>
      <c r="M795" s="25"/>
      <c r="N795" s="25"/>
      <c r="O795" s="25"/>
      <c r="P795" s="25"/>
      <c r="Q795" s="25"/>
      <c r="R795" s="25"/>
      <c r="S795" s="25"/>
      <c r="T795" s="25"/>
      <c r="U795" s="25"/>
      <c r="V795" s="25"/>
      <c r="W795" s="25"/>
      <c r="X795" s="25"/>
      <c r="Y795" s="25"/>
      <c r="Z795" s="25"/>
      <c r="AA795" s="25"/>
      <c r="AB795" s="25"/>
      <c r="AC795" s="25"/>
      <c r="AD795" s="25"/>
    </row>
    <row r="796" spans="1:30" ht="15.75" customHeight="1">
      <c r="A796" s="25"/>
      <c r="B796" s="25"/>
      <c r="C796" s="25"/>
      <c r="D796" s="25"/>
      <c r="E796" s="25"/>
      <c r="F796" s="25"/>
      <c r="G796" s="25"/>
      <c r="H796" s="25"/>
      <c r="I796" s="40"/>
      <c r="J796" s="25"/>
      <c r="K796" s="25"/>
      <c r="L796" s="25"/>
      <c r="M796" s="25"/>
      <c r="N796" s="25"/>
      <c r="O796" s="25"/>
      <c r="P796" s="25"/>
      <c r="Q796" s="25"/>
      <c r="R796" s="25"/>
      <c r="S796" s="25"/>
      <c r="T796" s="25"/>
      <c r="U796" s="25"/>
      <c r="V796" s="25"/>
      <c r="W796" s="25"/>
      <c r="X796" s="25"/>
      <c r="Y796" s="25"/>
      <c r="Z796" s="25"/>
      <c r="AA796" s="25"/>
      <c r="AB796" s="25"/>
      <c r="AC796" s="25"/>
      <c r="AD796" s="25"/>
    </row>
    <row r="797" spans="1:30" ht="15.75" customHeight="1">
      <c r="A797" s="25"/>
      <c r="B797" s="25"/>
      <c r="C797" s="25"/>
      <c r="D797" s="25"/>
      <c r="E797" s="25"/>
      <c r="F797" s="25"/>
      <c r="G797" s="25"/>
      <c r="H797" s="25"/>
      <c r="I797" s="40"/>
      <c r="J797" s="25"/>
      <c r="K797" s="25"/>
      <c r="L797" s="25"/>
      <c r="M797" s="25"/>
      <c r="N797" s="25"/>
      <c r="O797" s="25"/>
      <c r="P797" s="25"/>
      <c r="Q797" s="25"/>
      <c r="R797" s="25"/>
      <c r="S797" s="25"/>
      <c r="T797" s="25"/>
      <c r="U797" s="25"/>
      <c r="V797" s="25"/>
      <c r="W797" s="25"/>
      <c r="X797" s="25"/>
      <c r="Y797" s="25"/>
      <c r="Z797" s="25"/>
      <c r="AA797" s="25"/>
      <c r="AB797" s="25"/>
      <c r="AC797" s="25"/>
      <c r="AD797" s="25"/>
    </row>
    <row r="798" spans="1:30" ht="15.75" customHeight="1">
      <c r="A798" s="25"/>
      <c r="B798" s="25"/>
      <c r="C798" s="25"/>
      <c r="D798" s="25"/>
      <c r="E798" s="25"/>
      <c r="F798" s="25"/>
      <c r="G798" s="25"/>
      <c r="H798" s="25"/>
      <c r="I798" s="40"/>
      <c r="J798" s="25"/>
      <c r="K798" s="25"/>
      <c r="L798" s="25"/>
      <c r="M798" s="25"/>
      <c r="N798" s="25"/>
      <c r="O798" s="25"/>
      <c r="P798" s="25"/>
      <c r="Q798" s="25"/>
      <c r="R798" s="25"/>
      <c r="S798" s="25"/>
      <c r="T798" s="25"/>
      <c r="U798" s="25"/>
      <c r="V798" s="25"/>
      <c r="W798" s="25"/>
      <c r="X798" s="25"/>
      <c r="Y798" s="25"/>
      <c r="Z798" s="25"/>
      <c r="AA798" s="25"/>
      <c r="AB798" s="25"/>
      <c r="AC798" s="25"/>
      <c r="AD798" s="25"/>
    </row>
    <row r="799" spans="1:30" ht="15.75" customHeight="1">
      <c r="A799" s="25"/>
      <c r="B799" s="25"/>
      <c r="C799" s="25"/>
      <c r="D799" s="25"/>
      <c r="E799" s="25"/>
      <c r="F799" s="25"/>
      <c r="G799" s="25"/>
      <c r="H799" s="25"/>
      <c r="I799" s="40"/>
      <c r="J799" s="25"/>
      <c r="K799" s="25"/>
      <c r="L799" s="25"/>
      <c r="M799" s="25"/>
      <c r="N799" s="25"/>
      <c r="O799" s="25"/>
      <c r="P799" s="25"/>
      <c r="Q799" s="25"/>
      <c r="R799" s="25"/>
      <c r="S799" s="25"/>
      <c r="T799" s="25"/>
      <c r="U799" s="25"/>
      <c r="V799" s="25"/>
      <c r="W799" s="25"/>
      <c r="X799" s="25"/>
      <c r="Y799" s="25"/>
      <c r="Z799" s="25"/>
      <c r="AA799" s="25"/>
      <c r="AB799" s="25"/>
      <c r="AC799" s="25"/>
      <c r="AD799" s="25"/>
    </row>
    <row r="800" spans="1:30" ht="15.75" customHeight="1">
      <c r="A800" s="25"/>
      <c r="B800" s="25"/>
      <c r="C800" s="25"/>
      <c r="D800" s="25"/>
      <c r="E800" s="25"/>
      <c r="F800" s="25"/>
      <c r="G800" s="25"/>
      <c r="H800" s="25"/>
      <c r="I800" s="40"/>
      <c r="J800" s="25"/>
      <c r="K800" s="25"/>
      <c r="L800" s="25"/>
      <c r="M800" s="25"/>
      <c r="N800" s="25"/>
      <c r="O800" s="25"/>
      <c r="P800" s="25"/>
      <c r="Q800" s="25"/>
      <c r="R800" s="25"/>
      <c r="S800" s="25"/>
      <c r="T800" s="25"/>
      <c r="U800" s="25"/>
      <c r="V800" s="25"/>
      <c r="W800" s="25"/>
      <c r="X800" s="25"/>
      <c r="Y800" s="25"/>
      <c r="Z800" s="25"/>
      <c r="AA800" s="25"/>
      <c r="AB800" s="25"/>
      <c r="AC800" s="25"/>
      <c r="AD800" s="25"/>
    </row>
    <row r="801" spans="1:30" ht="15.75" customHeight="1">
      <c r="A801" s="25"/>
      <c r="B801" s="25"/>
      <c r="C801" s="25"/>
      <c r="D801" s="25"/>
      <c r="E801" s="25"/>
      <c r="F801" s="25"/>
      <c r="G801" s="25"/>
      <c r="H801" s="25"/>
      <c r="I801" s="40"/>
      <c r="J801" s="25"/>
      <c r="K801" s="25"/>
      <c r="L801" s="25"/>
      <c r="M801" s="25"/>
      <c r="N801" s="25"/>
      <c r="O801" s="25"/>
      <c r="P801" s="25"/>
      <c r="Q801" s="25"/>
      <c r="R801" s="25"/>
      <c r="S801" s="25"/>
      <c r="T801" s="25"/>
      <c r="U801" s="25"/>
      <c r="V801" s="25"/>
      <c r="W801" s="25"/>
      <c r="X801" s="25"/>
      <c r="Y801" s="25"/>
      <c r="Z801" s="25"/>
      <c r="AA801" s="25"/>
      <c r="AB801" s="25"/>
      <c r="AC801" s="25"/>
      <c r="AD801" s="25"/>
    </row>
    <row r="802" spans="1:30" ht="15.75" customHeight="1">
      <c r="A802" s="25"/>
      <c r="B802" s="25"/>
      <c r="C802" s="25"/>
      <c r="D802" s="25"/>
      <c r="E802" s="25"/>
      <c r="F802" s="25"/>
      <c r="G802" s="25"/>
      <c r="H802" s="25"/>
      <c r="I802" s="40"/>
      <c r="J802" s="25"/>
      <c r="K802" s="25"/>
      <c r="L802" s="25"/>
      <c r="M802" s="25"/>
      <c r="N802" s="25"/>
      <c r="O802" s="25"/>
      <c r="P802" s="25"/>
      <c r="Q802" s="25"/>
      <c r="R802" s="25"/>
      <c r="S802" s="25"/>
      <c r="T802" s="25"/>
      <c r="U802" s="25"/>
      <c r="V802" s="25"/>
      <c r="W802" s="25"/>
      <c r="X802" s="25"/>
      <c r="Y802" s="25"/>
      <c r="Z802" s="25"/>
      <c r="AA802" s="25"/>
      <c r="AB802" s="25"/>
      <c r="AC802" s="25"/>
      <c r="AD802" s="25"/>
    </row>
    <row r="803" spans="1:30" ht="15.75" customHeight="1">
      <c r="A803" s="25"/>
      <c r="B803" s="25"/>
      <c r="C803" s="25"/>
      <c r="D803" s="25"/>
      <c r="E803" s="25"/>
      <c r="F803" s="25"/>
      <c r="G803" s="25"/>
      <c r="H803" s="25"/>
      <c r="I803" s="40"/>
      <c r="J803" s="25"/>
      <c r="K803" s="25"/>
      <c r="L803" s="25"/>
      <c r="M803" s="25"/>
      <c r="N803" s="25"/>
      <c r="O803" s="25"/>
      <c r="P803" s="25"/>
      <c r="Q803" s="25"/>
      <c r="R803" s="25"/>
      <c r="S803" s="25"/>
      <c r="T803" s="25"/>
      <c r="U803" s="25"/>
      <c r="V803" s="25"/>
      <c r="W803" s="25"/>
      <c r="X803" s="25"/>
      <c r="Y803" s="25"/>
      <c r="Z803" s="25"/>
      <c r="AA803" s="25"/>
      <c r="AB803" s="25"/>
      <c r="AC803" s="25"/>
      <c r="AD803" s="25"/>
    </row>
    <row r="804" spans="1:30" ht="15.75" customHeight="1">
      <c r="A804" s="25"/>
      <c r="B804" s="25"/>
      <c r="C804" s="25"/>
      <c r="D804" s="25"/>
      <c r="E804" s="25"/>
      <c r="F804" s="25"/>
      <c r="G804" s="25"/>
      <c r="H804" s="25"/>
      <c r="I804" s="40"/>
      <c r="J804" s="25"/>
      <c r="K804" s="25"/>
      <c r="L804" s="25"/>
      <c r="M804" s="25"/>
      <c r="N804" s="25"/>
      <c r="O804" s="25"/>
      <c r="P804" s="25"/>
      <c r="Q804" s="25"/>
      <c r="R804" s="25"/>
      <c r="S804" s="25"/>
      <c r="T804" s="25"/>
      <c r="U804" s="25"/>
      <c r="V804" s="25"/>
      <c r="W804" s="25"/>
      <c r="X804" s="25"/>
      <c r="Y804" s="25"/>
      <c r="Z804" s="25"/>
      <c r="AA804" s="25"/>
      <c r="AB804" s="25"/>
      <c r="AC804" s="25"/>
      <c r="AD804" s="25"/>
    </row>
    <row r="805" spans="1:30" ht="15.75" customHeight="1">
      <c r="A805" s="25"/>
      <c r="B805" s="25"/>
      <c r="C805" s="25"/>
      <c r="D805" s="25"/>
      <c r="E805" s="25"/>
      <c r="F805" s="25"/>
      <c r="G805" s="25"/>
      <c r="H805" s="25"/>
      <c r="I805" s="40"/>
      <c r="J805" s="25"/>
      <c r="K805" s="25"/>
      <c r="L805" s="25"/>
      <c r="M805" s="25"/>
      <c r="N805" s="25"/>
      <c r="O805" s="25"/>
      <c r="P805" s="25"/>
      <c r="Q805" s="25"/>
      <c r="R805" s="25"/>
      <c r="S805" s="25"/>
      <c r="T805" s="25"/>
      <c r="U805" s="25"/>
      <c r="V805" s="25"/>
      <c r="W805" s="25"/>
      <c r="X805" s="25"/>
      <c r="Y805" s="25"/>
      <c r="Z805" s="25"/>
      <c r="AA805" s="25"/>
      <c r="AB805" s="25"/>
      <c r="AC805" s="25"/>
      <c r="AD805" s="25"/>
    </row>
    <row r="806" spans="1:30" ht="15.75" customHeight="1">
      <c r="A806" s="25"/>
      <c r="B806" s="25"/>
      <c r="C806" s="25"/>
      <c r="D806" s="25"/>
      <c r="E806" s="25"/>
      <c r="F806" s="25"/>
      <c r="G806" s="25"/>
      <c r="H806" s="25"/>
      <c r="I806" s="40"/>
      <c r="J806" s="25"/>
      <c r="K806" s="25"/>
      <c r="L806" s="25"/>
      <c r="M806" s="25"/>
      <c r="N806" s="25"/>
      <c r="O806" s="25"/>
      <c r="P806" s="25"/>
      <c r="Q806" s="25"/>
      <c r="R806" s="25"/>
      <c r="S806" s="25"/>
      <c r="T806" s="25"/>
      <c r="U806" s="25"/>
      <c r="V806" s="25"/>
      <c r="W806" s="25"/>
      <c r="X806" s="25"/>
      <c r="Y806" s="25"/>
      <c r="Z806" s="25"/>
      <c r="AA806" s="25"/>
      <c r="AB806" s="25"/>
      <c r="AC806" s="25"/>
      <c r="AD806" s="25"/>
    </row>
    <row r="807" spans="1:30" ht="15.75" customHeight="1">
      <c r="A807" s="25"/>
      <c r="B807" s="25"/>
      <c r="C807" s="25"/>
      <c r="D807" s="25"/>
      <c r="E807" s="25"/>
      <c r="F807" s="25"/>
      <c r="G807" s="25"/>
      <c r="H807" s="25"/>
      <c r="I807" s="40"/>
      <c r="J807" s="25"/>
      <c r="K807" s="25"/>
      <c r="L807" s="25"/>
      <c r="M807" s="25"/>
      <c r="N807" s="25"/>
      <c r="O807" s="25"/>
      <c r="P807" s="25"/>
      <c r="Q807" s="25"/>
      <c r="R807" s="25"/>
      <c r="S807" s="25"/>
      <c r="T807" s="25"/>
      <c r="U807" s="25"/>
      <c r="V807" s="25"/>
      <c r="W807" s="25"/>
      <c r="X807" s="25"/>
      <c r="Y807" s="25"/>
      <c r="Z807" s="25"/>
      <c r="AA807" s="25"/>
      <c r="AB807" s="25"/>
      <c r="AC807" s="25"/>
      <c r="AD807" s="25"/>
    </row>
    <row r="808" spans="1:30" ht="15.75" customHeight="1">
      <c r="A808" s="25"/>
      <c r="B808" s="25"/>
      <c r="C808" s="25"/>
      <c r="D808" s="25"/>
      <c r="E808" s="25"/>
      <c r="F808" s="25"/>
      <c r="G808" s="25"/>
      <c r="H808" s="25"/>
      <c r="I808" s="40"/>
      <c r="J808" s="25"/>
      <c r="K808" s="25"/>
      <c r="L808" s="25"/>
      <c r="M808" s="25"/>
      <c r="N808" s="25"/>
      <c r="O808" s="25"/>
      <c r="P808" s="25"/>
      <c r="Q808" s="25"/>
      <c r="R808" s="25"/>
      <c r="S808" s="25"/>
      <c r="T808" s="25"/>
      <c r="U808" s="25"/>
      <c r="V808" s="25"/>
      <c r="W808" s="25"/>
      <c r="X808" s="25"/>
      <c r="Y808" s="25"/>
      <c r="Z808" s="25"/>
      <c r="AA808" s="25"/>
      <c r="AB808" s="25"/>
      <c r="AC808" s="25"/>
      <c r="AD808" s="25"/>
    </row>
    <row r="809" spans="1:30" ht="15.75" customHeight="1">
      <c r="A809" s="25"/>
      <c r="B809" s="25"/>
      <c r="C809" s="25"/>
      <c r="D809" s="25"/>
      <c r="E809" s="25"/>
      <c r="F809" s="25"/>
      <c r="G809" s="25"/>
      <c r="H809" s="25"/>
      <c r="I809" s="40"/>
      <c r="J809" s="25"/>
      <c r="K809" s="25"/>
      <c r="L809" s="25"/>
      <c r="M809" s="25"/>
      <c r="N809" s="25"/>
      <c r="O809" s="25"/>
      <c r="P809" s="25"/>
      <c r="Q809" s="25"/>
      <c r="R809" s="25"/>
      <c r="S809" s="25"/>
      <c r="T809" s="25"/>
      <c r="U809" s="25"/>
      <c r="V809" s="25"/>
      <c r="W809" s="25"/>
      <c r="X809" s="25"/>
      <c r="Y809" s="25"/>
      <c r="Z809" s="25"/>
      <c r="AA809" s="25"/>
      <c r="AB809" s="25"/>
      <c r="AC809" s="25"/>
      <c r="AD809" s="25"/>
    </row>
    <row r="810" spans="1:30" ht="15.75" customHeight="1">
      <c r="A810" s="25"/>
      <c r="B810" s="25"/>
      <c r="C810" s="25"/>
      <c r="D810" s="25"/>
      <c r="E810" s="25"/>
      <c r="F810" s="25"/>
      <c r="G810" s="25"/>
      <c r="H810" s="25"/>
      <c r="I810" s="40"/>
      <c r="J810" s="25"/>
      <c r="K810" s="25"/>
      <c r="L810" s="25"/>
      <c r="M810" s="25"/>
      <c r="N810" s="25"/>
      <c r="O810" s="25"/>
      <c r="P810" s="25"/>
      <c r="Q810" s="25"/>
      <c r="R810" s="25"/>
      <c r="S810" s="25"/>
      <c r="T810" s="25"/>
      <c r="U810" s="25"/>
      <c r="V810" s="25"/>
      <c r="W810" s="25"/>
      <c r="X810" s="25"/>
      <c r="Y810" s="25"/>
      <c r="Z810" s="25"/>
      <c r="AA810" s="25"/>
      <c r="AB810" s="25"/>
      <c r="AC810" s="25"/>
      <c r="AD810" s="25"/>
    </row>
    <row r="811" spans="1:30" ht="15.75" customHeight="1">
      <c r="A811" s="25"/>
      <c r="B811" s="25"/>
      <c r="C811" s="25"/>
      <c r="D811" s="25"/>
      <c r="E811" s="25"/>
      <c r="F811" s="25"/>
      <c r="G811" s="25"/>
      <c r="H811" s="25"/>
      <c r="I811" s="40"/>
      <c r="J811" s="25"/>
      <c r="K811" s="25"/>
      <c r="L811" s="25"/>
      <c r="M811" s="25"/>
      <c r="N811" s="25"/>
      <c r="O811" s="25"/>
      <c r="P811" s="25"/>
      <c r="Q811" s="25"/>
      <c r="R811" s="25"/>
      <c r="S811" s="25"/>
      <c r="T811" s="25"/>
      <c r="U811" s="25"/>
      <c r="V811" s="25"/>
      <c r="W811" s="25"/>
      <c r="X811" s="25"/>
      <c r="Y811" s="25"/>
      <c r="Z811" s="25"/>
      <c r="AA811" s="25"/>
      <c r="AB811" s="25"/>
      <c r="AC811" s="25"/>
      <c r="AD811" s="25"/>
    </row>
    <row r="812" spans="1:30" ht="15.75" customHeight="1">
      <c r="A812" s="25"/>
      <c r="B812" s="25"/>
      <c r="C812" s="25"/>
      <c r="D812" s="25"/>
      <c r="E812" s="25"/>
      <c r="F812" s="25"/>
      <c r="G812" s="25"/>
      <c r="H812" s="25"/>
      <c r="I812" s="40"/>
      <c r="J812" s="25"/>
      <c r="K812" s="25"/>
      <c r="L812" s="25"/>
      <c r="M812" s="25"/>
      <c r="N812" s="25"/>
      <c r="O812" s="25"/>
      <c r="P812" s="25"/>
      <c r="Q812" s="25"/>
      <c r="R812" s="25"/>
      <c r="S812" s="25"/>
      <c r="T812" s="25"/>
      <c r="U812" s="25"/>
      <c r="V812" s="25"/>
      <c r="W812" s="25"/>
      <c r="X812" s="25"/>
      <c r="Y812" s="25"/>
      <c r="Z812" s="25"/>
      <c r="AA812" s="25"/>
      <c r="AB812" s="25"/>
      <c r="AC812" s="25"/>
      <c r="AD812" s="25"/>
    </row>
    <row r="813" spans="1:30" ht="15.75" customHeight="1">
      <c r="A813" s="25"/>
      <c r="B813" s="25"/>
      <c r="C813" s="25"/>
      <c r="D813" s="25"/>
      <c r="E813" s="25"/>
      <c r="F813" s="25"/>
      <c r="G813" s="25"/>
      <c r="H813" s="25"/>
      <c r="I813" s="40"/>
      <c r="J813" s="25"/>
      <c r="K813" s="25"/>
      <c r="L813" s="25"/>
      <c r="M813" s="25"/>
      <c r="N813" s="25"/>
      <c r="O813" s="25"/>
      <c r="P813" s="25"/>
      <c r="Q813" s="25"/>
      <c r="R813" s="25"/>
      <c r="S813" s="25"/>
      <c r="T813" s="25"/>
      <c r="U813" s="25"/>
      <c r="V813" s="25"/>
      <c r="W813" s="25"/>
      <c r="X813" s="25"/>
      <c r="Y813" s="25"/>
      <c r="Z813" s="25"/>
      <c r="AA813" s="25"/>
      <c r="AB813" s="25"/>
      <c r="AC813" s="25"/>
      <c r="AD813" s="25"/>
    </row>
    <row r="814" spans="1:30" ht="15.75" customHeight="1">
      <c r="A814" s="25"/>
      <c r="B814" s="25"/>
      <c r="C814" s="25"/>
      <c r="D814" s="25"/>
      <c r="E814" s="25"/>
      <c r="F814" s="25"/>
      <c r="G814" s="25"/>
      <c r="H814" s="25"/>
      <c r="I814" s="40"/>
      <c r="J814" s="25"/>
      <c r="K814" s="25"/>
      <c r="L814" s="25"/>
      <c r="M814" s="25"/>
      <c r="N814" s="25"/>
      <c r="O814" s="25"/>
      <c r="P814" s="25"/>
      <c r="Q814" s="25"/>
      <c r="R814" s="25"/>
      <c r="S814" s="25"/>
      <c r="T814" s="25"/>
      <c r="U814" s="25"/>
      <c r="V814" s="25"/>
      <c r="W814" s="25"/>
      <c r="X814" s="25"/>
      <c r="Y814" s="25"/>
      <c r="Z814" s="25"/>
      <c r="AA814" s="25"/>
      <c r="AB814" s="25"/>
      <c r="AC814" s="25"/>
      <c r="AD814" s="25"/>
    </row>
    <row r="815" spans="1:30" ht="15.75" customHeight="1">
      <c r="A815" s="25"/>
      <c r="B815" s="25"/>
      <c r="C815" s="25"/>
      <c r="D815" s="25"/>
      <c r="E815" s="25"/>
      <c r="F815" s="25"/>
      <c r="G815" s="25"/>
      <c r="H815" s="25"/>
      <c r="I815" s="40"/>
      <c r="J815" s="25"/>
      <c r="K815" s="25"/>
      <c r="L815" s="25"/>
      <c r="M815" s="25"/>
      <c r="N815" s="25"/>
      <c r="O815" s="25"/>
      <c r="P815" s="25"/>
      <c r="Q815" s="25"/>
      <c r="R815" s="25"/>
      <c r="S815" s="25"/>
      <c r="T815" s="25"/>
      <c r="U815" s="25"/>
      <c r="V815" s="25"/>
      <c r="W815" s="25"/>
      <c r="X815" s="25"/>
      <c r="Y815" s="25"/>
      <c r="Z815" s="25"/>
      <c r="AA815" s="25"/>
      <c r="AB815" s="25"/>
      <c r="AC815" s="25"/>
      <c r="AD815" s="25"/>
    </row>
    <row r="816" spans="1:30" ht="15.75" customHeight="1">
      <c r="A816" s="25"/>
      <c r="B816" s="25"/>
      <c r="C816" s="25"/>
      <c r="D816" s="25"/>
      <c r="E816" s="25"/>
      <c r="F816" s="25"/>
      <c r="G816" s="25"/>
      <c r="H816" s="25"/>
      <c r="I816" s="40"/>
      <c r="J816" s="25"/>
      <c r="K816" s="25"/>
      <c r="L816" s="25"/>
      <c r="M816" s="25"/>
      <c r="N816" s="25"/>
      <c r="O816" s="25"/>
      <c r="P816" s="25"/>
      <c r="Q816" s="25"/>
      <c r="R816" s="25"/>
      <c r="S816" s="25"/>
      <c r="T816" s="25"/>
      <c r="U816" s="25"/>
      <c r="V816" s="25"/>
      <c r="W816" s="25"/>
      <c r="X816" s="25"/>
      <c r="Y816" s="25"/>
      <c r="Z816" s="25"/>
      <c r="AA816" s="25"/>
      <c r="AB816" s="25"/>
      <c r="AC816" s="25"/>
      <c r="AD816" s="25"/>
    </row>
    <row r="817" spans="1:30" ht="15.75" customHeight="1">
      <c r="A817" s="25"/>
      <c r="B817" s="25"/>
      <c r="C817" s="25"/>
      <c r="D817" s="25"/>
      <c r="E817" s="25"/>
      <c r="F817" s="25"/>
      <c r="G817" s="25"/>
      <c r="H817" s="25"/>
      <c r="I817" s="40"/>
      <c r="J817" s="25"/>
      <c r="K817" s="25"/>
      <c r="L817" s="25"/>
      <c r="M817" s="25"/>
      <c r="N817" s="25"/>
      <c r="O817" s="25"/>
      <c r="P817" s="25"/>
      <c r="Q817" s="25"/>
      <c r="R817" s="25"/>
      <c r="S817" s="25"/>
      <c r="T817" s="25"/>
      <c r="U817" s="25"/>
      <c r="V817" s="25"/>
      <c r="W817" s="25"/>
      <c r="X817" s="25"/>
      <c r="Y817" s="25"/>
      <c r="Z817" s="25"/>
      <c r="AA817" s="25"/>
      <c r="AB817" s="25"/>
      <c r="AC817" s="25"/>
      <c r="AD817" s="25"/>
    </row>
    <row r="818" spans="1:30" ht="15.75" customHeight="1">
      <c r="A818" s="25"/>
      <c r="B818" s="25"/>
      <c r="C818" s="25"/>
      <c r="D818" s="25"/>
      <c r="E818" s="25"/>
      <c r="F818" s="25"/>
      <c r="G818" s="25"/>
      <c r="H818" s="25"/>
      <c r="I818" s="40"/>
      <c r="J818" s="25"/>
      <c r="K818" s="25"/>
      <c r="L818" s="25"/>
      <c r="M818" s="25"/>
      <c r="N818" s="25"/>
      <c r="O818" s="25"/>
      <c r="P818" s="25"/>
      <c r="Q818" s="25"/>
      <c r="R818" s="25"/>
      <c r="S818" s="25"/>
      <c r="T818" s="25"/>
      <c r="U818" s="25"/>
      <c r="V818" s="25"/>
      <c r="W818" s="25"/>
      <c r="X818" s="25"/>
      <c r="Y818" s="25"/>
      <c r="Z818" s="25"/>
      <c r="AA818" s="25"/>
      <c r="AB818" s="25"/>
      <c r="AC818" s="25"/>
      <c r="AD818" s="25"/>
    </row>
    <row r="819" spans="1:30" ht="15.75" customHeight="1">
      <c r="A819" s="25"/>
      <c r="B819" s="25"/>
      <c r="C819" s="25"/>
      <c r="D819" s="25"/>
      <c r="E819" s="25"/>
      <c r="F819" s="25"/>
      <c r="G819" s="25"/>
      <c r="H819" s="25"/>
      <c r="I819" s="40"/>
      <c r="J819" s="25"/>
      <c r="K819" s="25"/>
      <c r="L819" s="25"/>
      <c r="M819" s="25"/>
      <c r="N819" s="25"/>
      <c r="O819" s="25"/>
      <c r="P819" s="25"/>
      <c r="Q819" s="25"/>
      <c r="R819" s="25"/>
      <c r="S819" s="25"/>
      <c r="T819" s="25"/>
      <c r="U819" s="25"/>
      <c r="V819" s="25"/>
      <c r="W819" s="25"/>
      <c r="X819" s="25"/>
      <c r="Y819" s="25"/>
      <c r="Z819" s="25"/>
      <c r="AA819" s="25"/>
      <c r="AB819" s="25"/>
      <c r="AC819" s="25"/>
      <c r="AD819" s="25"/>
    </row>
    <row r="820" spans="1:30" ht="15.75" customHeight="1">
      <c r="A820" s="25"/>
      <c r="B820" s="25"/>
      <c r="C820" s="25"/>
      <c r="D820" s="25"/>
      <c r="E820" s="25"/>
      <c r="F820" s="25"/>
      <c r="G820" s="25"/>
      <c r="H820" s="25"/>
      <c r="I820" s="40"/>
      <c r="J820" s="25"/>
      <c r="K820" s="25"/>
      <c r="L820" s="25"/>
      <c r="M820" s="25"/>
      <c r="N820" s="25"/>
      <c r="O820" s="25"/>
      <c r="P820" s="25"/>
      <c r="Q820" s="25"/>
      <c r="R820" s="25"/>
      <c r="S820" s="25"/>
      <c r="T820" s="25"/>
      <c r="U820" s="25"/>
      <c r="V820" s="25"/>
      <c r="W820" s="25"/>
      <c r="X820" s="25"/>
      <c r="Y820" s="25"/>
      <c r="Z820" s="25"/>
      <c r="AA820" s="25"/>
      <c r="AB820" s="25"/>
      <c r="AC820" s="25"/>
      <c r="AD820" s="25"/>
    </row>
    <row r="821" spans="1:30" ht="15.75" customHeight="1">
      <c r="A821" s="25"/>
      <c r="B821" s="25"/>
      <c r="C821" s="25"/>
      <c r="D821" s="25"/>
      <c r="E821" s="25"/>
      <c r="F821" s="25"/>
      <c r="G821" s="25"/>
      <c r="H821" s="25"/>
      <c r="I821" s="40"/>
      <c r="J821" s="25"/>
      <c r="K821" s="25"/>
      <c r="L821" s="25"/>
      <c r="M821" s="25"/>
      <c r="N821" s="25"/>
      <c r="O821" s="25"/>
      <c r="P821" s="25"/>
      <c r="Q821" s="25"/>
      <c r="R821" s="25"/>
      <c r="S821" s="25"/>
      <c r="T821" s="25"/>
      <c r="U821" s="25"/>
      <c r="V821" s="25"/>
      <c r="W821" s="25"/>
      <c r="X821" s="25"/>
      <c r="Y821" s="25"/>
      <c r="Z821" s="25"/>
      <c r="AA821" s="25"/>
      <c r="AB821" s="25"/>
      <c r="AC821" s="25"/>
      <c r="AD821" s="25"/>
    </row>
    <row r="822" spans="1:30" ht="15.75" customHeight="1">
      <c r="A822" s="25"/>
      <c r="B822" s="25"/>
      <c r="C822" s="25"/>
      <c r="D822" s="25"/>
      <c r="E822" s="25"/>
      <c r="F822" s="25"/>
      <c r="G822" s="25"/>
      <c r="H822" s="25"/>
      <c r="I822" s="40"/>
      <c r="J822" s="25"/>
      <c r="K822" s="25"/>
      <c r="L822" s="25"/>
      <c r="M822" s="25"/>
      <c r="N822" s="25"/>
      <c r="O822" s="25"/>
      <c r="P822" s="25"/>
      <c r="Q822" s="25"/>
      <c r="R822" s="25"/>
      <c r="S822" s="25"/>
      <c r="T822" s="25"/>
      <c r="U822" s="25"/>
      <c r="V822" s="25"/>
      <c r="W822" s="25"/>
      <c r="X822" s="25"/>
      <c r="Y822" s="25"/>
      <c r="Z822" s="25"/>
      <c r="AA822" s="25"/>
      <c r="AB822" s="25"/>
      <c r="AC822" s="25"/>
      <c r="AD822" s="25"/>
    </row>
    <row r="823" spans="1:30" ht="15.75" customHeight="1">
      <c r="A823" s="25"/>
      <c r="B823" s="25"/>
      <c r="C823" s="25"/>
      <c r="D823" s="25"/>
      <c r="E823" s="25"/>
      <c r="F823" s="25"/>
      <c r="G823" s="25"/>
      <c r="H823" s="25"/>
      <c r="I823" s="40"/>
      <c r="J823" s="25"/>
      <c r="K823" s="25"/>
      <c r="L823" s="25"/>
      <c r="M823" s="25"/>
      <c r="N823" s="25"/>
      <c r="O823" s="25"/>
      <c r="P823" s="25"/>
      <c r="Q823" s="25"/>
      <c r="R823" s="25"/>
      <c r="S823" s="25"/>
      <c r="T823" s="25"/>
      <c r="U823" s="25"/>
      <c r="V823" s="25"/>
      <c r="W823" s="25"/>
      <c r="X823" s="25"/>
      <c r="Y823" s="25"/>
      <c r="Z823" s="25"/>
      <c r="AA823" s="25"/>
      <c r="AB823" s="25"/>
      <c r="AC823" s="25"/>
      <c r="AD823" s="25"/>
    </row>
    <row r="824" spans="1:30" ht="15.75" customHeight="1">
      <c r="A824" s="25"/>
      <c r="B824" s="25"/>
      <c r="C824" s="25"/>
      <c r="D824" s="25"/>
      <c r="E824" s="25"/>
      <c r="F824" s="25"/>
      <c r="G824" s="25"/>
      <c r="H824" s="25"/>
      <c r="I824" s="40"/>
      <c r="J824" s="25"/>
      <c r="K824" s="25"/>
      <c r="L824" s="25"/>
      <c r="M824" s="25"/>
      <c r="N824" s="25"/>
      <c r="O824" s="25"/>
      <c r="P824" s="25"/>
      <c r="Q824" s="25"/>
      <c r="R824" s="25"/>
      <c r="S824" s="25"/>
      <c r="T824" s="25"/>
      <c r="U824" s="25"/>
      <c r="V824" s="25"/>
      <c r="W824" s="25"/>
      <c r="X824" s="25"/>
      <c r="Y824" s="25"/>
      <c r="Z824" s="25"/>
      <c r="AA824" s="25"/>
      <c r="AB824" s="25"/>
      <c r="AC824" s="25"/>
      <c r="AD824" s="25"/>
    </row>
    <row r="825" spans="1:30" ht="15.75" customHeight="1">
      <c r="A825" s="25"/>
      <c r="B825" s="25"/>
      <c r="C825" s="25"/>
      <c r="D825" s="25"/>
      <c r="E825" s="25"/>
      <c r="F825" s="25"/>
      <c r="G825" s="25"/>
      <c r="H825" s="25"/>
      <c r="I825" s="40"/>
      <c r="J825" s="25"/>
      <c r="K825" s="25"/>
      <c r="L825" s="25"/>
      <c r="M825" s="25"/>
      <c r="N825" s="25"/>
      <c r="O825" s="25"/>
      <c r="P825" s="25"/>
      <c r="Q825" s="25"/>
      <c r="R825" s="25"/>
      <c r="S825" s="25"/>
      <c r="T825" s="25"/>
      <c r="U825" s="25"/>
      <c r="V825" s="25"/>
      <c r="W825" s="25"/>
      <c r="X825" s="25"/>
      <c r="Y825" s="25"/>
      <c r="Z825" s="25"/>
      <c r="AA825" s="25"/>
      <c r="AB825" s="25"/>
      <c r="AC825" s="25"/>
      <c r="AD825" s="25"/>
    </row>
    <row r="826" spans="1:30" ht="15.75" customHeight="1">
      <c r="A826" s="25"/>
      <c r="B826" s="25"/>
      <c r="C826" s="25"/>
      <c r="D826" s="25"/>
      <c r="E826" s="25"/>
      <c r="F826" s="25"/>
      <c r="G826" s="25"/>
      <c r="H826" s="25"/>
      <c r="I826" s="40"/>
      <c r="J826" s="25"/>
      <c r="K826" s="25"/>
      <c r="L826" s="25"/>
      <c r="M826" s="25"/>
      <c r="N826" s="25"/>
      <c r="O826" s="25"/>
      <c r="P826" s="25"/>
      <c r="Q826" s="25"/>
      <c r="R826" s="25"/>
      <c r="S826" s="25"/>
      <c r="T826" s="25"/>
      <c r="U826" s="25"/>
      <c r="V826" s="25"/>
      <c r="W826" s="25"/>
      <c r="X826" s="25"/>
      <c r="Y826" s="25"/>
      <c r="Z826" s="25"/>
      <c r="AA826" s="25"/>
      <c r="AB826" s="25"/>
      <c r="AC826" s="25"/>
      <c r="AD826" s="25"/>
    </row>
    <row r="827" spans="1:30" ht="15.75" customHeight="1">
      <c r="A827" s="25"/>
      <c r="B827" s="25"/>
      <c r="C827" s="25"/>
      <c r="D827" s="25"/>
      <c r="E827" s="25"/>
      <c r="F827" s="25"/>
      <c r="G827" s="25"/>
      <c r="H827" s="25"/>
      <c r="I827" s="40"/>
      <c r="J827" s="25"/>
      <c r="K827" s="25"/>
      <c r="L827" s="25"/>
      <c r="M827" s="25"/>
      <c r="N827" s="25"/>
      <c r="O827" s="25"/>
      <c r="P827" s="25"/>
      <c r="Q827" s="25"/>
      <c r="R827" s="25"/>
      <c r="S827" s="25"/>
      <c r="T827" s="25"/>
      <c r="U827" s="25"/>
      <c r="V827" s="25"/>
      <c r="W827" s="25"/>
      <c r="X827" s="25"/>
      <c r="Y827" s="25"/>
      <c r="Z827" s="25"/>
      <c r="AA827" s="25"/>
      <c r="AB827" s="25"/>
      <c r="AC827" s="25"/>
      <c r="AD827" s="25"/>
    </row>
    <row r="828" spans="1:30" ht="15.75" customHeight="1">
      <c r="A828" s="25"/>
      <c r="B828" s="25"/>
      <c r="C828" s="25"/>
      <c r="D828" s="25"/>
      <c r="E828" s="25"/>
      <c r="F828" s="25"/>
      <c r="G828" s="25"/>
      <c r="H828" s="25"/>
      <c r="I828" s="40"/>
      <c r="J828" s="25"/>
      <c r="K828" s="25"/>
      <c r="L828" s="25"/>
      <c r="M828" s="25"/>
      <c r="N828" s="25"/>
      <c r="O828" s="25"/>
      <c r="P828" s="25"/>
      <c r="Q828" s="25"/>
      <c r="R828" s="25"/>
      <c r="S828" s="25"/>
      <c r="T828" s="25"/>
      <c r="U828" s="25"/>
      <c r="V828" s="25"/>
      <c r="W828" s="25"/>
      <c r="X828" s="25"/>
      <c r="Y828" s="25"/>
      <c r="Z828" s="25"/>
      <c r="AA828" s="25"/>
      <c r="AB828" s="25"/>
      <c r="AC828" s="25"/>
      <c r="AD828" s="25"/>
    </row>
    <row r="829" spans="1:30" ht="15.75" customHeight="1">
      <c r="A829" s="25"/>
      <c r="B829" s="25"/>
      <c r="C829" s="25"/>
      <c r="D829" s="25"/>
      <c r="E829" s="25"/>
      <c r="F829" s="25"/>
      <c r="G829" s="25"/>
      <c r="H829" s="25"/>
      <c r="I829" s="40"/>
      <c r="J829" s="25"/>
      <c r="K829" s="25"/>
      <c r="L829" s="25"/>
      <c r="M829" s="25"/>
      <c r="N829" s="25"/>
      <c r="O829" s="25"/>
      <c r="P829" s="25"/>
      <c r="Q829" s="25"/>
      <c r="R829" s="25"/>
      <c r="S829" s="25"/>
      <c r="T829" s="25"/>
      <c r="U829" s="25"/>
      <c r="V829" s="25"/>
      <c r="W829" s="25"/>
      <c r="X829" s="25"/>
      <c r="Y829" s="25"/>
      <c r="Z829" s="25"/>
      <c r="AA829" s="25"/>
      <c r="AB829" s="25"/>
      <c r="AC829" s="25"/>
      <c r="AD829" s="25"/>
    </row>
    <row r="830" spans="1:30" ht="15.75" customHeight="1">
      <c r="A830" s="25"/>
      <c r="B830" s="25"/>
      <c r="C830" s="25"/>
      <c r="D830" s="25"/>
      <c r="E830" s="25"/>
      <c r="F830" s="25"/>
      <c r="G830" s="25"/>
      <c r="H830" s="25"/>
      <c r="I830" s="40"/>
      <c r="J830" s="25"/>
      <c r="K830" s="25"/>
      <c r="L830" s="25"/>
      <c r="M830" s="25"/>
      <c r="N830" s="25"/>
      <c r="O830" s="25"/>
      <c r="P830" s="25"/>
      <c r="Q830" s="25"/>
      <c r="R830" s="25"/>
      <c r="S830" s="25"/>
      <c r="T830" s="25"/>
      <c r="U830" s="25"/>
      <c r="V830" s="25"/>
      <c r="W830" s="25"/>
      <c r="X830" s="25"/>
      <c r="Y830" s="25"/>
      <c r="Z830" s="25"/>
      <c r="AA830" s="25"/>
      <c r="AB830" s="25"/>
      <c r="AC830" s="25"/>
      <c r="AD830" s="25"/>
    </row>
    <row r="831" spans="1:30" ht="15.75" customHeight="1">
      <c r="A831" s="25"/>
      <c r="B831" s="25"/>
      <c r="C831" s="25"/>
      <c r="D831" s="25"/>
      <c r="E831" s="25"/>
      <c r="F831" s="25"/>
      <c r="G831" s="25"/>
      <c r="H831" s="25"/>
      <c r="I831" s="40"/>
      <c r="J831" s="25"/>
      <c r="K831" s="25"/>
      <c r="L831" s="25"/>
      <c r="M831" s="25"/>
      <c r="N831" s="25"/>
      <c r="O831" s="25"/>
      <c r="P831" s="25"/>
      <c r="Q831" s="25"/>
      <c r="R831" s="25"/>
      <c r="S831" s="25"/>
      <c r="T831" s="25"/>
      <c r="U831" s="25"/>
      <c r="V831" s="25"/>
      <c r="W831" s="25"/>
      <c r="X831" s="25"/>
      <c r="Y831" s="25"/>
      <c r="Z831" s="25"/>
      <c r="AA831" s="25"/>
      <c r="AB831" s="25"/>
      <c r="AC831" s="25"/>
      <c r="AD831" s="25"/>
    </row>
    <row r="832" spans="1:30" ht="15.75" customHeight="1">
      <c r="A832" s="25"/>
      <c r="B832" s="25"/>
      <c r="C832" s="25"/>
      <c r="D832" s="25"/>
      <c r="E832" s="25"/>
      <c r="F832" s="25"/>
      <c r="G832" s="25"/>
      <c r="H832" s="25"/>
      <c r="I832" s="40"/>
      <c r="J832" s="25"/>
      <c r="K832" s="25"/>
      <c r="L832" s="25"/>
      <c r="M832" s="25"/>
      <c r="N832" s="25"/>
      <c r="O832" s="25"/>
      <c r="P832" s="25"/>
      <c r="Q832" s="25"/>
      <c r="R832" s="25"/>
      <c r="S832" s="25"/>
      <c r="T832" s="25"/>
      <c r="U832" s="25"/>
      <c r="V832" s="25"/>
      <c r="W832" s="25"/>
      <c r="X832" s="25"/>
      <c r="Y832" s="25"/>
      <c r="Z832" s="25"/>
      <c r="AA832" s="25"/>
      <c r="AB832" s="25"/>
      <c r="AC832" s="25"/>
      <c r="AD832" s="25"/>
    </row>
    <row r="833" spans="1:30" ht="15.75" customHeight="1">
      <c r="A833" s="25"/>
      <c r="B833" s="25"/>
      <c r="C833" s="25"/>
      <c r="D833" s="25"/>
      <c r="E833" s="25"/>
      <c r="F833" s="25"/>
      <c r="G833" s="25"/>
      <c r="H833" s="25"/>
      <c r="I833" s="40"/>
      <c r="J833" s="25"/>
      <c r="K833" s="25"/>
      <c r="L833" s="25"/>
      <c r="M833" s="25"/>
      <c r="N833" s="25"/>
      <c r="O833" s="25"/>
      <c r="P833" s="25"/>
      <c r="Q833" s="25"/>
      <c r="R833" s="25"/>
      <c r="S833" s="25"/>
      <c r="T833" s="25"/>
      <c r="U833" s="25"/>
      <c r="V833" s="25"/>
      <c r="W833" s="25"/>
      <c r="X833" s="25"/>
      <c r="Y833" s="25"/>
      <c r="Z833" s="25"/>
      <c r="AA833" s="25"/>
      <c r="AB833" s="25"/>
      <c r="AC833" s="25"/>
      <c r="AD833" s="25"/>
    </row>
    <row r="834" spans="1:30" ht="15.75" customHeight="1">
      <c r="A834" s="25"/>
      <c r="B834" s="25"/>
      <c r="C834" s="25"/>
      <c r="D834" s="25"/>
      <c r="E834" s="25"/>
      <c r="F834" s="25"/>
      <c r="G834" s="25"/>
      <c r="H834" s="25"/>
      <c r="I834" s="40"/>
      <c r="J834" s="25"/>
      <c r="K834" s="25"/>
      <c r="L834" s="25"/>
      <c r="M834" s="25"/>
      <c r="N834" s="25"/>
      <c r="O834" s="25"/>
      <c r="P834" s="25"/>
      <c r="Q834" s="25"/>
      <c r="R834" s="25"/>
      <c r="S834" s="25"/>
      <c r="T834" s="25"/>
      <c r="U834" s="25"/>
      <c r="V834" s="25"/>
      <c r="W834" s="25"/>
      <c r="X834" s="25"/>
      <c r="Y834" s="25"/>
      <c r="Z834" s="25"/>
      <c r="AA834" s="25"/>
      <c r="AB834" s="25"/>
      <c r="AC834" s="25"/>
      <c r="AD834" s="25"/>
    </row>
    <row r="835" spans="1:30" ht="15.75" customHeight="1">
      <c r="A835" s="25"/>
      <c r="B835" s="25"/>
      <c r="C835" s="25"/>
      <c r="D835" s="25"/>
      <c r="E835" s="25"/>
      <c r="F835" s="25"/>
      <c r="G835" s="25"/>
      <c r="H835" s="25"/>
      <c r="I835" s="40"/>
      <c r="J835" s="25"/>
      <c r="K835" s="25"/>
      <c r="L835" s="25"/>
      <c r="M835" s="25"/>
      <c r="N835" s="25"/>
      <c r="O835" s="25"/>
      <c r="P835" s="25"/>
      <c r="Q835" s="25"/>
      <c r="R835" s="25"/>
      <c r="S835" s="25"/>
      <c r="T835" s="25"/>
      <c r="U835" s="25"/>
      <c r="V835" s="25"/>
      <c r="W835" s="25"/>
      <c r="X835" s="25"/>
      <c r="Y835" s="25"/>
      <c r="Z835" s="25"/>
      <c r="AA835" s="25"/>
      <c r="AB835" s="25"/>
      <c r="AC835" s="25"/>
      <c r="AD835" s="25"/>
    </row>
    <row r="836" spans="1:30" ht="15.75" customHeight="1">
      <c r="A836" s="25"/>
      <c r="B836" s="25"/>
      <c r="C836" s="25"/>
      <c r="D836" s="25"/>
      <c r="E836" s="25"/>
      <c r="F836" s="25"/>
      <c r="G836" s="25"/>
      <c r="H836" s="25"/>
      <c r="I836" s="40"/>
      <c r="J836" s="25"/>
      <c r="K836" s="25"/>
      <c r="L836" s="25"/>
      <c r="M836" s="25"/>
      <c r="N836" s="25"/>
      <c r="O836" s="25"/>
      <c r="P836" s="25"/>
      <c r="Q836" s="25"/>
      <c r="R836" s="25"/>
      <c r="S836" s="25"/>
      <c r="T836" s="25"/>
      <c r="U836" s="25"/>
      <c r="V836" s="25"/>
      <c r="W836" s="25"/>
      <c r="X836" s="25"/>
      <c r="Y836" s="25"/>
      <c r="Z836" s="25"/>
      <c r="AA836" s="25"/>
      <c r="AB836" s="25"/>
      <c r="AC836" s="25"/>
      <c r="AD836" s="25"/>
    </row>
    <row r="837" spans="1:30" ht="15.75" customHeight="1">
      <c r="A837" s="25"/>
      <c r="B837" s="25"/>
      <c r="C837" s="25"/>
      <c r="D837" s="25"/>
      <c r="E837" s="25"/>
      <c r="F837" s="25"/>
      <c r="G837" s="25"/>
      <c r="H837" s="25"/>
      <c r="I837" s="40"/>
      <c r="J837" s="25"/>
      <c r="K837" s="25"/>
      <c r="L837" s="25"/>
      <c r="M837" s="25"/>
      <c r="N837" s="25"/>
      <c r="O837" s="25"/>
      <c r="P837" s="25"/>
      <c r="Q837" s="25"/>
      <c r="R837" s="25"/>
      <c r="S837" s="25"/>
      <c r="T837" s="25"/>
      <c r="U837" s="25"/>
      <c r="V837" s="25"/>
      <c r="W837" s="25"/>
      <c r="X837" s="25"/>
      <c r="Y837" s="25"/>
      <c r="Z837" s="25"/>
      <c r="AA837" s="25"/>
      <c r="AB837" s="25"/>
      <c r="AC837" s="25"/>
      <c r="AD837" s="25"/>
    </row>
    <row r="838" spans="1:30" ht="15.75" customHeight="1">
      <c r="A838" s="25"/>
      <c r="B838" s="25"/>
      <c r="C838" s="25"/>
      <c r="D838" s="25"/>
      <c r="E838" s="25"/>
      <c r="F838" s="25"/>
      <c r="G838" s="25"/>
      <c r="H838" s="25"/>
      <c r="I838" s="40"/>
      <c r="J838" s="25"/>
      <c r="K838" s="25"/>
      <c r="L838" s="25"/>
      <c r="M838" s="25"/>
      <c r="N838" s="25"/>
      <c r="O838" s="25"/>
      <c r="P838" s="25"/>
      <c r="Q838" s="25"/>
      <c r="R838" s="25"/>
      <c r="S838" s="25"/>
      <c r="T838" s="25"/>
      <c r="U838" s="25"/>
      <c r="V838" s="25"/>
      <c r="W838" s="25"/>
      <c r="X838" s="25"/>
      <c r="Y838" s="25"/>
      <c r="Z838" s="25"/>
      <c r="AA838" s="25"/>
      <c r="AB838" s="25"/>
      <c r="AC838" s="25"/>
      <c r="AD838" s="25"/>
    </row>
    <row r="839" spans="1:30" ht="15.75" customHeight="1">
      <c r="A839" s="25"/>
      <c r="B839" s="25"/>
      <c r="C839" s="25"/>
      <c r="D839" s="25"/>
      <c r="E839" s="25"/>
      <c r="F839" s="25"/>
      <c r="G839" s="25"/>
      <c r="H839" s="25"/>
      <c r="I839" s="40"/>
      <c r="J839" s="25"/>
      <c r="K839" s="25"/>
      <c r="L839" s="25"/>
      <c r="M839" s="25"/>
      <c r="N839" s="25"/>
      <c r="O839" s="25"/>
      <c r="P839" s="25"/>
      <c r="Q839" s="25"/>
      <c r="R839" s="25"/>
      <c r="S839" s="25"/>
      <c r="T839" s="25"/>
      <c r="U839" s="25"/>
      <c r="V839" s="25"/>
      <c r="W839" s="25"/>
      <c r="X839" s="25"/>
      <c r="Y839" s="25"/>
      <c r="Z839" s="25"/>
      <c r="AA839" s="25"/>
      <c r="AB839" s="25"/>
      <c r="AC839" s="25"/>
      <c r="AD839" s="25"/>
    </row>
    <row r="840" spans="1:30" ht="15.75" customHeight="1">
      <c r="A840" s="25"/>
      <c r="B840" s="25"/>
      <c r="C840" s="25"/>
      <c r="D840" s="25"/>
      <c r="E840" s="25"/>
      <c r="F840" s="25"/>
      <c r="G840" s="25"/>
      <c r="H840" s="25"/>
      <c r="I840" s="40"/>
      <c r="J840" s="25"/>
      <c r="K840" s="25"/>
      <c r="L840" s="25"/>
      <c r="M840" s="25"/>
      <c r="N840" s="25"/>
      <c r="O840" s="25"/>
      <c r="P840" s="25"/>
      <c r="Q840" s="25"/>
      <c r="R840" s="25"/>
      <c r="S840" s="25"/>
      <c r="T840" s="25"/>
      <c r="U840" s="25"/>
      <c r="V840" s="25"/>
      <c r="W840" s="25"/>
      <c r="X840" s="25"/>
      <c r="Y840" s="25"/>
      <c r="Z840" s="25"/>
      <c r="AA840" s="25"/>
      <c r="AB840" s="25"/>
      <c r="AC840" s="25"/>
      <c r="AD840" s="25"/>
    </row>
    <row r="841" spans="1:30" ht="15.75" customHeight="1">
      <c r="A841" s="25"/>
      <c r="B841" s="25"/>
      <c r="C841" s="25"/>
      <c r="D841" s="25"/>
      <c r="E841" s="25"/>
      <c r="F841" s="25"/>
      <c r="G841" s="25"/>
      <c r="H841" s="25"/>
      <c r="I841" s="40"/>
      <c r="J841" s="25"/>
      <c r="K841" s="25"/>
      <c r="L841" s="25"/>
      <c r="M841" s="25"/>
      <c r="N841" s="25"/>
      <c r="O841" s="25"/>
      <c r="P841" s="25"/>
      <c r="Q841" s="25"/>
      <c r="R841" s="25"/>
      <c r="S841" s="25"/>
      <c r="T841" s="25"/>
      <c r="U841" s="25"/>
      <c r="V841" s="25"/>
      <c r="W841" s="25"/>
      <c r="X841" s="25"/>
      <c r="Y841" s="25"/>
      <c r="Z841" s="25"/>
      <c r="AA841" s="25"/>
      <c r="AB841" s="25"/>
      <c r="AC841" s="25"/>
      <c r="AD841" s="25"/>
    </row>
    <row r="842" spans="1:30" ht="15.75" customHeight="1">
      <c r="A842" s="25"/>
      <c r="B842" s="25"/>
      <c r="C842" s="25"/>
      <c r="D842" s="25"/>
      <c r="E842" s="25"/>
      <c r="F842" s="25"/>
      <c r="G842" s="25"/>
      <c r="H842" s="25"/>
      <c r="I842" s="40"/>
      <c r="J842" s="25"/>
      <c r="K842" s="25"/>
      <c r="L842" s="25"/>
      <c r="M842" s="25"/>
      <c r="N842" s="25"/>
      <c r="O842" s="25"/>
      <c r="P842" s="25"/>
      <c r="Q842" s="25"/>
      <c r="R842" s="25"/>
      <c r="S842" s="25"/>
      <c r="T842" s="25"/>
      <c r="U842" s="25"/>
      <c r="V842" s="25"/>
      <c r="W842" s="25"/>
      <c r="X842" s="25"/>
      <c r="Y842" s="25"/>
      <c r="Z842" s="25"/>
      <c r="AA842" s="25"/>
      <c r="AB842" s="25"/>
      <c r="AC842" s="25"/>
      <c r="AD842" s="25"/>
    </row>
    <row r="843" spans="1:30" ht="15.75" customHeight="1">
      <c r="A843" s="25"/>
      <c r="B843" s="25"/>
      <c r="C843" s="25"/>
      <c r="D843" s="25"/>
      <c r="E843" s="25"/>
      <c r="F843" s="25"/>
      <c r="G843" s="25"/>
      <c r="H843" s="25"/>
      <c r="I843" s="40"/>
      <c r="J843" s="25"/>
      <c r="K843" s="25"/>
      <c r="L843" s="25"/>
      <c r="M843" s="25"/>
      <c r="N843" s="25"/>
      <c r="O843" s="25"/>
      <c r="P843" s="25"/>
      <c r="Q843" s="25"/>
      <c r="R843" s="25"/>
      <c r="S843" s="25"/>
      <c r="T843" s="25"/>
      <c r="U843" s="25"/>
      <c r="V843" s="25"/>
      <c r="W843" s="25"/>
      <c r="X843" s="25"/>
      <c r="Y843" s="25"/>
      <c r="Z843" s="25"/>
      <c r="AA843" s="25"/>
      <c r="AB843" s="25"/>
      <c r="AC843" s="25"/>
      <c r="AD843" s="25"/>
    </row>
    <row r="844" spans="1:30" ht="15.75" customHeight="1">
      <c r="A844" s="25"/>
      <c r="B844" s="25"/>
      <c r="C844" s="25"/>
      <c r="D844" s="25"/>
      <c r="E844" s="25"/>
      <c r="F844" s="25"/>
      <c r="G844" s="25"/>
      <c r="H844" s="25"/>
      <c r="I844" s="40"/>
      <c r="J844" s="25"/>
      <c r="K844" s="25"/>
      <c r="L844" s="25"/>
      <c r="M844" s="25"/>
      <c r="N844" s="25"/>
      <c r="O844" s="25"/>
      <c r="P844" s="25"/>
      <c r="Q844" s="25"/>
      <c r="R844" s="25"/>
      <c r="S844" s="25"/>
      <c r="T844" s="25"/>
      <c r="U844" s="25"/>
      <c r="V844" s="25"/>
      <c r="W844" s="25"/>
      <c r="X844" s="25"/>
      <c r="Y844" s="25"/>
      <c r="Z844" s="25"/>
      <c r="AA844" s="25"/>
      <c r="AB844" s="25"/>
      <c r="AC844" s="25"/>
      <c r="AD844" s="25"/>
    </row>
    <row r="845" spans="1:30" ht="15.75" customHeight="1">
      <c r="A845" s="25"/>
      <c r="B845" s="25"/>
      <c r="C845" s="25"/>
      <c r="D845" s="25"/>
      <c r="E845" s="25"/>
      <c r="F845" s="25"/>
      <c r="G845" s="25"/>
      <c r="H845" s="25"/>
      <c r="I845" s="40"/>
      <c r="J845" s="25"/>
      <c r="K845" s="25"/>
      <c r="L845" s="25"/>
      <c r="M845" s="25"/>
      <c r="N845" s="25"/>
      <c r="O845" s="25"/>
      <c r="P845" s="25"/>
      <c r="Q845" s="25"/>
      <c r="R845" s="25"/>
      <c r="S845" s="25"/>
      <c r="T845" s="25"/>
      <c r="U845" s="25"/>
      <c r="V845" s="25"/>
      <c r="W845" s="25"/>
      <c r="X845" s="25"/>
      <c r="Y845" s="25"/>
      <c r="Z845" s="25"/>
      <c r="AA845" s="25"/>
      <c r="AB845" s="25"/>
      <c r="AC845" s="25"/>
      <c r="AD845" s="25"/>
    </row>
    <row r="846" spans="1:30" ht="15.75" customHeight="1">
      <c r="A846" s="25"/>
      <c r="B846" s="25"/>
      <c r="C846" s="25"/>
      <c r="D846" s="25"/>
      <c r="E846" s="25"/>
      <c r="F846" s="25"/>
      <c r="G846" s="25"/>
      <c r="H846" s="25"/>
      <c r="I846" s="40"/>
      <c r="J846" s="25"/>
      <c r="K846" s="25"/>
      <c r="L846" s="25"/>
      <c r="M846" s="25"/>
      <c r="N846" s="25"/>
      <c r="O846" s="25"/>
      <c r="P846" s="25"/>
      <c r="Q846" s="25"/>
      <c r="R846" s="25"/>
      <c r="S846" s="25"/>
      <c r="T846" s="25"/>
      <c r="U846" s="25"/>
      <c r="V846" s="25"/>
      <c r="W846" s="25"/>
      <c r="X846" s="25"/>
      <c r="Y846" s="25"/>
      <c r="Z846" s="25"/>
      <c r="AA846" s="25"/>
      <c r="AB846" s="25"/>
      <c r="AC846" s="25"/>
      <c r="AD846" s="25"/>
    </row>
    <row r="847" spans="1:30" ht="15.75" customHeight="1">
      <c r="A847" s="25"/>
      <c r="B847" s="25"/>
      <c r="C847" s="25"/>
      <c r="D847" s="25"/>
      <c r="E847" s="25"/>
      <c r="F847" s="25"/>
      <c r="G847" s="25"/>
      <c r="H847" s="25"/>
      <c r="I847" s="40"/>
      <c r="J847" s="25"/>
      <c r="K847" s="25"/>
      <c r="L847" s="25"/>
      <c r="M847" s="25"/>
      <c r="N847" s="25"/>
      <c r="O847" s="25"/>
      <c r="P847" s="25"/>
      <c r="Q847" s="25"/>
      <c r="R847" s="25"/>
      <c r="S847" s="25"/>
      <c r="T847" s="25"/>
      <c r="U847" s="25"/>
      <c r="V847" s="25"/>
      <c r="W847" s="25"/>
      <c r="X847" s="25"/>
      <c r="Y847" s="25"/>
      <c r="Z847" s="25"/>
      <c r="AA847" s="25"/>
      <c r="AB847" s="25"/>
      <c r="AC847" s="25"/>
      <c r="AD847" s="25"/>
    </row>
    <row r="848" spans="1:30" ht="15.75" customHeight="1">
      <c r="A848" s="25"/>
      <c r="B848" s="25"/>
      <c r="C848" s="25"/>
      <c r="D848" s="25"/>
      <c r="E848" s="25"/>
      <c r="F848" s="25"/>
      <c r="G848" s="25"/>
      <c r="H848" s="25"/>
      <c r="I848" s="40"/>
      <c r="J848" s="25"/>
      <c r="K848" s="25"/>
      <c r="L848" s="25"/>
      <c r="M848" s="25"/>
      <c r="N848" s="25"/>
      <c r="O848" s="25"/>
      <c r="P848" s="25"/>
      <c r="Q848" s="25"/>
      <c r="R848" s="25"/>
      <c r="S848" s="25"/>
      <c r="T848" s="25"/>
      <c r="U848" s="25"/>
      <c r="V848" s="25"/>
      <c r="W848" s="25"/>
      <c r="X848" s="25"/>
      <c r="Y848" s="25"/>
      <c r="Z848" s="25"/>
      <c r="AA848" s="25"/>
      <c r="AB848" s="25"/>
      <c r="AC848" s="25"/>
      <c r="AD848" s="25"/>
    </row>
    <row r="849" spans="1:30" ht="15.75" customHeight="1">
      <c r="A849" s="25"/>
      <c r="B849" s="25"/>
      <c r="C849" s="25"/>
      <c r="D849" s="25"/>
      <c r="E849" s="25"/>
      <c r="F849" s="25"/>
      <c r="G849" s="25"/>
      <c r="H849" s="25"/>
      <c r="I849" s="40"/>
      <c r="J849" s="25"/>
      <c r="K849" s="25"/>
      <c r="L849" s="25"/>
      <c r="M849" s="25"/>
      <c r="N849" s="25"/>
      <c r="O849" s="25"/>
      <c r="P849" s="25"/>
      <c r="Q849" s="25"/>
      <c r="R849" s="25"/>
      <c r="S849" s="25"/>
      <c r="T849" s="25"/>
      <c r="U849" s="25"/>
      <c r="V849" s="25"/>
      <c r="W849" s="25"/>
      <c r="X849" s="25"/>
      <c r="Y849" s="25"/>
      <c r="Z849" s="25"/>
      <c r="AA849" s="25"/>
      <c r="AB849" s="25"/>
      <c r="AC849" s="25"/>
      <c r="AD849" s="25"/>
    </row>
    <row r="850" spans="1:30" ht="15.75" customHeight="1">
      <c r="A850" s="25"/>
      <c r="B850" s="25"/>
      <c r="C850" s="25"/>
      <c r="D850" s="25"/>
      <c r="E850" s="25"/>
      <c r="F850" s="25"/>
      <c r="G850" s="25"/>
      <c r="H850" s="25"/>
      <c r="I850" s="40"/>
      <c r="J850" s="25"/>
      <c r="K850" s="25"/>
      <c r="L850" s="25"/>
      <c r="M850" s="25"/>
      <c r="N850" s="25"/>
      <c r="O850" s="25"/>
      <c r="P850" s="25"/>
      <c r="Q850" s="25"/>
      <c r="R850" s="25"/>
      <c r="S850" s="25"/>
      <c r="T850" s="25"/>
      <c r="U850" s="25"/>
      <c r="V850" s="25"/>
      <c r="W850" s="25"/>
      <c r="X850" s="25"/>
      <c r="Y850" s="25"/>
      <c r="Z850" s="25"/>
      <c r="AA850" s="25"/>
      <c r="AB850" s="25"/>
      <c r="AC850" s="25"/>
      <c r="AD850" s="25"/>
    </row>
    <row r="851" spans="1:30" ht="15.75" customHeight="1">
      <c r="A851" s="25"/>
      <c r="B851" s="25"/>
      <c r="C851" s="25"/>
      <c r="D851" s="25"/>
      <c r="E851" s="25"/>
      <c r="F851" s="25"/>
      <c r="G851" s="25"/>
      <c r="H851" s="25"/>
      <c r="I851" s="40"/>
      <c r="J851" s="25"/>
      <c r="K851" s="25"/>
      <c r="L851" s="25"/>
      <c r="M851" s="25"/>
      <c r="N851" s="25"/>
      <c r="O851" s="25"/>
      <c r="P851" s="25"/>
      <c r="Q851" s="25"/>
      <c r="R851" s="25"/>
      <c r="S851" s="25"/>
      <c r="T851" s="25"/>
      <c r="U851" s="25"/>
      <c r="V851" s="25"/>
      <c r="W851" s="25"/>
      <c r="X851" s="25"/>
      <c r="Y851" s="25"/>
      <c r="Z851" s="25"/>
      <c r="AA851" s="25"/>
      <c r="AB851" s="25"/>
      <c r="AC851" s="25"/>
      <c r="AD851" s="25"/>
    </row>
    <row r="852" spans="1:30" ht="15.75" customHeight="1">
      <c r="A852" s="25"/>
      <c r="B852" s="25"/>
      <c r="C852" s="25"/>
      <c r="D852" s="25"/>
      <c r="E852" s="25"/>
      <c r="F852" s="25"/>
      <c r="G852" s="25"/>
      <c r="H852" s="25"/>
      <c r="I852" s="40"/>
      <c r="J852" s="25"/>
      <c r="K852" s="25"/>
      <c r="L852" s="25"/>
      <c r="M852" s="25"/>
      <c r="N852" s="25"/>
      <c r="O852" s="25"/>
      <c r="P852" s="25"/>
      <c r="Q852" s="25"/>
      <c r="R852" s="25"/>
      <c r="S852" s="25"/>
      <c r="T852" s="25"/>
      <c r="U852" s="25"/>
      <c r="V852" s="25"/>
      <c r="W852" s="25"/>
      <c r="X852" s="25"/>
      <c r="Y852" s="25"/>
      <c r="Z852" s="25"/>
      <c r="AA852" s="25"/>
      <c r="AB852" s="25"/>
      <c r="AC852" s="25"/>
      <c r="AD852" s="25"/>
    </row>
    <row r="853" spans="1:30" ht="15.75" customHeight="1">
      <c r="A853" s="25"/>
      <c r="B853" s="25"/>
      <c r="C853" s="25"/>
      <c r="D853" s="25"/>
      <c r="E853" s="25"/>
      <c r="F853" s="25"/>
      <c r="G853" s="25"/>
      <c r="H853" s="25"/>
      <c r="I853" s="40"/>
      <c r="J853" s="25"/>
      <c r="K853" s="25"/>
      <c r="L853" s="25"/>
      <c r="M853" s="25"/>
      <c r="N853" s="25"/>
      <c r="O853" s="25"/>
      <c r="P853" s="25"/>
      <c r="Q853" s="25"/>
      <c r="R853" s="25"/>
      <c r="S853" s="25"/>
      <c r="T853" s="25"/>
      <c r="U853" s="25"/>
      <c r="V853" s="25"/>
      <c r="W853" s="25"/>
      <c r="X853" s="25"/>
      <c r="Y853" s="25"/>
      <c r="Z853" s="25"/>
      <c r="AA853" s="25"/>
      <c r="AB853" s="25"/>
      <c r="AC853" s="25"/>
      <c r="AD853" s="25"/>
    </row>
    <row r="854" spans="1:30" ht="15.75" customHeight="1">
      <c r="A854" s="25"/>
      <c r="B854" s="25"/>
      <c r="C854" s="25"/>
      <c r="D854" s="25"/>
      <c r="E854" s="25"/>
      <c r="F854" s="25"/>
      <c r="G854" s="25"/>
      <c r="H854" s="25"/>
      <c r="I854" s="40"/>
      <c r="J854" s="25"/>
      <c r="K854" s="25"/>
      <c r="L854" s="25"/>
      <c r="M854" s="25"/>
      <c r="N854" s="25"/>
      <c r="O854" s="25"/>
      <c r="P854" s="25"/>
      <c r="Q854" s="25"/>
      <c r="R854" s="25"/>
      <c r="S854" s="25"/>
      <c r="T854" s="25"/>
      <c r="U854" s="25"/>
      <c r="V854" s="25"/>
      <c r="W854" s="25"/>
      <c r="X854" s="25"/>
      <c r="Y854" s="25"/>
      <c r="Z854" s="25"/>
      <c r="AA854" s="25"/>
      <c r="AB854" s="25"/>
      <c r="AC854" s="25"/>
      <c r="AD854" s="25"/>
    </row>
    <row r="855" spans="1:30" ht="15.75" customHeight="1">
      <c r="A855" s="25"/>
      <c r="B855" s="25"/>
      <c r="C855" s="25"/>
      <c r="D855" s="25"/>
      <c r="E855" s="25"/>
      <c r="F855" s="25"/>
      <c r="G855" s="25"/>
      <c r="H855" s="25"/>
      <c r="I855" s="40"/>
      <c r="J855" s="25"/>
      <c r="K855" s="25"/>
      <c r="L855" s="25"/>
      <c r="M855" s="25"/>
      <c r="N855" s="25"/>
      <c r="O855" s="25"/>
      <c r="P855" s="25"/>
      <c r="Q855" s="25"/>
      <c r="R855" s="25"/>
      <c r="S855" s="25"/>
      <c r="T855" s="25"/>
      <c r="U855" s="25"/>
      <c r="V855" s="25"/>
      <c r="W855" s="25"/>
      <c r="X855" s="25"/>
      <c r="Y855" s="25"/>
      <c r="Z855" s="25"/>
      <c r="AA855" s="25"/>
      <c r="AB855" s="25"/>
      <c r="AC855" s="25"/>
      <c r="AD855" s="25"/>
    </row>
    <row r="856" spans="1:30" ht="15.75" customHeight="1">
      <c r="A856" s="25"/>
      <c r="B856" s="25"/>
      <c r="C856" s="25"/>
      <c r="D856" s="25"/>
      <c r="E856" s="25"/>
      <c r="F856" s="25"/>
      <c r="G856" s="25"/>
      <c r="H856" s="25"/>
      <c r="I856" s="40"/>
      <c r="J856" s="25"/>
      <c r="K856" s="25"/>
      <c r="L856" s="25"/>
      <c r="M856" s="25"/>
      <c r="N856" s="25"/>
      <c r="O856" s="25"/>
      <c r="P856" s="25"/>
      <c r="Q856" s="25"/>
      <c r="R856" s="25"/>
      <c r="S856" s="25"/>
      <c r="T856" s="25"/>
      <c r="U856" s="25"/>
      <c r="V856" s="25"/>
      <c r="W856" s="25"/>
      <c r="X856" s="25"/>
      <c r="Y856" s="25"/>
      <c r="Z856" s="25"/>
      <c r="AA856" s="25"/>
      <c r="AB856" s="25"/>
      <c r="AC856" s="25"/>
      <c r="AD856" s="25"/>
    </row>
    <row r="857" spans="1:30" ht="15.75" customHeight="1">
      <c r="A857" s="25"/>
      <c r="B857" s="25"/>
      <c r="C857" s="25"/>
      <c r="D857" s="25"/>
      <c r="E857" s="25"/>
      <c r="F857" s="25"/>
      <c r="G857" s="25"/>
      <c r="H857" s="25"/>
      <c r="I857" s="40"/>
      <c r="J857" s="25"/>
      <c r="K857" s="25"/>
      <c r="L857" s="25"/>
      <c r="M857" s="25"/>
      <c r="N857" s="25"/>
      <c r="O857" s="25"/>
      <c r="P857" s="25"/>
      <c r="Q857" s="25"/>
      <c r="R857" s="25"/>
      <c r="S857" s="25"/>
      <c r="T857" s="25"/>
      <c r="U857" s="25"/>
      <c r="V857" s="25"/>
      <c r="W857" s="25"/>
      <c r="X857" s="25"/>
      <c r="Y857" s="25"/>
      <c r="Z857" s="25"/>
      <c r="AA857" s="25"/>
      <c r="AB857" s="25"/>
      <c r="AC857" s="25"/>
      <c r="AD857" s="25"/>
    </row>
    <row r="858" spans="1:30" ht="15.75" customHeight="1">
      <c r="A858" s="25"/>
      <c r="B858" s="25"/>
      <c r="C858" s="25"/>
      <c r="D858" s="25"/>
      <c r="E858" s="25"/>
      <c r="F858" s="25"/>
      <c r="G858" s="25"/>
      <c r="H858" s="25"/>
      <c r="I858" s="40"/>
      <c r="J858" s="25"/>
      <c r="K858" s="25"/>
      <c r="L858" s="25"/>
      <c r="M858" s="25"/>
      <c r="N858" s="25"/>
      <c r="O858" s="25"/>
      <c r="P858" s="25"/>
      <c r="Q858" s="25"/>
      <c r="R858" s="25"/>
      <c r="S858" s="25"/>
      <c r="T858" s="25"/>
      <c r="U858" s="25"/>
      <c r="V858" s="25"/>
      <c r="W858" s="25"/>
      <c r="X858" s="25"/>
      <c r="Y858" s="25"/>
      <c r="Z858" s="25"/>
      <c r="AA858" s="25"/>
      <c r="AB858" s="25"/>
      <c r="AC858" s="25"/>
      <c r="AD858" s="25"/>
    </row>
    <row r="859" spans="1:30" ht="15.75" customHeight="1">
      <c r="A859" s="25"/>
      <c r="B859" s="25"/>
      <c r="C859" s="25"/>
      <c r="D859" s="25"/>
      <c r="E859" s="25"/>
      <c r="F859" s="25"/>
      <c r="G859" s="25"/>
      <c r="H859" s="25"/>
      <c r="I859" s="40"/>
      <c r="J859" s="25"/>
      <c r="K859" s="25"/>
      <c r="L859" s="25"/>
      <c r="M859" s="25"/>
      <c r="N859" s="25"/>
      <c r="O859" s="25"/>
      <c r="P859" s="25"/>
      <c r="Q859" s="25"/>
      <c r="R859" s="25"/>
      <c r="S859" s="25"/>
      <c r="T859" s="25"/>
      <c r="U859" s="25"/>
      <c r="V859" s="25"/>
      <c r="W859" s="25"/>
      <c r="X859" s="25"/>
      <c r="Y859" s="25"/>
      <c r="Z859" s="25"/>
      <c r="AA859" s="25"/>
      <c r="AB859" s="25"/>
      <c r="AC859" s="25"/>
      <c r="AD859" s="25"/>
    </row>
    <row r="860" spans="1:30" ht="15.75" customHeight="1">
      <c r="A860" s="25"/>
      <c r="B860" s="25"/>
      <c r="C860" s="25"/>
      <c r="D860" s="25"/>
      <c r="E860" s="25"/>
      <c r="F860" s="25"/>
      <c r="G860" s="25"/>
      <c r="H860" s="25"/>
      <c r="I860" s="40"/>
      <c r="J860" s="25"/>
      <c r="K860" s="25"/>
      <c r="L860" s="25"/>
      <c r="M860" s="25"/>
      <c r="N860" s="25"/>
      <c r="O860" s="25"/>
      <c r="P860" s="25"/>
      <c r="Q860" s="25"/>
      <c r="R860" s="25"/>
      <c r="S860" s="25"/>
      <c r="T860" s="25"/>
      <c r="U860" s="25"/>
      <c r="V860" s="25"/>
      <c r="W860" s="25"/>
      <c r="X860" s="25"/>
      <c r="Y860" s="25"/>
      <c r="Z860" s="25"/>
      <c r="AA860" s="25"/>
      <c r="AB860" s="25"/>
      <c r="AC860" s="25"/>
      <c r="AD860" s="25"/>
    </row>
    <row r="861" spans="1:30" ht="15.75" customHeight="1">
      <c r="A861" s="25"/>
      <c r="B861" s="25"/>
      <c r="C861" s="25"/>
      <c r="D861" s="25"/>
      <c r="E861" s="25"/>
      <c r="F861" s="25"/>
      <c r="G861" s="25"/>
      <c r="H861" s="25"/>
      <c r="I861" s="40"/>
      <c r="J861" s="25"/>
      <c r="K861" s="25"/>
      <c r="L861" s="25"/>
      <c r="M861" s="25"/>
      <c r="N861" s="25"/>
      <c r="O861" s="25"/>
      <c r="P861" s="25"/>
      <c r="Q861" s="25"/>
      <c r="R861" s="25"/>
      <c r="S861" s="25"/>
      <c r="T861" s="25"/>
      <c r="U861" s="25"/>
      <c r="V861" s="25"/>
      <c r="W861" s="25"/>
      <c r="X861" s="25"/>
      <c r="Y861" s="25"/>
      <c r="Z861" s="25"/>
      <c r="AA861" s="25"/>
      <c r="AB861" s="25"/>
      <c r="AC861" s="25"/>
      <c r="AD861" s="25"/>
    </row>
    <row r="862" spans="1:30" ht="15.75" customHeight="1">
      <c r="A862" s="25"/>
      <c r="B862" s="25"/>
      <c r="C862" s="25"/>
      <c r="D862" s="25"/>
      <c r="E862" s="25"/>
      <c r="F862" s="25"/>
      <c r="G862" s="25"/>
      <c r="H862" s="25"/>
      <c r="I862" s="40"/>
      <c r="J862" s="25"/>
      <c r="K862" s="25"/>
      <c r="L862" s="25"/>
      <c r="M862" s="25"/>
      <c r="N862" s="25"/>
      <c r="O862" s="25"/>
      <c r="P862" s="25"/>
      <c r="Q862" s="25"/>
      <c r="R862" s="25"/>
      <c r="S862" s="25"/>
      <c r="T862" s="25"/>
      <c r="U862" s="25"/>
      <c r="V862" s="25"/>
      <c r="W862" s="25"/>
      <c r="X862" s="25"/>
      <c r="Y862" s="25"/>
      <c r="Z862" s="25"/>
      <c r="AA862" s="25"/>
      <c r="AB862" s="25"/>
      <c r="AC862" s="25"/>
      <c r="AD862" s="25"/>
    </row>
    <row r="863" spans="1:30" ht="15.75" customHeight="1">
      <c r="A863" s="25"/>
      <c r="B863" s="25"/>
      <c r="C863" s="25"/>
      <c r="D863" s="25"/>
      <c r="E863" s="25"/>
      <c r="F863" s="25"/>
      <c r="G863" s="25"/>
      <c r="H863" s="25"/>
      <c r="I863" s="40"/>
      <c r="J863" s="25"/>
      <c r="K863" s="25"/>
      <c r="L863" s="25"/>
      <c r="M863" s="25"/>
      <c r="N863" s="25"/>
      <c r="O863" s="25"/>
      <c r="P863" s="25"/>
      <c r="Q863" s="25"/>
      <c r="R863" s="25"/>
      <c r="S863" s="25"/>
      <c r="T863" s="25"/>
      <c r="U863" s="25"/>
      <c r="V863" s="25"/>
      <c r="W863" s="25"/>
      <c r="X863" s="25"/>
      <c r="Y863" s="25"/>
      <c r="Z863" s="25"/>
      <c r="AA863" s="25"/>
      <c r="AB863" s="25"/>
      <c r="AC863" s="25"/>
      <c r="AD863" s="25"/>
    </row>
    <row r="864" spans="1:30" ht="15.75" customHeight="1">
      <c r="A864" s="25"/>
      <c r="B864" s="25"/>
      <c r="C864" s="25"/>
      <c r="D864" s="25"/>
      <c r="E864" s="25"/>
      <c r="F864" s="25"/>
      <c r="G864" s="25"/>
      <c r="H864" s="25"/>
      <c r="I864" s="40"/>
      <c r="J864" s="25"/>
      <c r="K864" s="25"/>
      <c r="L864" s="25"/>
      <c r="M864" s="25"/>
      <c r="N864" s="25"/>
      <c r="O864" s="25"/>
      <c r="P864" s="25"/>
      <c r="Q864" s="25"/>
      <c r="R864" s="25"/>
      <c r="S864" s="25"/>
      <c r="T864" s="25"/>
      <c r="U864" s="25"/>
      <c r="V864" s="25"/>
      <c r="W864" s="25"/>
      <c r="X864" s="25"/>
      <c r="Y864" s="25"/>
      <c r="Z864" s="25"/>
      <c r="AA864" s="25"/>
      <c r="AB864" s="25"/>
      <c r="AC864" s="25"/>
      <c r="AD864" s="25"/>
    </row>
    <row r="865" spans="1:30" ht="15.75" customHeight="1">
      <c r="A865" s="25"/>
      <c r="B865" s="25"/>
      <c r="C865" s="25"/>
      <c r="D865" s="25"/>
      <c r="E865" s="25"/>
      <c r="F865" s="25"/>
      <c r="G865" s="25"/>
      <c r="H865" s="25"/>
      <c r="I865" s="40"/>
      <c r="J865" s="25"/>
      <c r="K865" s="25"/>
      <c r="L865" s="25"/>
      <c r="M865" s="25"/>
      <c r="N865" s="25"/>
      <c r="O865" s="25"/>
      <c r="P865" s="25"/>
      <c r="Q865" s="25"/>
      <c r="R865" s="25"/>
      <c r="S865" s="25"/>
      <c r="T865" s="25"/>
      <c r="U865" s="25"/>
      <c r="V865" s="25"/>
      <c r="W865" s="25"/>
      <c r="X865" s="25"/>
      <c r="Y865" s="25"/>
      <c r="Z865" s="25"/>
      <c r="AA865" s="25"/>
      <c r="AB865" s="25"/>
      <c r="AC865" s="25"/>
      <c r="AD865" s="25"/>
    </row>
    <row r="866" spans="1:30" ht="15.75" customHeight="1">
      <c r="A866" s="25"/>
      <c r="B866" s="25"/>
      <c r="C866" s="25"/>
      <c r="D866" s="25"/>
      <c r="E866" s="25"/>
      <c r="F866" s="25"/>
      <c r="G866" s="25"/>
      <c r="H866" s="25"/>
      <c r="I866" s="40"/>
      <c r="J866" s="25"/>
      <c r="K866" s="25"/>
      <c r="L866" s="25"/>
      <c r="M866" s="25"/>
      <c r="N866" s="25"/>
      <c r="O866" s="25"/>
      <c r="P866" s="25"/>
      <c r="Q866" s="25"/>
      <c r="R866" s="25"/>
      <c r="S866" s="25"/>
      <c r="T866" s="25"/>
      <c r="U866" s="25"/>
      <c r="V866" s="25"/>
      <c r="W866" s="25"/>
      <c r="X866" s="25"/>
      <c r="Y866" s="25"/>
      <c r="Z866" s="25"/>
      <c r="AA866" s="25"/>
      <c r="AB866" s="25"/>
      <c r="AC866" s="25"/>
      <c r="AD866" s="25"/>
    </row>
    <row r="867" spans="1:30" ht="15.75" customHeight="1">
      <c r="A867" s="25"/>
      <c r="B867" s="25"/>
      <c r="C867" s="25"/>
      <c r="D867" s="25"/>
      <c r="E867" s="25"/>
      <c r="F867" s="25"/>
      <c r="G867" s="25"/>
      <c r="H867" s="25"/>
      <c r="I867" s="40"/>
      <c r="J867" s="25"/>
      <c r="K867" s="25"/>
      <c r="L867" s="25"/>
      <c r="M867" s="25"/>
      <c r="N867" s="25"/>
      <c r="O867" s="25"/>
      <c r="P867" s="25"/>
      <c r="Q867" s="25"/>
      <c r="R867" s="25"/>
      <c r="S867" s="25"/>
      <c r="T867" s="25"/>
      <c r="U867" s="25"/>
      <c r="V867" s="25"/>
      <c r="W867" s="25"/>
      <c r="X867" s="25"/>
      <c r="Y867" s="25"/>
      <c r="Z867" s="25"/>
      <c r="AA867" s="25"/>
      <c r="AB867" s="25"/>
      <c r="AC867" s="25"/>
      <c r="AD867" s="25"/>
    </row>
    <row r="868" spans="1:30" ht="15.75" customHeight="1">
      <c r="A868" s="25"/>
      <c r="B868" s="25"/>
      <c r="C868" s="25"/>
      <c r="D868" s="25"/>
      <c r="E868" s="25"/>
      <c r="F868" s="25"/>
      <c r="G868" s="25"/>
      <c r="H868" s="25"/>
      <c r="I868" s="40"/>
      <c r="J868" s="25"/>
      <c r="K868" s="25"/>
      <c r="L868" s="25"/>
      <c r="M868" s="25"/>
      <c r="N868" s="25"/>
      <c r="O868" s="25"/>
      <c r="P868" s="25"/>
      <c r="Q868" s="25"/>
      <c r="R868" s="25"/>
      <c r="S868" s="25"/>
      <c r="T868" s="25"/>
      <c r="U868" s="25"/>
      <c r="V868" s="25"/>
      <c r="W868" s="25"/>
      <c r="X868" s="25"/>
      <c r="Y868" s="25"/>
      <c r="Z868" s="25"/>
      <c r="AA868" s="25"/>
      <c r="AB868" s="25"/>
      <c r="AC868" s="25"/>
      <c r="AD868" s="25"/>
    </row>
    <row r="869" spans="1:30" ht="15.75" customHeight="1">
      <c r="A869" s="25"/>
      <c r="B869" s="25"/>
      <c r="C869" s="25"/>
      <c r="D869" s="25"/>
      <c r="E869" s="25"/>
      <c r="F869" s="25"/>
      <c r="G869" s="25"/>
      <c r="H869" s="25"/>
      <c r="I869" s="40"/>
      <c r="J869" s="25"/>
      <c r="K869" s="25"/>
      <c r="L869" s="25"/>
      <c r="M869" s="25"/>
      <c r="N869" s="25"/>
      <c r="O869" s="25"/>
      <c r="P869" s="25"/>
      <c r="Q869" s="25"/>
      <c r="R869" s="25"/>
      <c r="S869" s="25"/>
      <c r="T869" s="25"/>
      <c r="U869" s="25"/>
      <c r="V869" s="25"/>
      <c r="W869" s="25"/>
      <c r="X869" s="25"/>
      <c r="Y869" s="25"/>
      <c r="Z869" s="25"/>
      <c r="AA869" s="25"/>
      <c r="AB869" s="25"/>
      <c r="AC869" s="25"/>
      <c r="AD869" s="25"/>
    </row>
    <row r="870" spans="1:30" ht="15.75" customHeight="1">
      <c r="A870" s="25"/>
      <c r="B870" s="25"/>
      <c r="C870" s="25"/>
      <c r="D870" s="25"/>
      <c r="E870" s="25"/>
      <c r="F870" s="25"/>
      <c r="G870" s="25"/>
      <c r="H870" s="25"/>
      <c r="I870" s="40"/>
      <c r="J870" s="25"/>
      <c r="K870" s="25"/>
      <c r="L870" s="25"/>
      <c r="M870" s="25"/>
      <c r="N870" s="25"/>
      <c r="O870" s="25"/>
      <c r="P870" s="25"/>
      <c r="Q870" s="25"/>
      <c r="R870" s="25"/>
      <c r="S870" s="25"/>
      <c r="T870" s="25"/>
      <c r="U870" s="25"/>
      <c r="V870" s="25"/>
      <c r="W870" s="25"/>
      <c r="X870" s="25"/>
      <c r="Y870" s="25"/>
      <c r="Z870" s="25"/>
      <c r="AA870" s="25"/>
      <c r="AB870" s="25"/>
      <c r="AC870" s="25"/>
      <c r="AD870" s="25"/>
    </row>
    <row r="871" spans="1:30" ht="15.75" customHeight="1">
      <c r="A871" s="25"/>
      <c r="B871" s="25"/>
      <c r="C871" s="25"/>
      <c r="D871" s="25"/>
      <c r="E871" s="25"/>
      <c r="F871" s="25"/>
      <c r="G871" s="25"/>
      <c r="H871" s="25"/>
      <c r="I871" s="40"/>
      <c r="J871" s="25"/>
      <c r="K871" s="25"/>
      <c r="L871" s="25"/>
      <c r="M871" s="25"/>
      <c r="N871" s="25"/>
      <c r="O871" s="25"/>
      <c r="P871" s="25"/>
      <c r="Q871" s="25"/>
      <c r="R871" s="25"/>
      <c r="S871" s="25"/>
      <c r="T871" s="25"/>
      <c r="U871" s="25"/>
      <c r="V871" s="25"/>
      <c r="W871" s="25"/>
      <c r="X871" s="25"/>
      <c r="Y871" s="25"/>
      <c r="Z871" s="25"/>
      <c r="AA871" s="25"/>
      <c r="AB871" s="25"/>
      <c r="AC871" s="25"/>
      <c r="AD871" s="25"/>
    </row>
    <row r="872" spans="1:30" ht="15.75" customHeight="1">
      <c r="A872" s="25"/>
      <c r="B872" s="25"/>
      <c r="C872" s="25"/>
      <c r="D872" s="25"/>
      <c r="E872" s="25"/>
      <c r="F872" s="25"/>
      <c r="G872" s="25"/>
      <c r="H872" s="25"/>
      <c r="I872" s="40"/>
      <c r="J872" s="25"/>
      <c r="K872" s="25"/>
      <c r="L872" s="25"/>
      <c r="M872" s="25"/>
      <c r="N872" s="25"/>
      <c r="O872" s="25"/>
      <c r="P872" s="25"/>
      <c r="Q872" s="25"/>
      <c r="R872" s="25"/>
      <c r="S872" s="25"/>
      <c r="T872" s="25"/>
      <c r="U872" s="25"/>
      <c r="V872" s="25"/>
      <c r="W872" s="25"/>
      <c r="X872" s="25"/>
      <c r="Y872" s="25"/>
      <c r="Z872" s="25"/>
      <c r="AA872" s="25"/>
      <c r="AB872" s="25"/>
      <c r="AC872" s="25"/>
      <c r="AD872" s="25"/>
    </row>
    <row r="873" spans="1:30" ht="15.75" customHeight="1">
      <c r="A873" s="25"/>
      <c r="B873" s="25"/>
      <c r="C873" s="25"/>
      <c r="D873" s="25"/>
      <c r="E873" s="25"/>
      <c r="F873" s="25"/>
      <c r="G873" s="25"/>
      <c r="H873" s="25"/>
      <c r="I873" s="40"/>
      <c r="J873" s="25"/>
      <c r="K873" s="25"/>
      <c r="L873" s="25"/>
      <c r="M873" s="25"/>
      <c r="N873" s="25"/>
      <c r="O873" s="25"/>
      <c r="P873" s="25"/>
      <c r="Q873" s="25"/>
      <c r="R873" s="25"/>
      <c r="S873" s="25"/>
      <c r="T873" s="25"/>
      <c r="U873" s="25"/>
      <c r="V873" s="25"/>
      <c r="W873" s="25"/>
      <c r="X873" s="25"/>
      <c r="Y873" s="25"/>
      <c r="Z873" s="25"/>
      <c r="AA873" s="25"/>
      <c r="AB873" s="25"/>
      <c r="AC873" s="25"/>
      <c r="AD873" s="25"/>
    </row>
    <row r="874" spans="1:30" ht="15.75" customHeight="1">
      <c r="A874" s="25"/>
      <c r="B874" s="25"/>
      <c r="C874" s="25"/>
      <c r="D874" s="25"/>
      <c r="E874" s="25"/>
      <c r="F874" s="25"/>
      <c r="G874" s="25"/>
      <c r="H874" s="25"/>
      <c r="I874" s="40"/>
      <c r="J874" s="25"/>
      <c r="K874" s="25"/>
      <c r="L874" s="25"/>
      <c r="M874" s="25"/>
      <c r="N874" s="25"/>
      <c r="O874" s="25"/>
      <c r="P874" s="25"/>
      <c r="Q874" s="25"/>
      <c r="R874" s="25"/>
      <c r="S874" s="25"/>
      <c r="T874" s="25"/>
      <c r="U874" s="25"/>
      <c r="V874" s="25"/>
      <c r="W874" s="25"/>
      <c r="X874" s="25"/>
      <c r="Y874" s="25"/>
      <c r="Z874" s="25"/>
      <c r="AA874" s="25"/>
      <c r="AB874" s="25"/>
      <c r="AC874" s="25"/>
      <c r="AD874" s="25"/>
    </row>
    <row r="875" spans="1:30" ht="15.75" customHeight="1">
      <c r="A875" s="25"/>
      <c r="B875" s="25"/>
      <c r="C875" s="25"/>
      <c r="D875" s="25"/>
      <c r="E875" s="25"/>
      <c r="F875" s="25"/>
      <c r="G875" s="25"/>
      <c r="H875" s="25"/>
      <c r="I875" s="40"/>
      <c r="J875" s="25"/>
      <c r="K875" s="25"/>
      <c r="L875" s="25"/>
      <c r="M875" s="25"/>
      <c r="N875" s="25"/>
      <c r="O875" s="25"/>
      <c r="P875" s="25"/>
      <c r="Q875" s="25"/>
      <c r="R875" s="25"/>
      <c r="S875" s="25"/>
      <c r="T875" s="25"/>
      <c r="U875" s="25"/>
      <c r="V875" s="25"/>
      <c r="W875" s="25"/>
      <c r="X875" s="25"/>
      <c r="Y875" s="25"/>
      <c r="Z875" s="25"/>
      <c r="AA875" s="25"/>
      <c r="AB875" s="25"/>
      <c r="AC875" s="25"/>
      <c r="AD875" s="25"/>
    </row>
    <row r="876" spans="1:30" ht="15.75" customHeight="1">
      <c r="A876" s="25"/>
      <c r="B876" s="25"/>
      <c r="C876" s="25"/>
      <c r="D876" s="25"/>
      <c r="E876" s="25"/>
      <c r="F876" s="25"/>
      <c r="G876" s="25"/>
      <c r="H876" s="25"/>
      <c r="I876" s="40"/>
      <c r="J876" s="25"/>
      <c r="K876" s="25"/>
      <c r="L876" s="25"/>
      <c r="M876" s="25"/>
      <c r="N876" s="25"/>
      <c r="O876" s="25"/>
      <c r="P876" s="25"/>
      <c r="Q876" s="25"/>
      <c r="R876" s="25"/>
      <c r="S876" s="25"/>
      <c r="T876" s="25"/>
      <c r="U876" s="25"/>
      <c r="V876" s="25"/>
      <c r="W876" s="25"/>
      <c r="X876" s="25"/>
      <c r="Y876" s="25"/>
      <c r="Z876" s="25"/>
      <c r="AA876" s="25"/>
      <c r="AB876" s="25"/>
      <c r="AC876" s="25"/>
      <c r="AD876" s="25"/>
    </row>
    <row r="877" spans="1:30" ht="15.75" customHeight="1">
      <c r="A877" s="25"/>
      <c r="B877" s="25"/>
      <c r="C877" s="25"/>
      <c r="D877" s="25"/>
      <c r="E877" s="25"/>
      <c r="F877" s="25"/>
      <c r="G877" s="25"/>
      <c r="H877" s="25"/>
      <c r="I877" s="40"/>
      <c r="J877" s="25"/>
      <c r="K877" s="25"/>
      <c r="L877" s="25"/>
      <c r="M877" s="25"/>
      <c r="N877" s="25"/>
      <c r="O877" s="25"/>
      <c r="P877" s="25"/>
      <c r="Q877" s="25"/>
      <c r="R877" s="25"/>
      <c r="S877" s="25"/>
      <c r="T877" s="25"/>
      <c r="U877" s="25"/>
      <c r="V877" s="25"/>
      <c r="W877" s="25"/>
      <c r="X877" s="25"/>
      <c r="Y877" s="25"/>
      <c r="Z877" s="25"/>
      <c r="AA877" s="25"/>
      <c r="AB877" s="25"/>
      <c r="AC877" s="25"/>
      <c r="AD877" s="25"/>
    </row>
    <row r="878" spans="1:30" ht="15.75" customHeight="1">
      <c r="A878" s="25"/>
      <c r="B878" s="25"/>
      <c r="C878" s="25"/>
      <c r="D878" s="25"/>
      <c r="E878" s="25"/>
      <c r="F878" s="25"/>
      <c r="G878" s="25"/>
      <c r="H878" s="25"/>
      <c r="I878" s="40"/>
      <c r="J878" s="25"/>
      <c r="K878" s="25"/>
      <c r="L878" s="25"/>
      <c r="M878" s="25"/>
      <c r="N878" s="25"/>
      <c r="O878" s="25"/>
      <c r="P878" s="25"/>
      <c r="Q878" s="25"/>
      <c r="R878" s="25"/>
      <c r="S878" s="25"/>
      <c r="T878" s="25"/>
      <c r="U878" s="25"/>
      <c r="V878" s="25"/>
      <c r="W878" s="25"/>
      <c r="X878" s="25"/>
      <c r="Y878" s="25"/>
      <c r="Z878" s="25"/>
      <c r="AA878" s="25"/>
      <c r="AB878" s="25"/>
      <c r="AC878" s="25"/>
      <c r="AD878" s="25"/>
    </row>
    <row r="879" spans="1:30" ht="15.75" customHeight="1">
      <c r="A879" s="25"/>
      <c r="B879" s="25"/>
      <c r="C879" s="25"/>
      <c r="D879" s="25"/>
      <c r="E879" s="25"/>
      <c r="F879" s="25"/>
      <c r="G879" s="25"/>
      <c r="H879" s="25"/>
      <c r="I879" s="40"/>
      <c r="J879" s="25"/>
      <c r="K879" s="25"/>
      <c r="L879" s="25"/>
      <c r="M879" s="25"/>
      <c r="N879" s="25"/>
      <c r="O879" s="25"/>
      <c r="P879" s="25"/>
      <c r="Q879" s="25"/>
      <c r="R879" s="25"/>
      <c r="S879" s="25"/>
      <c r="T879" s="25"/>
      <c r="U879" s="25"/>
      <c r="V879" s="25"/>
      <c r="W879" s="25"/>
      <c r="X879" s="25"/>
      <c r="Y879" s="25"/>
      <c r="Z879" s="25"/>
      <c r="AA879" s="25"/>
      <c r="AB879" s="25"/>
      <c r="AC879" s="25"/>
      <c r="AD879" s="25"/>
    </row>
    <row r="880" spans="1:30" ht="15.75" customHeight="1">
      <c r="A880" s="25"/>
      <c r="B880" s="25"/>
      <c r="C880" s="25"/>
      <c r="D880" s="25"/>
      <c r="E880" s="25"/>
      <c r="F880" s="25"/>
      <c r="G880" s="25"/>
      <c r="H880" s="25"/>
      <c r="I880" s="40"/>
      <c r="J880" s="25"/>
      <c r="K880" s="25"/>
      <c r="L880" s="25"/>
      <c r="M880" s="25"/>
      <c r="N880" s="25"/>
      <c r="O880" s="25"/>
      <c r="P880" s="25"/>
      <c r="Q880" s="25"/>
      <c r="R880" s="25"/>
      <c r="S880" s="25"/>
      <c r="T880" s="25"/>
      <c r="U880" s="25"/>
      <c r="V880" s="25"/>
      <c r="W880" s="25"/>
      <c r="X880" s="25"/>
      <c r="Y880" s="25"/>
      <c r="Z880" s="25"/>
      <c r="AA880" s="25"/>
      <c r="AB880" s="25"/>
      <c r="AC880" s="25"/>
      <c r="AD880" s="25"/>
    </row>
    <row r="881" spans="1:30" ht="15.75" customHeight="1">
      <c r="A881" s="25"/>
      <c r="B881" s="25"/>
      <c r="C881" s="25"/>
      <c r="D881" s="25"/>
      <c r="E881" s="25"/>
      <c r="F881" s="25"/>
      <c r="G881" s="25"/>
      <c r="H881" s="25"/>
      <c r="I881" s="40"/>
      <c r="J881" s="25"/>
      <c r="K881" s="25"/>
      <c r="L881" s="25"/>
      <c r="M881" s="25"/>
      <c r="N881" s="25"/>
      <c r="O881" s="25"/>
      <c r="P881" s="25"/>
      <c r="Q881" s="25"/>
      <c r="R881" s="25"/>
      <c r="S881" s="25"/>
      <c r="T881" s="25"/>
      <c r="U881" s="25"/>
      <c r="V881" s="25"/>
      <c r="W881" s="25"/>
      <c r="X881" s="25"/>
      <c r="Y881" s="25"/>
      <c r="Z881" s="25"/>
      <c r="AA881" s="25"/>
      <c r="AB881" s="25"/>
      <c r="AC881" s="25"/>
      <c r="AD881" s="25"/>
    </row>
    <row r="882" spans="1:30" ht="15.75" customHeight="1">
      <c r="A882" s="25"/>
      <c r="B882" s="25"/>
      <c r="C882" s="25"/>
      <c r="D882" s="25"/>
      <c r="E882" s="25"/>
      <c r="F882" s="25"/>
      <c r="G882" s="25"/>
      <c r="H882" s="25"/>
      <c r="I882" s="40"/>
      <c r="J882" s="25"/>
      <c r="K882" s="25"/>
      <c r="L882" s="25"/>
      <c r="M882" s="25"/>
      <c r="N882" s="25"/>
      <c r="O882" s="25"/>
      <c r="P882" s="25"/>
      <c r="Q882" s="25"/>
      <c r="R882" s="25"/>
      <c r="S882" s="25"/>
      <c r="T882" s="25"/>
      <c r="U882" s="25"/>
      <c r="V882" s="25"/>
      <c r="W882" s="25"/>
      <c r="X882" s="25"/>
      <c r="Y882" s="25"/>
      <c r="Z882" s="25"/>
      <c r="AA882" s="25"/>
      <c r="AB882" s="25"/>
      <c r="AC882" s="25"/>
      <c r="AD882" s="25"/>
    </row>
    <row r="883" spans="1:30" ht="15.75" customHeight="1">
      <c r="A883" s="25"/>
      <c r="B883" s="25"/>
      <c r="C883" s="25"/>
      <c r="D883" s="25"/>
      <c r="E883" s="25"/>
      <c r="F883" s="25"/>
      <c r="G883" s="25"/>
      <c r="H883" s="25"/>
      <c r="I883" s="40"/>
      <c r="J883" s="25"/>
      <c r="K883" s="25"/>
      <c r="L883" s="25"/>
      <c r="M883" s="25"/>
      <c r="N883" s="25"/>
      <c r="O883" s="25"/>
      <c r="P883" s="25"/>
      <c r="Q883" s="25"/>
      <c r="R883" s="25"/>
      <c r="S883" s="25"/>
      <c r="T883" s="25"/>
      <c r="U883" s="25"/>
      <c r="V883" s="25"/>
      <c r="W883" s="25"/>
      <c r="X883" s="25"/>
      <c r="Y883" s="25"/>
      <c r="Z883" s="25"/>
      <c r="AA883" s="25"/>
      <c r="AB883" s="25"/>
      <c r="AC883" s="25"/>
      <c r="AD883" s="25"/>
    </row>
    <row r="884" spans="1:30" ht="15.75" customHeight="1">
      <c r="A884" s="25"/>
      <c r="B884" s="25"/>
      <c r="C884" s="25"/>
      <c r="D884" s="25"/>
      <c r="E884" s="25"/>
      <c r="F884" s="25"/>
      <c r="G884" s="25"/>
      <c r="H884" s="25"/>
      <c r="I884" s="40"/>
      <c r="J884" s="25"/>
      <c r="K884" s="25"/>
      <c r="L884" s="25"/>
      <c r="M884" s="25"/>
      <c r="N884" s="25"/>
      <c r="O884" s="25"/>
      <c r="P884" s="25"/>
      <c r="Q884" s="25"/>
      <c r="R884" s="25"/>
      <c r="S884" s="25"/>
      <c r="T884" s="25"/>
      <c r="U884" s="25"/>
      <c r="V884" s="25"/>
      <c r="W884" s="25"/>
      <c r="X884" s="25"/>
      <c r="Y884" s="25"/>
      <c r="Z884" s="25"/>
      <c r="AA884" s="25"/>
      <c r="AB884" s="25"/>
      <c r="AC884" s="25"/>
      <c r="AD884" s="25"/>
    </row>
    <row r="885" spans="1:30" ht="15.75" customHeight="1">
      <c r="A885" s="25"/>
      <c r="B885" s="25"/>
      <c r="C885" s="25"/>
      <c r="D885" s="25"/>
      <c r="E885" s="25"/>
      <c r="F885" s="25"/>
      <c r="G885" s="25"/>
      <c r="H885" s="25"/>
      <c r="I885" s="40"/>
      <c r="J885" s="25"/>
      <c r="K885" s="25"/>
      <c r="L885" s="25"/>
      <c r="M885" s="25"/>
      <c r="N885" s="25"/>
      <c r="O885" s="25"/>
      <c r="P885" s="25"/>
      <c r="Q885" s="25"/>
      <c r="R885" s="25"/>
      <c r="S885" s="25"/>
      <c r="T885" s="25"/>
      <c r="U885" s="25"/>
      <c r="V885" s="25"/>
      <c r="W885" s="25"/>
      <c r="X885" s="25"/>
      <c r="Y885" s="25"/>
      <c r="Z885" s="25"/>
      <c r="AA885" s="25"/>
      <c r="AB885" s="25"/>
      <c r="AC885" s="25"/>
      <c r="AD885" s="25"/>
    </row>
    <row r="886" spans="1:30" ht="15.75" customHeight="1">
      <c r="A886" s="25"/>
      <c r="B886" s="25"/>
      <c r="C886" s="25"/>
      <c r="D886" s="25"/>
      <c r="E886" s="25"/>
      <c r="F886" s="25"/>
      <c r="G886" s="25"/>
      <c r="H886" s="25"/>
      <c r="I886" s="40"/>
      <c r="J886" s="25"/>
      <c r="K886" s="25"/>
      <c r="L886" s="25"/>
      <c r="M886" s="25"/>
      <c r="N886" s="25"/>
      <c r="O886" s="25"/>
      <c r="P886" s="25"/>
      <c r="Q886" s="25"/>
      <c r="R886" s="25"/>
      <c r="S886" s="25"/>
      <c r="T886" s="25"/>
      <c r="U886" s="25"/>
      <c r="V886" s="25"/>
      <c r="W886" s="25"/>
      <c r="X886" s="25"/>
      <c r="Y886" s="25"/>
      <c r="Z886" s="25"/>
      <c r="AA886" s="25"/>
      <c r="AB886" s="25"/>
      <c r="AC886" s="25"/>
      <c r="AD886" s="25"/>
    </row>
    <row r="887" spans="1:30" ht="15.75" customHeight="1">
      <c r="A887" s="25"/>
      <c r="B887" s="25"/>
      <c r="C887" s="25"/>
      <c r="D887" s="25"/>
      <c r="E887" s="25"/>
      <c r="F887" s="25"/>
      <c r="G887" s="25"/>
      <c r="H887" s="25"/>
      <c r="I887" s="40"/>
      <c r="J887" s="25"/>
      <c r="K887" s="25"/>
      <c r="L887" s="25"/>
      <c r="M887" s="25"/>
      <c r="N887" s="25"/>
      <c r="O887" s="25"/>
      <c r="P887" s="25"/>
      <c r="Q887" s="25"/>
      <c r="R887" s="25"/>
      <c r="S887" s="25"/>
      <c r="T887" s="25"/>
      <c r="U887" s="25"/>
      <c r="V887" s="25"/>
      <c r="W887" s="25"/>
      <c r="X887" s="25"/>
      <c r="Y887" s="25"/>
      <c r="Z887" s="25"/>
      <c r="AA887" s="25"/>
      <c r="AB887" s="25"/>
      <c r="AC887" s="25"/>
      <c r="AD887" s="25"/>
    </row>
    <row r="888" spans="1:30" ht="15.75" customHeight="1">
      <c r="A888" s="25"/>
      <c r="B888" s="25"/>
      <c r="C888" s="25"/>
      <c r="D888" s="25"/>
      <c r="E888" s="25"/>
      <c r="F888" s="25"/>
      <c r="G888" s="25"/>
      <c r="H888" s="25"/>
      <c r="I888" s="40"/>
      <c r="J888" s="25"/>
      <c r="K888" s="25"/>
      <c r="L888" s="25"/>
      <c r="M888" s="25"/>
      <c r="N888" s="25"/>
      <c r="O888" s="25"/>
      <c r="P888" s="25"/>
      <c r="Q888" s="25"/>
      <c r="R888" s="25"/>
      <c r="S888" s="25"/>
      <c r="T888" s="25"/>
      <c r="U888" s="25"/>
      <c r="V888" s="25"/>
      <c r="W888" s="25"/>
      <c r="X888" s="25"/>
      <c r="Y888" s="25"/>
      <c r="Z888" s="25"/>
      <c r="AA888" s="25"/>
      <c r="AB888" s="25"/>
      <c r="AC888" s="25"/>
      <c r="AD888" s="25"/>
    </row>
    <row r="889" spans="1:30" ht="15.75" customHeight="1">
      <c r="A889" s="25"/>
      <c r="B889" s="25"/>
      <c r="C889" s="25"/>
      <c r="D889" s="25"/>
      <c r="E889" s="25"/>
      <c r="F889" s="25"/>
      <c r="G889" s="25"/>
      <c r="H889" s="25"/>
      <c r="I889" s="40"/>
      <c r="J889" s="25"/>
      <c r="K889" s="25"/>
      <c r="L889" s="25"/>
      <c r="M889" s="25"/>
      <c r="N889" s="25"/>
      <c r="O889" s="25"/>
      <c r="P889" s="25"/>
      <c r="Q889" s="25"/>
      <c r="R889" s="25"/>
      <c r="S889" s="25"/>
      <c r="T889" s="25"/>
      <c r="U889" s="25"/>
      <c r="V889" s="25"/>
      <c r="W889" s="25"/>
      <c r="X889" s="25"/>
      <c r="Y889" s="25"/>
      <c r="Z889" s="25"/>
      <c r="AA889" s="25"/>
      <c r="AB889" s="25"/>
      <c r="AC889" s="25"/>
      <c r="AD889" s="25"/>
    </row>
    <row r="890" spans="1:30" ht="15.75" customHeight="1">
      <c r="A890" s="25"/>
      <c r="B890" s="25"/>
      <c r="C890" s="25"/>
      <c r="D890" s="25"/>
      <c r="E890" s="25"/>
      <c r="F890" s="25"/>
      <c r="G890" s="25"/>
      <c r="H890" s="25"/>
      <c r="I890" s="40"/>
      <c r="J890" s="25"/>
      <c r="K890" s="25"/>
      <c r="L890" s="25"/>
      <c r="M890" s="25"/>
      <c r="N890" s="25"/>
      <c r="O890" s="25"/>
      <c r="P890" s="25"/>
      <c r="Q890" s="25"/>
      <c r="R890" s="25"/>
      <c r="S890" s="25"/>
      <c r="T890" s="25"/>
      <c r="U890" s="25"/>
      <c r="V890" s="25"/>
      <c r="W890" s="25"/>
      <c r="X890" s="25"/>
      <c r="Y890" s="25"/>
      <c r="Z890" s="25"/>
      <c r="AA890" s="25"/>
      <c r="AB890" s="25"/>
      <c r="AC890" s="25"/>
      <c r="AD890" s="25"/>
    </row>
    <row r="891" spans="1:30" ht="15.75" customHeight="1">
      <c r="A891" s="25"/>
      <c r="B891" s="25"/>
      <c r="C891" s="25"/>
      <c r="D891" s="25"/>
      <c r="E891" s="25"/>
      <c r="F891" s="25"/>
      <c r="G891" s="25"/>
      <c r="H891" s="25"/>
      <c r="I891" s="40"/>
      <c r="J891" s="25"/>
      <c r="K891" s="25"/>
      <c r="L891" s="25"/>
      <c r="M891" s="25"/>
      <c r="N891" s="25"/>
      <c r="O891" s="25"/>
      <c r="P891" s="25"/>
      <c r="Q891" s="25"/>
      <c r="R891" s="25"/>
      <c r="S891" s="25"/>
      <c r="T891" s="25"/>
      <c r="U891" s="25"/>
      <c r="V891" s="25"/>
      <c r="W891" s="25"/>
      <c r="X891" s="25"/>
      <c r="Y891" s="25"/>
      <c r="Z891" s="25"/>
      <c r="AA891" s="25"/>
      <c r="AB891" s="25"/>
      <c r="AC891" s="25"/>
      <c r="AD891" s="25"/>
    </row>
    <row r="892" spans="1:30" ht="15.75" customHeight="1">
      <c r="A892" s="25"/>
      <c r="B892" s="25"/>
      <c r="C892" s="25"/>
      <c r="D892" s="25"/>
      <c r="E892" s="25"/>
      <c r="F892" s="25"/>
      <c r="G892" s="25"/>
      <c r="H892" s="25"/>
      <c r="I892" s="40"/>
      <c r="J892" s="25"/>
      <c r="K892" s="25"/>
      <c r="L892" s="25"/>
      <c r="M892" s="25"/>
      <c r="N892" s="25"/>
      <c r="O892" s="25"/>
      <c r="P892" s="25"/>
      <c r="Q892" s="25"/>
      <c r="R892" s="25"/>
      <c r="S892" s="25"/>
      <c r="T892" s="25"/>
      <c r="U892" s="25"/>
      <c r="V892" s="25"/>
      <c r="W892" s="25"/>
      <c r="X892" s="25"/>
      <c r="Y892" s="25"/>
      <c r="Z892" s="25"/>
      <c r="AA892" s="25"/>
      <c r="AB892" s="25"/>
      <c r="AC892" s="25"/>
      <c r="AD892" s="25"/>
    </row>
    <row r="893" spans="1:30" ht="15.75" customHeight="1">
      <c r="A893" s="25"/>
      <c r="B893" s="25"/>
      <c r="C893" s="25"/>
      <c r="D893" s="25"/>
      <c r="E893" s="25"/>
      <c r="F893" s="25"/>
      <c r="G893" s="25"/>
      <c r="H893" s="25"/>
      <c r="I893" s="40"/>
      <c r="J893" s="25"/>
      <c r="K893" s="25"/>
      <c r="L893" s="25"/>
      <c r="M893" s="25"/>
      <c r="N893" s="25"/>
      <c r="O893" s="25"/>
      <c r="P893" s="25"/>
      <c r="Q893" s="25"/>
      <c r="R893" s="25"/>
      <c r="S893" s="25"/>
      <c r="T893" s="25"/>
      <c r="U893" s="25"/>
      <c r="V893" s="25"/>
      <c r="W893" s="25"/>
      <c r="X893" s="25"/>
      <c r="Y893" s="25"/>
      <c r="Z893" s="25"/>
      <c r="AA893" s="25"/>
      <c r="AB893" s="25"/>
      <c r="AC893" s="25"/>
      <c r="AD893" s="25"/>
    </row>
    <row r="894" spans="1:30" ht="15.75" customHeight="1">
      <c r="A894" s="25"/>
      <c r="B894" s="25"/>
      <c r="C894" s="25"/>
      <c r="D894" s="25"/>
      <c r="E894" s="25"/>
      <c r="F894" s="25"/>
      <c r="G894" s="25"/>
      <c r="H894" s="25"/>
      <c r="I894" s="40"/>
      <c r="J894" s="25"/>
      <c r="K894" s="25"/>
      <c r="L894" s="25"/>
      <c r="M894" s="25"/>
      <c r="N894" s="25"/>
      <c r="O894" s="25"/>
      <c r="P894" s="25"/>
      <c r="Q894" s="25"/>
      <c r="R894" s="25"/>
      <c r="S894" s="25"/>
      <c r="T894" s="25"/>
      <c r="U894" s="25"/>
      <c r="V894" s="25"/>
      <c r="W894" s="25"/>
      <c r="X894" s="25"/>
      <c r="Y894" s="25"/>
      <c r="Z894" s="25"/>
      <c r="AA894" s="25"/>
      <c r="AB894" s="25"/>
      <c r="AC894" s="25"/>
      <c r="AD894" s="25"/>
    </row>
    <row r="895" spans="1:30" ht="15.75" customHeight="1">
      <c r="A895" s="25"/>
      <c r="B895" s="25"/>
      <c r="C895" s="25"/>
      <c r="D895" s="25"/>
      <c r="E895" s="25"/>
      <c r="F895" s="25"/>
      <c r="G895" s="25"/>
      <c r="H895" s="25"/>
      <c r="I895" s="40"/>
      <c r="J895" s="25"/>
      <c r="K895" s="25"/>
      <c r="L895" s="25"/>
      <c r="M895" s="25"/>
      <c r="N895" s="25"/>
      <c r="O895" s="25"/>
      <c r="P895" s="25"/>
      <c r="Q895" s="25"/>
      <c r="R895" s="25"/>
      <c r="S895" s="25"/>
      <c r="T895" s="25"/>
      <c r="U895" s="25"/>
      <c r="V895" s="25"/>
      <c r="W895" s="25"/>
      <c r="X895" s="25"/>
      <c r="Y895" s="25"/>
      <c r="Z895" s="25"/>
      <c r="AA895" s="25"/>
      <c r="AB895" s="25"/>
      <c r="AC895" s="25"/>
      <c r="AD895" s="25"/>
    </row>
    <row r="896" spans="1:30" ht="15.75" customHeight="1">
      <c r="A896" s="25"/>
      <c r="B896" s="25"/>
      <c r="C896" s="25"/>
      <c r="D896" s="25"/>
      <c r="E896" s="25"/>
      <c r="F896" s="25"/>
      <c r="G896" s="25"/>
      <c r="H896" s="25"/>
      <c r="I896" s="40"/>
      <c r="J896" s="25"/>
      <c r="K896" s="25"/>
      <c r="L896" s="25"/>
      <c r="M896" s="25"/>
      <c r="N896" s="25"/>
      <c r="O896" s="25"/>
      <c r="P896" s="25"/>
      <c r="Q896" s="25"/>
      <c r="R896" s="25"/>
      <c r="S896" s="25"/>
      <c r="T896" s="25"/>
      <c r="U896" s="25"/>
      <c r="V896" s="25"/>
      <c r="W896" s="25"/>
      <c r="X896" s="25"/>
      <c r="Y896" s="25"/>
      <c r="Z896" s="25"/>
      <c r="AA896" s="25"/>
      <c r="AB896" s="25"/>
      <c r="AC896" s="25"/>
      <c r="AD896" s="25"/>
    </row>
    <row r="897" spans="1:30" ht="15.75" customHeight="1">
      <c r="A897" s="25"/>
      <c r="B897" s="25"/>
      <c r="C897" s="25"/>
      <c r="D897" s="25"/>
      <c r="E897" s="25"/>
      <c r="F897" s="25"/>
      <c r="G897" s="25"/>
      <c r="H897" s="25"/>
      <c r="I897" s="40"/>
      <c r="J897" s="25"/>
      <c r="K897" s="25"/>
      <c r="L897" s="25"/>
      <c r="M897" s="25"/>
      <c r="N897" s="25"/>
      <c r="O897" s="25"/>
      <c r="P897" s="25"/>
      <c r="Q897" s="25"/>
      <c r="R897" s="25"/>
      <c r="S897" s="25"/>
      <c r="T897" s="25"/>
      <c r="U897" s="25"/>
      <c r="V897" s="25"/>
      <c r="W897" s="25"/>
      <c r="X897" s="25"/>
      <c r="Y897" s="25"/>
      <c r="Z897" s="25"/>
      <c r="AA897" s="25"/>
      <c r="AB897" s="25"/>
      <c r="AC897" s="25"/>
      <c r="AD897" s="25"/>
    </row>
    <row r="898" spans="1:30" ht="15.75" customHeight="1">
      <c r="A898" s="25"/>
      <c r="B898" s="25"/>
      <c r="C898" s="25"/>
      <c r="D898" s="25"/>
      <c r="E898" s="25"/>
      <c r="F898" s="25"/>
      <c r="G898" s="25"/>
      <c r="H898" s="25"/>
      <c r="I898" s="40"/>
      <c r="J898" s="25"/>
      <c r="K898" s="25"/>
      <c r="L898" s="25"/>
      <c r="M898" s="25"/>
      <c r="N898" s="25"/>
      <c r="O898" s="25"/>
      <c r="P898" s="25"/>
      <c r="Q898" s="25"/>
      <c r="R898" s="25"/>
      <c r="S898" s="25"/>
      <c r="T898" s="25"/>
      <c r="U898" s="25"/>
      <c r="V898" s="25"/>
      <c r="W898" s="25"/>
      <c r="X898" s="25"/>
      <c r="Y898" s="25"/>
      <c r="Z898" s="25"/>
      <c r="AA898" s="25"/>
      <c r="AB898" s="25"/>
      <c r="AC898" s="25"/>
      <c r="AD898" s="25"/>
    </row>
    <row r="899" spans="1:30" ht="15.75" customHeight="1">
      <c r="A899" s="25"/>
      <c r="B899" s="25"/>
      <c r="C899" s="25"/>
      <c r="D899" s="25"/>
      <c r="E899" s="25"/>
      <c r="F899" s="25"/>
      <c r="G899" s="25"/>
      <c r="H899" s="25"/>
      <c r="I899" s="40"/>
      <c r="J899" s="25"/>
      <c r="K899" s="25"/>
      <c r="L899" s="25"/>
      <c r="M899" s="25"/>
      <c r="N899" s="25"/>
      <c r="O899" s="25"/>
      <c r="P899" s="25"/>
      <c r="Q899" s="25"/>
      <c r="R899" s="25"/>
      <c r="S899" s="25"/>
      <c r="T899" s="25"/>
      <c r="U899" s="25"/>
      <c r="V899" s="25"/>
      <c r="W899" s="25"/>
      <c r="X899" s="25"/>
      <c r="Y899" s="25"/>
      <c r="Z899" s="25"/>
      <c r="AA899" s="25"/>
      <c r="AB899" s="25"/>
      <c r="AC899" s="25"/>
      <c r="AD899" s="25"/>
    </row>
    <row r="900" spans="1:30" ht="15.75" customHeight="1">
      <c r="A900" s="25"/>
      <c r="B900" s="25"/>
      <c r="C900" s="25"/>
      <c r="D900" s="25"/>
      <c r="E900" s="25"/>
      <c r="F900" s="25"/>
      <c r="G900" s="25"/>
      <c r="H900" s="25"/>
      <c r="I900" s="40"/>
      <c r="J900" s="25"/>
      <c r="K900" s="25"/>
      <c r="L900" s="25"/>
      <c r="M900" s="25"/>
      <c r="N900" s="25"/>
      <c r="O900" s="25"/>
      <c r="P900" s="25"/>
      <c r="Q900" s="25"/>
      <c r="R900" s="25"/>
      <c r="S900" s="25"/>
      <c r="T900" s="25"/>
      <c r="U900" s="25"/>
      <c r="V900" s="25"/>
      <c r="W900" s="25"/>
      <c r="X900" s="25"/>
      <c r="Y900" s="25"/>
      <c r="Z900" s="25"/>
      <c r="AA900" s="25"/>
      <c r="AB900" s="25"/>
      <c r="AC900" s="25"/>
      <c r="AD900" s="25"/>
    </row>
    <row r="901" spans="1:30" ht="15.75" customHeight="1">
      <c r="A901" s="25"/>
      <c r="B901" s="25"/>
      <c r="C901" s="25"/>
      <c r="D901" s="25"/>
      <c r="E901" s="25"/>
      <c r="F901" s="25"/>
      <c r="G901" s="25"/>
      <c r="H901" s="25"/>
      <c r="I901" s="40"/>
      <c r="J901" s="25"/>
      <c r="K901" s="25"/>
      <c r="L901" s="25"/>
      <c r="M901" s="25"/>
      <c r="N901" s="25"/>
      <c r="O901" s="25"/>
      <c r="P901" s="25"/>
      <c r="Q901" s="25"/>
      <c r="R901" s="25"/>
      <c r="S901" s="25"/>
      <c r="T901" s="25"/>
      <c r="U901" s="25"/>
      <c r="V901" s="25"/>
      <c r="W901" s="25"/>
      <c r="X901" s="25"/>
      <c r="Y901" s="25"/>
      <c r="Z901" s="25"/>
      <c r="AA901" s="25"/>
      <c r="AB901" s="25"/>
      <c r="AC901" s="25"/>
      <c r="AD901" s="25"/>
    </row>
    <row r="902" spans="1:30" ht="15.75" customHeight="1">
      <c r="A902" s="25"/>
      <c r="B902" s="25"/>
      <c r="C902" s="25"/>
      <c r="D902" s="25"/>
      <c r="E902" s="25"/>
      <c r="F902" s="25"/>
      <c r="G902" s="25"/>
      <c r="H902" s="25"/>
      <c r="I902" s="40"/>
      <c r="J902" s="25"/>
      <c r="K902" s="25"/>
      <c r="L902" s="25"/>
      <c r="M902" s="25"/>
      <c r="N902" s="25"/>
      <c r="O902" s="25"/>
      <c r="P902" s="25"/>
      <c r="Q902" s="25"/>
      <c r="R902" s="25"/>
      <c r="S902" s="25"/>
      <c r="T902" s="25"/>
      <c r="U902" s="25"/>
      <c r="V902" s="25"/>
      <c r="W902" s="25"/>
      <c r="X902" s="25"/>
      <c r="Y902" s="25"/>
      <c r="Z902" s="25"/>
      <c r="AA902" s="25"/>
      <c r="AB902" s="25"/>
      <c r="AC902" s="25"/>
      <c r="AD902" s="25"/>
    </row>
    <row r="903" spans="1:30" ht="15.75" customHeight="1">
      <c r="A903" s="25"/>
      <c r="B903" s="25"/>
      <c r="C903" s="25"/>
      <c r="D903" s="25"/>
      <c r="E903" s="25"/>
      <c r="F903" s="25"/>
      <c r="G903" s="25"/>
      <c r="H903" s="25"/>
      <c r="I903" s="40"/>
      <c r="J903" s="25"/>
      <c r="K903" s="25"/>
      <c r="L903" s="25"/>
      <c r="M903" s="25"/>
      <c r="N903" s="25"/>
      <c r="O903" s="25"/>
      <c r="P903" s="25"/>
      <c r="Q903" s="25"/>
      <c r="R903" s="25"/>
      <c r="S903" s="25"/>
      <c r="T903" s="25"/>
      <c r="U903" s="25"/>
      <c r="V903" s="25"/>
      <c r="W903" s="25"/>
      <c r="X903" s="25"/>
      <c r="Y903" s="25"/>
      <c r="Z903" s="25"/>
      <c r="AA903" s="25"/>
      <c r="AB903" s="25"/>
      <c r="AC903" s="25"/>
      <c r="AD903" s="25"/>
    </row>
    <row r="904" spans="1:30" ht="15.75" customHeight="1">
      <c r="A904" s="25"/>
      <c r="B904" s="25"/>
      <c r="C904" s="25"/>
      <c r="D904" s="25"/>
      <c r="E904" s="25"/>
      <c r="F904" s="25"/>
      <c r="G904" s="25"/>
      <c r="H904" s="25"/>
      <c r="I904" s="40"/>
      <c r="J904" s="25"/>
      <c r="K904" s="25"/>
      <c r="L904" s="25"/>
      <c r="M904" s="25"/>
      <c r="N904" s="25"/>
      <c r="O904" s="25"/>
      <c r="P904" s="25"/>
      <c r="Q904" s="25"/>
      <c r="R904" s="25"/>
      <c r="S904" s="25"/>
      <c r="T904" s="25"/>
      <c r="U904" s="25"/>
      <c r="V904" s="25"/>
      <c r="W904" s="25"/>
      <c r="X904" s="25"/>
      <c r="Y904" s="25"/>
      <c r="Z904" s="25"/>
      <c r="AA904" s="25"/>
      <c r="AB904" s="25"/>
      <c r="AC904" s="25"/>
      <c r="AD904" s="25"/>
    </row>
    <row r="905" spans="1:30" ht="15.75" customHeight="1">
      <c r="A905" s="25"/>
      <c r="B905" s="25"/>
      <c r="C905" s="25"/>
      <c r="D905" s="25"/>
      <c r="E905" s="25"/>
      <c r="F905" s="25"/>
      <c r="G905" s="25"/>
      <c r="H905" s="25"/>
      <c r="I905" s="40"/>
      <c r="J905" s="25"/>
      <c r="K905" s="25"/>
      <c r="L905" s="25"/>
      <c r="M905" s="25"/>
      <c r="N905" s="25"/>
      <c r="O905" s="25"/>
      <c r="P905" s="25"/>
      <c r="Q905" s="25"/>
      <c r="R905" s="25"/>
      <c r="S905" s="25"/>
      <c r="T905" s="25"/>
      <c r="U905" s="25"/>
      <c r="V905" s="25"/>
      <c r="W905" s="25"/>
      <c r="X905" s="25"/>
      <c r="Y905" s="25"/>
      <c r="Z905" s="25"/>
      <c r="AA905" s="25"/>
      <c r="AB905" s="25"/>
      <c r="AC905" s="25"/>
      <c r="AD905" s="25"/>
    </row>
    <row r="906" spans="1:30" ht="15.75" customHeight="1">
      <c r="A906" s="25"/>
      <c r="B906" s="25"/>
      <c r="C906" s="25"/>
      <c r="D906" s="25"/>
      <c r="E906" s="25"/>
      <c r="F906" s="25"/>
      <c r="G906" s="25"/>
      <c r="H906" s="25"/>
      <c r="I906" s="40"/>
      <c r="J906" s="25"/>
      <c r="K906" s="25"/>
      <c r="L906" s="25"/>
      <c r="M906" s="25"/>
      <c r="N906" s="25"/>
      <c r="O906" s="25"/>
      <c r="P906" s="25"/>
      <c r="Q906" s="25"/>
      <c r="R906" s="25"/>
      <c r="S906" s="25"/>
      <c r="T906" s="25"/>
      <c r="U906" s="25"/>
      <c r="V906" s="25"/>
      <c r="W906" s="25"/>
      <c r="X906" s="25"/>
      <c r="Y906" s="25"/>
      <c r="Z906" s="25"/>
      <c r="AA906" s="25"/>
      <c r="AB906" s="25"/>
      <c r="AC906" s="25"/>
      <c r="AD906" s="25"/>
    </row>
    <row r="907" spans="1:30" ht="15.75" customHeight="1">
      <c r="A907" s="25"/>
      <c r="B907" s="25"/>
      <c r="C907" s="25"/>
      <c r="D907" s="25"/>
      <c r="E907" s="25"/>
      <c r="F907" s="25"/>
      <c r="G907" s="25"/>
      <c r="H907" s="25"/>
      <c r="I907" s="40"/>
      <c r="J907" s="25"/>
      <c r="K907" s="25"/>
      <c r="L907" s="25"/>
      <c r="M907" s="25"/>
      <c r="N907" s="25"/>
      <c r="O907" s="25"/>
      <c r="P907" s="25"/>
      <c r="Q907" s="25"/>
      <c r="R907" s="25"/>
      <c r="S907" s="25"/>
      <c r="T907" s="25"/>
      <c r="U907" s="25"/>
      <c r="V907" s="25"/>
      <c r="W907" s="25"/>
      <c r="X907" s="25"/>
      <c r="Y907" s="25"/>
      <c r="Z907" s="25"/>
      <c r="AA907" s="25"/>
      <c r="AB907" s="25"/>
      <c r="AC907" s="25"/>
      <c r="AD907" s="25"/>
    </row>
    <row r="908" spans="1:30" ht="15.75" customHeight="1">
      <c r="A908" s="25"/>
      <c r="B908" s="25"/>
      <c r="C908" s="25"/>
      <c r="D908" s="25"/>
      <c r="E908" s="25"/>
      <c r="F908" s="25"/>
      <c r="G908" s="25"/>
      <c r="H908" s="25"/>
      <c r="I908" s="40"/>
      <c r="J908" s="25"/>
      <c r="K908" s="25"/>
      <c r="L908" s="25"/>
      <c r="M908" s="25"/>
      <c r="N908" s="25"/>
      <c r="O908" s="25"/>
      <c r="P908" s="25"/>
      <c r="Q908" s="25"/>
      <c r="R908" s="25"/>
      <c r="S908" s="25"/>
      <c r="T908" s="25"/>
      <c r="U908" s="25"/>
      <c r="V908" s="25"/>
      <c r="W908" s="25"/>
      <c r="X908" s="25"/>
      <c r="Y908" s="25"/>
      <c r="Z908" s="25"/>
      <c r="AA908" s="25"/>
      <c r="AB908" s="25"/>
      <c r="AC908" s="25"/>
      <c r="AD908" s="25"/>
    </row>
    <row r="909" spans="1:30" ht="15.75" customHeight="1">
      <c r="A909" s="25"/>
      <c r="B909" s="25"/>
      <c r="C909" s="25"/>
      <c r="D909" s="25"/>
      <c r="E909" s="25"/>
      <c r="F909" s="25"/>
      <c r="G909" s="25"/>
      <c r="H909" s="25"/>
      <c r="I909" s="40"/>
      <c r="J909" s="25"/>
      <c r="K909" s="25"/>
      <c r="L909" s="25"/>
      <c r="M909" s="25"/>
      <c r="N909" s="25"/>
      <c r="O909" s="25"/>
      <c r="P909" s="25"/>
      <c r="Q909" s="25"/>
      <c r="R909" s="25"/>
      <c r="S909" s="25"/>
      <c r="T909" s="25"/>
      <c r="U909" s="25"/>
      <c r="V909" s="25"/>
      <c r="W909" s="25"/>
      <c r="X909" s="25"/>
      <c r="Y909" s="25"/>
      <c r="Z909" s="25"/>
      <c r="AA909" s="25"/>
      <c r="AB909" s="25"/>
      <c r="AC909" s="25"/>
      <c r="AD909" s="25"/>
    </row>
    <row r="910" spans="1:30" ht="15.75" customHeight="1">
      <c r="A910" s="25"/>
      <c r="B910" s="25"/>
      <c r="C910" s="25"/>
      <c r="D910" s="25"/>
      <c r="E910" s="25"/>
      <c r="F910" s="25"/>
      <c r="G910" s="25"/>
      <c r="H910" s="25"/>
      <c r="I910" s="40"/>
      <c r="J910" s="25"/>
      <c r="K910" s="25"/>
      <c r="L910" s="25"/>
      <c r="M910" s="25"/>
      <c r="N910" s="25"/>
      <c r="O910" s="25"/>
      <c r="P910" s="25"/>
      <c r="Q910" s="25"/>
      <c r="R910" s="25"/>
      <c r="S910" s="25"/>
      <c r="T910" s="25"/>
      <c r="U910" s="25"/>
      <c r="V910" s="25"/>
      <c r="W910" s="25"/>
      <c r="X910" s="25"/>
      <c r="Y910" s="25"/>
      <c r="Z910" s="25"/>
      <c r="AA910" s="25"/>
      <c r="AB910" s="25"/>
      <c r="AC910" s="25"/>
      <c r="AD910" s="25"/>
    </row>
    <row r="911" spans="1:30" ht="15.75" customHeight="1">
      <c r="A911" s="25"/>
      <c r="B911" s="25"/>
      <c r="C911" s="25"/>
      <c r="D911" s="25"/>
      <c r="E911" s="25"/>
      <c r="F911" s="25"/>
      <c r="G911" s="25"/>
      <c r="H911" s="25"/>
      <c r="I911" s="40"/>
      <c r="J911" s="25"/>
      <c r="K911" s="25"/>
      <c r="L911" s="25"/>
      <c r="M911" s="25"/>
      <c r="N911" s="25"/>
      <c r="O911" s="25"/>
      <c r="P911" s="25"/>
      <c r="Q911" s="25"/>
      <c r="R911" s="25"/>
      <c r="S911" s="25"/>
      <c r="T911" s="25"/>
      <c r="U911" s="25"/>
      <c r="V911" s="25"/>
      <c r="W911" s="25"/>
      <c r="X911" s="25"/>
      <c r="Y911" s="25"/>
      <c r="Z911" s="25"/>
      <c r="AA911" s="25"/>
      <c r="AB911" s="25"/>
      <c r="AC911" s="25"/>
      <c r="AD911" s="25"/>
    </row>
    <row r="912" spans="1:30" ht="15.75" customHeight="1">
      <c r="A912" s="25"/>
      <c r="B912" s="25"/>
      <c r="C912" s="25"/>
      <c r="D912" s="25"/>
      <c r="E912" s="25"/>
      <c r="F912" s="25"/>
      <c r="G912" s="25"/>
      <c r="H912" s="25"/>
      <c r="I912" s="40"/>
      <c r="J912" s="25"/>
      <c r="K912" s="25"/>
      <c r="L912" s="25"/>
      <c r="M912" s="25"/>
      <c r="N912" s="25"/>
      <c r="O912" s="25"/>
      <c r="P912" s="25"/>
      <c r="Q912" s="25"/>
      <c r="R912" s="25"/>
      <c r="S912" s="25"/>
      <c r="T912" s="25"/>
      <c r="U912" s="25"/>
      <c r="V912" s="25"/>
      <c r="W912" s="25"/>
      <c r="X912" s="25"/>
      <c r="Y912" s="25"/>
      <c r="Z912" s="25"/>
      <c r="AA912" s="25"/>
      <c r="AB912" s="25"/>
      <c r="AC912" s="25"/>
      <c r="AD912" s="25"/>
    </row>
    <row r="913" spans="1:30" ht="15.75" customHeight="1">
      <c r="A913" s="25"/>
      <c r="B913" s="25"/>
      <c r="C913" s="25"/>
      <c r="D913" s="25"/>
      <c r="E913" s="25"/>
      <c r="F913" s="25"/>
      <c r="G913" s="25"/>
      <c r="H913" s="25"/>
      <c r="I913" s="40"/>
      <c r="J913" s="25"/>
      <c r="K913" s="25"/>
      <c r="L913" s="25"/>
      <c r="M913" s="25"/>
      <c r="N913" s="25"/>
      <c r="O913" s="25"/>
      <c r="P913" s="25"/>
      <c r="Q913" s="25"/>
      <c r="R913" s="25"/>
      <c r="S913" s="25"/>
      <c r="T913" s="25"/>
      <c r="U913" s="25"/>
      <c r="V913" s="25"/>
      <c r="W913" s="25"/>
      <c r="X913" s="25"/>
      <c r="Y913" s="25"/>
      <c r="Z913" s="25"/>
      <c r="AA913" s="25"/>
      <c r="AB913" s="25"/>
      <c r="AC913" s="25"/>
      <c r="AD913" s="25"/>
    </row>
    <row r="914" spans="1:30" ht="15.75" customHeight="1">
      <c r="A914" s="25"/>
      <c r="B914" s="25"/>
      <c r="C914" s="25"/>
      <c r="D914" s="25"/>
      <c r="E914" s="25"/>
      <c r="F914" s="25"/>
      <c r="G914" s="25"/>
      <c r="H914" s="25"/>
      <c r="I914" s="40"/>
      <c r="J914" s="25"/>
      <c r="K914" s="25"/>
      <c r="L914" s="25"/>
      <c r="M914" s="25"/>
      <c r="N914" s="25"/>
      <c r="O914" s="25"/>
      <c r="P914" s="25"/>
      <c r="Q914" s="25"/>
      <c r="R914" s="25"/>
      <c r="S914" s="25"/>
      <c r="T914" s="25"/>
      <c r="U914" s="25"/>
      <c r="V914" s="25"/>
      <c r="W914" s="25"/>
      <c r="X914" s="25"/>
      <c r="Y914" s="25"/>
      <c r="Z914" s="25"/>
      <c r="AA914" s="25"/>
      <c r="AB914" s="25"/>
      <c r="AC914" s="25"/>
      <c r="AD914" s="25"/>
    </row>
    <row r="915" spans="1:30" ht="15.75" customHeight="1">
      <c r="A915" s="25"/>
      <c r="B915" s="25"/>
      <c r="C915" s="25"/>
      <c r="D915" s="25"/>
      <c r="E915" s="25"/>
      <c r="F915" s="25"/>
      <c r="G915" s="25"/>
      <c r="H915" s="25"/>
      <c r="I915" s="40"/>
      <c r="J915" s="25"/>
      <c r="K915" s="25"/>
      <c r="L915" s="25"/>
      <c r="M915" s="25"/>
      <c r="N915" s="25"/>
      <c r="O915" s="25"/>
      <c r="P915" s="25"/>
      <c r="Q915" s="25"/>
      <c r="R915" s="25"/>
      <c r="S915" s="25"/>
      <c r="T915" s="25"/>
      <c r="U915" s="25"/>
      <c r="V915" s="25"/>
      <c r="W915" s="25"/>
      <c r="X915" s="25"/>
      <c r="Y915" s="25"/>
      <c r="Z915" s="25"/>
      <c r="AA915" s="25"/>
      <c r="AB915" s="25"/>
      <c r="AC915" s="25"/>
      <c r="AD915" s="25"/>
    </row>
    <row r="916" spans="1:30" ht="15.75" customHeight="1">
      <c r="A916" s="25"/>
      <c r="B916" s="25"/>
      <c r="C916" s="25"/>
      <c r="D916" s="25"/>
      <c r="E916" s="25"/>
      <c r="F916" s="25"/>
      <c r="G916" s="25"/>
      <c r="H916" s="25"/>
      <c r="I916" s="40"/>
      <c r="J916" s="25"/>
      <c r="K916" s="25"/>
      <c r="L916" s="25"/>
      <c r="M916" s="25"/>
      <c r="N916" s="25"/>
      <c r="O916" s="25"/>
      <c r="P916" s="25"/>
      <c r="Q916" s="25"/>
      <c r="R916" s="25"/>
      <c r="S916" s="25"/>
      <c r="T916" s="25"/>
      <c r="U916" s="25"/>
      <c r="V916" s="25"/>
      <c r="W916" s="25"/>
      <c r="X916" s="25"/>
      <c r="Y916" s="25"/>
      <c r="Z916" s="25"/>
      <c r="AA916" s="25"/>
      <c r="AB916" s="25"/>
      <c r="AC916" s="25"/>
      <c r="AD916" s="25"/>
    </row>
    <row r="917" spans="1:30" ht="15.75" customHeight="1">
      <c r="A917" s="25"/>
      <c r="B917" s="25"/>
      <c r="C917" s="25"/>
      <c r="D917" s="25"/>
      <c r="E917" s="25"/>
      <c r="F917" s="25"/>
      <c r="G917" s="25"/>
      <c r="H917" s="25"/>
      <c r="I917" s="40"/>
      <c r="J917" s="25"/>
      <c r="K917" s="25"/>
      <c r="L917" s="25"/>
      <c r="M917" s="25"/>
      <c r="N917" s="25"/>
      <c r="O917" s="25"/>
      <c r="P917" s="25"/>
      <c r="Q917" s="25"/>
      <c r="R917" s="25"/>
      <c r="S917" s="25"/>
      <c r="T917" s="25"/>
      <c r="U917" s="25"/>
      <c r="V917" s="25"/>
      <c r="W917" s="25"/>
      <c r="X917" s="25"/>
      <c r="Y917" s="25"/>
      <c r="Z917" s="25"/>
      <c r="AA917" s="25"/>
      <c r="AB917" s="25"/>
      <c r="AC917" s="25"/>
      <c r="AD917" s="25"/>
    </row>
    <row r="918" spans="1:30" ht="15.75" customHeight="1">
      <c r="A918" s="25"/>
      <c r="B918" s="25"/>
      <c r="C918" s="25"/>
      <c r="D918" s="25"/>
      <c r="E918" s="25"/>
      <c r="F918" s="25"/>
      <c r="G918" s="25"/>
      <c r="H918" s="25"/>
      <c r="I918" s="40"/>
      <c r="J918" s="25"/>
      <c r="K918" s="25"/>
      <c r="L918" s="25"/>
      <c r="M918" s="25"/>
      <c r="N918" s="25"/>
      <c r="O918" s="25"/>
      <c r="P918" s="25"/>
      <c r="Q918" s="25"/>
      <c r="R918" s="25"/>
      <c r="S918" s="25"/>
      <c r="T918" s="25"/>
      <c r="U918" s="25"/>
      <c r="V918" s="25"/>
      <c r="W918" s="25"/>
      <c r="X918" s="25"/>
      <c r="Y918" s="25"/>
      <c r="Z918" s="25"/>
      <c r="AA918" s="25"/>
      <c r="AB918" s="25"/>
      <c r="AC918" s="25"/>
      <c r="AD918" s="25"/>
    </row>
    <row r="919" spans="1:30" ht="15.75" customHeight="1">
      <c r="A919" s="25"/>
      <c r="B919" s="25"/>
      <c r="C919" s="25"/>
      <c r="D919" s="25"/>
      <c r="E919" s="25"/>
      <c r="F919" s="25"/>
      <c r="G919" s="25"/>
      <c r="H919" s="25"/>
      <c r="I919" s="40"/>
      <c r="J919" s="25"/>
      <c r="K919" s="25"/>
      <c r="L919" s="25"/>
      <c r="M919" s="25"/>
      <c r="N919" s="25"/>
      <c r="O919" s="25"/>
      <c r="P919" s="25"/>
      <c r="Q919" s="25"/>
      <c r="R919" s="25"/>
      <c r="S919" s="25"/>
      <c r="T919" s="25"/>
      <c r="U919" s="25"/>
      <c r="V919" s="25"/>
      <c r="W919" s="25"/>
      <c r="X919" s="25"/>
      <c r="Y919" s="25"/>
      <c r="Z919" s="25"/>
      <c r="AA919" s="25"/>
      <c r="AB919" s="25"/>
      <c r="AC919" s="25"/>
      <c r="AD919" s="25"/>
    </row>
    <row r="920" spans="1:30" ht="15.75" customHeight="1">
      <c r="A920" s="25"/>
      <c r="B920" s="25"/>
      <c r="C920" s="25"/>
      <c r="D920" s="25"/>
      <c r="E920" s="25"/>
      <c r="F920" s="25"/>
      <c r="G920" s="25"/>
      <c r="H920" s="25"/>
      <c r="I920" s="40"/>
      <c r="J920" s="25"/>
      <c r="K920" s="25"/>
      <c r="L920" s="25"/>
      <c r="M920" s="25"/>
      <c r="N920" s="25"/>
      <c r="O920" s="25"/>
      <c r="P920" s="25"/>
      <c r="Q920" s="25"/>
      <c r="R920" s="25"/>
      <c r="S920" s="25"/>
      <c r="T920" s="25"/>
      <c r="U920" s="25"/>
      <c r="V920" s="25"/>
      <c r="W920" s="25"/>
      <c r="X920" s="25"/>
      <c r="Y920" s="25"/>
      <c r="Z920" s="25"/>
      <c r="AA920" s="25"/>
      <c r="AB920" s="25"/>
      <c r="AC920" s="25"/>
      <c r="AD920" s="25"/>
    </row>
    <row r="921" spans="1:30" ht="15.75" customHeight="1">
      <c r="A921" s="25"/>
      <c r="B921" s="25"/>
      <c r="C921" s="25"/>
      <c r="D921" s="25"/>
      <c r="E921" s="25"/>
      <c r="F921" s="25"/>
      <c r="G921" s="25"/>
      <c r="H921" s="25"/>
      <c r="I921" s="40"/>
      <c r="J921" s="25"/>
      <c r="K921" s="25"/>
      <c r="L921" s="25"/>
      <c r="M921" s="25"/>
      <c r="N921" s="25"/>
      <c r="O921" s="25"/>
      <c r="P921" s="25"/>
      <c r="Q921" s="25"/>
      <c r="R921" s="25"/>
      <c r="S921" s="25"/>
      <c r="T921" s="25"/>
      <c r="U921" s="25"/>
      <c r="V921" s="25"/>
      <c r="W921" s="25"/>
      <c r="X921" s="25"/>
      <c r="Y921" s="25"/>
      <c r="Z921" s="25"/>
      <c r="AA921" s="25"/>
      <c r="AB921" s="25"/>
      <c r="AC921" s="25"/>
      <c r="AD921" s="25"/>
    </row>
    <row r="922" spans="1:30" ht="15.75" customHeight="1">
      <c r="A922" s="25"/>
      <c r="B922" s="25"/>
      <c r="C922" s="25"/>
      <c r="D922" s="25"/>
      <c r="E922" s="25"/>
      <c r="F922" s="25"/>
      <c r="G922" s="25"/>
      <c r="H922" s="25"/>
      <c r="I922" s="40"/>
      <c r="J922" s="25"/>
      <c r="K922" s="25"/>
      <c r="L922" s="25"/>
      <c r="M922" s="25"/>
      <c r="N922" s="25"/>
      <c r="O922" s="25"/>
      <c r="P922" s="25"/>
      <c r="Q922" s="25"/>
      <c r="R922" s="25"/>
      <c r="S922" s="25"/>
      <c r="T922" s="25"/>
      <c r="U922" s="25"/>
      <c r="V922" s="25"/>
      <c r="W922" s="25"/>
      <c r="X922" s="25"/>
      <c r="Y922" s="25"/>
      <c r="Z922" s="25"/>
      <c r="AA922" s="25"/>
      <c r="AB922" s="25"/>
      <c r="AC922" s="25"/>
      <c r="AD922" s="25"/>
    </row>
    <row r="923" spans="1:30" ht="15.75" customHeight="1">
      <c r="A923" s="25"/>
      <c r="B923" s="25"/>
      <c r="C923" s="25"/>
      <c r="D923" s="25"/>
      <c r="E923" s="25"/>
      <c r="F923" s="25"/>
      <c r="G923" s="25"/>
      <c r="H923" s="25"/>
      <c r="I923" s="40"/>
      <c r="J923" s="25"/>
      <c r="K923" s="25"/>
      <c r="L923" s="25"/>
      <c r="M923" s="25"/>
      <c r="N923" s="25"/>
      <c r="O923" s="25"/>
      <c r="P923" s="25"/>
      <c r="Q923" s="25"/>
      <c r="R923" s="25"/>
      <c r="S923" s="25"/>
      <c r="T923" s="25"/>
      <c r="U923" s="25"/>
      <c r="V923" s="25"/>
      <c r="W923" s="25"/>
      <c r="X923" s="25"/>
      <c r="Y923" s="25"/>
      <c r="Z923" s="25"/>
      <c r="AA923" s="25"/>
      <c r="AB923" s="25"/>
      <c r="AC923" s="25"/>
      <c r="AD923" s="25"/>
    </row>
    <row r="924" spans="1:30" ht="15.75" customHeight="1">
      <c r="A924" s="25"/>
      <c r="B924" s="25"/>
      <c r="C924" s="25"/>
      <c r="D924" s="25"/>
      <c r="E924" s="25"/>
      <c r="F924" s="25"/>
      <c r="G924" s="25"/>
      <c r="H924" s="25"/>
      <c r="I924" s="40"/>
      <c r="J924" s="25"/>
      <c r="K924" s="25"/>
      <c r="L924" s="25"/>
      <c r="M924" s="25"/>
      <c r="N924" s="25"/>
      <c r="O924" s="25"/>
      <c r="P924" s="25"/>
      <c r="Q924" s="25"/>
      <c r="R924" s="25"/>
      <c r="S924" s="25"/>
      <c r="T924" s="25"/>
      <c r="U924" s="25"/>
      <c r="V924" s="25"/>
      <c r="W924" s="25"/>
      <c r="X924" s="25"/>
      <c r="Y924" s="25"/>
      <c r="Z924" s="25"/>
      <c r="AA924" s="25"/>
      <c r="AB924" s="25"/>
      <c r="AC924" s="25"/>
      <c r="AD924" s="25"/>
    </row>
    <row r="925" spans="1:30" ht="15.75" customHeight="1">
      <c r="A925" s="25"/>
      <c r="B925" s="25"/>
      <c r="C925" s="25"/>
      <c r="D925" s="25"/>
      <c r="E925" s="25"/>
      <c r="F925" s="25"/>
      <c r="G925" s="25"/>
      <c r="H925" s="25"/>
      <c r="I925" s="40"/>
      <c r="J925" s="25"/>
      <c r="K925" s="25"/>
      <c r="L925" s="25"/>
      <c r="M925" s="25"/>
      <c r="N925" s="25"/>
      <c r="O925" s="25"/>
      <c r="P925" s="25"/>
      <c r="Q925" s="25"/>
      <c r="R925" s="25"/>
      <c r="S925" s="25"/>
      <c r="T925" s="25"/>
      <c r="U925" s="25"/>
      <c r="V925" s="25"/>
      <c r="W925" s="25"/>
      <c r="X925" s="25"/>
      <c r="Y925" s="25"/>
      <c r="Z925" s="25"/>
      <c r="AA925" s="25"/>
      <c r="AB925" s="25"/>
      <c r="AC925" s="25"/>
      <c r="AD925" s="25"/>
    </row>
    <row r="926" spans="1:30" ht="15.75" customHeight="1">
      <c r="A926" s="25"/>
      <c r="B926" s="25"/>
      <c r="C926" s="25"/>
      <c r="D926" s="25"/>
      <c r="E926" s="25"/>
      <c r="F926" s="25"/>
      <c r="G926" s="25"/>
      <c r="H926" s="25"/>
      <c r="I926" s="40"/>
      <c r="J926" s="25"/>
      <c r="K926" s="25"/>
      <c r="L926" s="25"/>
      <c r="M926" s="25"/>
      <c r="N926" s="25"/>
      <c r="O926" s="25"/>
      <c r="P926" s="25"/>
      <c r="Q926" s="25"/>
      <c r="R926" s="25"/>
      <c r="S926" s="25"/>
      <c r="T926" s="25"/>
      <c r="U926" s="25"/>
      <c r="V926" s="25"/>
      <c r="W926" s="25"/>
      <c r="X926" s="25"/>
      <c r="Y926" s="25"/>
      <c r="Z926" s="25"/>
      <c r="AA926" s="25"/>
      <c r="AB926" s="25"/>
      <c r="AC926" s="25"/>
      <c r="AD926" s="25"/>
    </row>
    <row r="927" spans="1:30" ht="15.75" customHeight="1">
      <c r="A927" s="25"/>
      <c r="B927" s="25"/>
      <c r="C927" s="25"/>
      <c r="D927" s="25"/>
      <c r="E927" s="25"/>
      <c r="F927" s="25"/>
      <c r="G927" s="25"/>
      <c r="H927" s="25"/>
      <c r="I927" s="40"/>
      <c r="J927" s="25"/>
      <c r="K927" s="25"/>
      <c r="L927" s="25"/>
      <c r="M927" s="25"/>
      <c r="N927" s="25"/>
      <c r="O927" s="25"/>
      <c r="P927" s="25"/>
      <c r="Q927" s="25"/>
      <c r="R927" s="25"/>
      <c r="S927" s="25"/>
      <c r="T927" s="25"/>
      <c r="U927" s="25"/>
      <c r="V927" s="25"/>
      <c r="W927" s="25"/>
      <c r="X927" s="25"/>
      <c r="Y927" s="25"/>
      <c r="Z927" s="25"/>
      <c r="AA927" s="25"/>
      <c r="AB927" s="25"/>
      <c r="AC927" s="25"/>
      <c r="AD927" s="25"/>
    </row>
    <row r="928" spans="1:30" ht="15.75" customHeight="1">
      <c r="A928" s="25"/>
      <c r="B928" s="25"/>
      <c r="C928" s="25"/>
      <c r="D928" s="25"/>
      <c r="E928" s="25"/>
      <c r="F928" s="25"/>
      <c r="G928" s="25"/>
      <c r="H928" s="25"/>
      <c r="I928" s="40"/>
      <c r="J928" s="25"/>
      <c r="K928" s="25"/>
      <c r="L928" s="25"/>
      <c r="M928" s="25"/>
      <c r="N928" s="25"/>
      <c r="O928" s="25"/>
      <c r="P928" s="25"/>
      <c r="Q928" s="25"/>
      <c r="R928" s="25"/>
      <c r="S928" s="25"/>
      <c r="T928" s="25"/>
      <c r="U928" s="25"/>
      <c r="V928" s="25"/>
      <c r="W928" s="25"/>
      <c r="X928" s="25"/>
      <c r="Y928" s="25"/>
      <c r="Z928" s="25"/>
      <c r="AA928" s="25"/>
      <c r="AB928" s="25"/>
      <c r="AC928" s="25"/>
      <c r="AD928" s="25"/>
    </row>
    <row r="929" spans="1:30" ht="15.75" customHeight="1">
      <c r="A929" s="25"/>
      <c r="B929" s="25"/>
      <c r="C929" s="25"/>
      <c r="D929" s="25"/>
      <c r="E929" s="25"/>
      <c r="F929" s="25"/>
      <c r="G929" s="25"/>
      <c r="H929" s="25"/>
      <c r="I929" s="40"/>
      <c r="J929" s="25"/>
      <c r="K929" s="25"/>
      <c r="L929" s="25"/>
      <c r="M929" s="25"/>
      <c r="N929" s="25"/>
      <c r="O929" s="25"/>
      <c r="P929" s="25"/>
      <c r="Q929" s="25"/>
      <c r="R929" s="25"/>
      <c r="S929" s="25"/>
      <c r="T929" s="25"/>
      <c r="U929" s="25"/>
      <c r="V929" s="25"/>
      <c r="W929" s="25"/>
      <c r="X929" s="25"/>
      <c r="Y929" s="25"/>
      <c r="Z929" s="25"/>
      <c r="AA929" s="25"/>
      <c r="AB929" s="25"/>
      <c r="AC929" s="25"/>
      <c r="AD929" s="25"/>
    </row>
    <row r="930" spans="1:30" ht="15.75" customHeight="1">
      <c r="A930" s="25"/>
      <c r="B930" s="25"/>
      <c r="C930" s="25"/>
      <c r="D930" s="25"/>
      <c r="E930" s="25"/>
      <c r="F930" s="25"/>
      <c r="G930" s="25"/>
      <c r="H930" s="25"/>
      <c r="I930" s="40"/>
      <c r="J930" s="25"/>
      <c r="K930" s="25"/>
      <c r="L930" s="25"/>
      <c r="M930" s="25"/>
      <c r="N930" s="25"/>
      <c r="O930" s="25"/>
      <c r="P930" s="25"/>
      <c r="Q930" s="25"/>
      <c r="R930" s="25"/>
      <c r="S930" s="25"/>
      <c r="T930" s="25"/>
      <c r="U930" s="25"/>
      <c r="V930" s="25"/>
      <c r="W930" s="25"/>
      <c r="X930" s="25"/>
      <c r="Y930" s="25"/>
      <c r="Z930" s="25"/>
      <c r="AA930" s="25"/>
      <c r="AB930" s="25"/>
      <c r="AC930" s="25"/>
      <c r="AD930" s="25"/>
    </row>
    <row r="931" spans="1:30" ht="15.75" customHeight="1">
      <c r="A931" s="25"/>
      <c r="B931" s="25"/>
      <c r="C931" s="25"/>
      <c r="D931" s="25"/>
      <c r="E931" s="25"/>
      <c r="F931" s="25"/>
      <c r="G931" s="25"/>
      <c r="H931" s="25"/>
      <c r="I931" s="40"/>
      <c r="J931" s="25"/>
      <c r="K931" s="25"/>
      <c r="L931" s="25"/>
      <c r="M931" s="25"/>
      <c r="N931" s="25"/>
      <c r="O931" s="25"/>
      <c r="P931" s="25"/>
      <c r="Q931" s="25"/>
      <c r="R931" s="25"/>
      <c r="S931" s="25"/>
      <c r="T931" s="25"/>
      <c r="U931" s="25"/>
      <c r="V931" s="25"/>
      <c r="W931" s="25"/>
      <c r="X931" s="25"/>
      <c r="Y931" s="25"/>
      <c r="Z931" s="25"/>
      <c r="AA931" s="25"/>
      <c r="AB931" s="25"/>
      <c r="AC931" s="25"/>
      <c r="AD931" s="25"/>
    </row>
    <row r="932" spans="1:30" ht="15.75" customHeight="1">
      <c r="A932" s="25"/>
      <c r="B932" s="25"/>
      <c r="C932" s="25"/>
      <c r="D932" s="25"/>
      <c r="E932" s="25"/>
      <c r="F932" s="25"/>
      <c r="G932" s="25"/>
      <c r="H932" s="25"/>
      <c r="I932" s="40"/>
      <c r="J932" s="25"/>
      <c r="K932" s="25"/>
      <c r="L932" s="25"/>
      <c r="M932" s="25"/>
      <c r="N932" s="25"/>
      <c r="O932" s="25"/>
      <c r="P932" s="25"/>
      <c r="Q932" s="25"/>
      <c r="R932" s="25"/>
      <c r="S932" s="25"/>
      <c r="T932" s="25"/>
      <c r="U932" s="25"/>
      <c r="V932" s="25"/>
      <c r="W932" s="25"/>
      <c r="X932" s="25"/>
      <c r="Y932" s="25"/>
      <c r="Z932" s="25"/>
      <c r="AA932" s="25"/>
      <c r="AB932" s="25"/>
      <c r="AC932" s="25"/>
      <c r="AD932" s="25"/>
    </row>
    <row r="933" spans="1:30" ht="15.75" customHeight="1">
      <c r="A933" s="25"/>
      <c r="B933" s="25"/>
      <c r="C933" s="25"/>
      <c r="D933" s="25"/>
      <c r="E933" s="25"/>
      <c r="F933" s="25"/>
      <c r="G933" s="25"/>
      <c r="H933" s="25"/>
      <c r="I933" s="40"/>
      <c r="J933" s="25"/>
      <c r="K933" s="25"/>
      <c r="L933" s="25"/>
      <c r="M933" s="25"/>
      <c r="N933" s="25"/>
      <c r="O933" s="25"/>
      <c r="P933" s="25"/>
      <c r="Q933" s="25"/>
      <c r="R933" s="25"/>
      <c r="S933" s="25"/>
      <c r="T933" s="25"/>
      <c r="U933" s="25"/>
      <c r="V933" s="25"/>
      <c r="W933" s="25"/>
      <c r="X933" s="25"/>
      <c r="Y933" s="25"/>
      <c r="Z933" s="25"/>
      <c r="AA933" s="25"/>
      <c r="AB933" s="25"/>
      <c r="AC933" s="25"/>
      <c r="AD933" s="25"/>
    </row>
    <row r="934" spans="1:30" ht="15.75" customHeight="1">
      <c r="A934" s="25"/>
      <c r="B934" s="25"/>
      <c r="C934" s="25"/>
      <c r="D934" s="25"/>
      <c r="E934" s="25"/>
      <c r="F934" s="25"/>
      <c r="G934" s="25"/>
      <c r="H934" s="25"/>
      <c r="I934" s="40"/>
      <c r="J934" s="25"/>
      <c r="K934" s="25"/>
      <c r="L934" s="25"/>
      <c r="M934" s="25"/>
      <c r="N934" s="25"/>
      <c r="O934" s="25"/>
      <c r="P934" s="25"/>
      <c r="Q934" s="25"/>
      <c r="R934" s="25"/>
      <c r="S934" s="25"/>
      <c r="T934" s="25"/>
      <c r="U934" s="25"/>
      <c r="V934" s="25"/>
      <c r="W934" s="25"/>
      <c r="X934" s="25"/>
      <c r="Y934" s="25"/>
      <c r="Z934" s="25"/>
      <c r="AA934" s="25"/>
      <c r="AB934" s="25"/>
      <c r="AC934" s="25"/>
      <c r="AD934" s="25"/>
    </row>
    <row r="935" spans="1:30" ht="15.75" customHeight="1">
      <c r="A935" s="25"/>
      <c r="B935" s="25"/>
      <c r="C935" s="25"/>
      <c r="D935" s="25"/>
      <c r="E935" s="25"/>
      <c r="F935" s="25"/>
      <c r="G935" s="25"/>
      <c r="H935" s="25"/>
      <c r="I935" s="40"/>
      <c r="J935" s="25"/>
      <c r="K935" s="25"/>
      <c r="L935" s="25"/>
      <c r="M935" s="25"/>
      <c r="N935" s="25"/>
      <c r="O935" s="25"/>
      <c r="P935" s="25"/>
      <c r="Q935" s="25"/>
      <c r="R935" s="25"/>
      <c r="S935" s="25"/>
      <c r="T935" s="25"/>
      <c r="U935" s="25"/>
      <c r="V935" s="25"/>
      <c r="W935" s="25"/>
      <c r="X935" s="25"/>
      <c r="Y935" s="25"/>
      <c r="Z935" s="25"/>
      <c r="AA935" s="25"/>
      <c r="AB935" s="25"/>
      <c r="AC935" s="25"/>
      <c r="AD935" s="25"/>
    </row>
    <row r="936" spans="1:30" ht="15.75" customHeight="1">
      <c r="A936" s="25"/>
      <c r="B936" s="25"/>
      <c r="C936" s="25"/>
      <c r="D936" s="25"/>
      <c r="E936" s="25"/>
      <c r="F936" s="25"/>
      <c r="G936" s="25"/>
      <c r="H936" s="25"/>
      <c r="I936" s="40"/>
      <c r="J936" s="25"/>
      <c r="K936" s="25"/>
      <c r="L936" s="25"/>
      <c r="M936" s="25"/>
      <c r="N936" s="25"/>
      <c r="O936" s="25"/>
      <c r="P936" s="25"/>
      <c r="Q936" s="25"/>
      <c r="R936" s="25"/>
      <c r="S936" s="25"/>
      <c r="T936" s="25"/>
      <c r="U936" s="25"/>
      <c r="V936" s="25"/>
      <c r="W936" s="25"/>
      <c r="X936" s="25"/>
      <c r="Y936" s="25"/>
      <c r="Z936" s="25"/>
      <c r="AA936" s="25"/>
      <c r="AB936" s="25"/>
      <c r="AC936" s="25"/>
      <c r="AD936" s="25"/>
    </row>
    <row r="937" spans="1:30" ht="15.75" customHeight="1">
      <c r="A937" s="25"/>
      <c r="B937" s="25"/>
      <c r="C937" s="25"/>
      <c r="D937" s="25"/>
      <c r="E937" s="25"/>
      <c r="F937" s="25"/>
      <c r="G937" s="25"/>
      <c r="H937" s="25"/>
      <c r="I937" s="40"/>
      <c r="J937" s="25"/>
      <c r="K937" s="25"/>
      <c r="L937" s="25"/>
      <c r="M937" s="25"/>
      <c r="N937" s="25"/>
      <c r="O937" s="25"/>
      <c r="P937" s="25"/>
      <c r="Q937" s="25"/>
      <c r="R937" s="25"/>
      <c r="S937" s="25"/>
      <c r="T937" s="25"/>
      <c r="U937" s="25"/>
      <c r="V937" s="25"/>
      <c r="W937" s="25"/>
      <c r="X937" s="25"/>
      <c r="Y937" s="25"/>
      <c r="Z937" s="25"/>
      <c r="AA937" s="25"/>
      <c r="AB937" s="25"/>
      <c r="AC937" s="25"/>
      <c r="AD937" s="25"/>
    </row>
    <row r="938" spans="1:30" ht="15.75" customHeight="1">
      <c r="A938" s="25"/>
      <c r="B938" s="25"/>
      <c r="C938" s="25"/>
      <c r="D938" s="25"/>
      <c r="E938" s="25"/>
      <c r="F938" s="25"/>
      <c r="G938" s="25"/>
      <c r="H938" s="25"/>
      <c r="I938" s="40"/>
      <c r="J938" s="25"/>
      <c r="K938" s="25"/>
      <c r="L938" s="25"/>
      <c r="M938" s="25"/>
      <c r="N938" s="25"/>
      <c r="O938" s="25"/>
      <c r="P938" s="25"/>
      <c r="Q938" s="25"/>
      <c r="R938" s="25"/>
      <c r="S938" s="25"/>
      <c r="T938" s="25"/>
      <c r="U938" s="25"/>
      <c r="V938" s="25"/>
      <c r="W938" s="25"/>
      <c r="X938" s="25"/>
      <c r="Y938" s="25"/>
      <c r="Z938" s="25"/>
      <c r="AA938" s="25"/>
      <c r="AB938" s="25"/>
      <c r="AC938" s="25"/>
      <c r="AD938" s="25"/>
    </row>
    <row r="939" spans="1:30" ht="15.75" customHeight="1">
      <c r="A939" s="25"/>
      <c r="B939" s="25"/>
      <c r="C939" s="25"/>
      <c r="D939" s="25"/>
      <c r="E939" s="25"/>
      <c r="F939" s="25"/>
      <c r="G939" s="25"/>
      <c r="H939" s="25"/>
      <c r="I939" s="40"/>
      <c r="J939" s="25"/>
      <c r="K939" s="25"/>
      <c r="L939" s="25"/>
      <c r="M939" s="25"/>
      <c r="N939" s="25"/>
      <c r="O939" s="25"/>
      <c r="P939" s="25"/>
      <c r="Q939" s="25"/>
      <c r="R939" s="25"/>
      <c r="S939" s="25"/>
      <c r="T939" s="25"/>
      <c r="U939" s="25"/>
      <c r="V939" s="25"/>
      <c r="W939" s="25"/>
      <c r="X939" s="25"/>
      <c r="Y939" s="25"/>
      <c r="Z939" s="25"/>
      <c r="AA939" s="25"/>
      <c r="AB939" s="25"/>
      <c r="AC939" s="25"/>
      <c r="AD939" s="25"/>
    </row>
    <row r="940" spans="1:30" ht="15.75" customHeight="1">
      <c r="A940" s="25"/>
      <c r="B940" s="25"/>
      <c r="C940" s="25"/>
      <c r="D940" s="25"/>
      <c r="E940" s="25"/>
      <c r="F940" s="25"/>
      <c r="G940" s="25"/>
      <c r="H940" s="25"/>
      <c r="I940" s="40"/>
      <c r="J940" s="25"/>
      <c r="K940" s="25"/>
      <c r="L940" s="25"/>
      <c r="M940" s="25"/>
      <c r="N940" s="25"/>
      <c r="O940" s="25"/>
      <c r="P940" s="25"/>
      <c r="Q940" s="25"/>
      <c r="R940" s="25"/>
      <c r="S940" s="25"/>
      <c r="T940" s="25"/>
      <c r="U940" s="25"/>
      <c r="V940" s="25"/>
      <c r="W940" s="25"/>
      <c r="X940" s="25"/>
      <c r="Y940" s="25"/>
      <c r="Z940" s="25"/>
      <c r="AA940" s="25"/>
      <c r="AB940" s="25"/>
      <c r="AC940" s="25"/>
      <c r="AD940" s="25"/>
    </row>
    <row r="941" spans="1:30" ht="15.75" customHeight="1">
      <c r="A941" s="25"/>
      <c r="B941" s="25"/>
      <c r="C941" s="25"/>
      <c r="D941" s="25"/>
      <c r="E941" s="25"/>
      <c r="F941" s="25"/>
      <c r="G941" s="25"/>
      <c r="H941" s="25"/>
      <c r="I941" s="40"/>
      <c r="J941" s="25"/>
      <c r="K941" s="25"/>
      <c r="L941" s="25"/>
      <c r="M941" s="25"/>
      <c r="N941" s="25"/>
      <c r="O941" s="25"/>
      <c r="P941" s="25"/>
      <c r="Q941" s="25"/>
      <c r="R941" s="25"/>
      <c r="S941" s="25"/>
      <c r="T941" s="25"/>
      <c r="U941" s="25"/>
      <c r="V941" s="25"/>
      <c r="W941" s="25"/>
      <c r="X941" s="25"/>
      <c r="Y941" s="25"/>
      <c r="Z941" s="25"/>
      <c r="AA941" s="25"/>
      <c r="AB941" s="25"/>
      <c r="AC941" s="25"/>
      <c r="AD941" s="25"/>
    </row>
    <row r="942" spans="1:30" ht="15.75" customHeight="1">
      <c r="A942" s="25"/>
      <c r="B942" s="25"/>
      <c r="C942" s="25"/>
      <c r="D942" s="25"/>
      <c r="E942" s="25"/>
      <c r="F942" s="25"/>
      <c r="G942" s="25"/>
      <c r="H942" s="25"/>
      <c r="I942" s="40"/>
      <c r="J942" s="25"/>
      <c r="K942" s="25"/>
      <c r="L942" s="25"/>
      <c r="M942" s="25"/>
      <c r="N942" s="25"/>
      <c r="O942" s="25"/>
      <c r="P942" s="25"/>
      <c r="Q942" s="25"/>
      <c r="R942" s="25"/>
      <c r="S942" s="25"/>
      <c r="T942" s="25"/>
      <c r="U942" s="25"/>
      <c r="V942" s="25"/>
      <c r="W942" s="25"/>
      <c r="X942" s="25"/>
      <c r="Y942" s="25"/>
      <c r="Z942" s="25"/>
      <c r="AA942" s="25"/>
      <c r="AB942" s="25"/>
      <c r="AC942" s="25"/>
      <c r="AD942" s="25"/>
    </row>
    <row r="943" spans="1:30" ht="15.75" customHeight="1">
      <c r="A943" s="25"/>
      <c r="B943" s="25"/>
      <c r="C943" s="25"/>
      <c r="D943" s="25"/>
      <c r="E943" s="25"/>
      <c r="F943" s="25"/>
      <c r="G943" s="25"/>
      <c r="H943" s="25"/>
      <c r="I943" s="40"/>
      <c r="J943" s="25"/>
      <c r="K943" s="25"/>
      <c r="L943" s="25"/>
      <c r="M943" s="25"/>
      <c r="N943" s="25"/>
      <c r="O943" s="25"/>
      <c r="P943" s="25"/>
      <c r="Q943" s="25"/>
      <c r="R943" s="25"/>
      <c r="S943" s="25"/>
      <c r="T943" s="25"/>
      <c r="U943" s="25"/>
      <c r="V943" s="25"/>
      <c r="W943" s="25"/>
      <c r="X943" s="25"/>
      <c r="Y943" s="25"/>
      <c r="Z943" s="25"/>
      <c r="AA943" s="25"/>
      <c r="AB943" s="25"/>
      <c r="AC943" s="25"/>
      <c r="AD943" s="25"/>
    </row>
    <row r="944" spans="1:30" ht="15.75" customHeight="1">
      <c r="A944" s="25"/>
      <c r="B944" s="25"/>
      <c r="C944" s="25"/>
      <c r="D944" s="25"/>
      <c r="E944" s="25"/>
      <c r="F944" s="25"/>
      <c r="G944" s="25"/>
      <c r="H944" s="25"/>
      <c r="I944" s="40"/>
      <c r="J944" s="25"/>
      <c r="K944" s="25"/>
      <c r="L944" s="25"/>
      <c r="M944" s="25"/>
      <c r="N944" s="25"/>
      <c r="O944" s="25"/>
      <c r="P944" s="25"/>
      <c r="Q944" s="25"/>
      <c r="R944" s="25"/>
      <c r="S944" s="25"/>
      <c r="T944" s="25"/>
      <c r="U944" s="25"/>
      <c r="V944" s="25"/>
      <c r="W944" s="25"/>
      <c r="X944" s="25"/>
      <c r="Y944" s="25"/>
      <c r="Z944" s="25"/>
      <c r="AA944" s="25"/>
      <c r="AB944" s="25"/>
      <c r="AC944" s="25"/>
      <c r="AD944" s="25"/>
    </row>
    <row r="945" spans="1:30" ht="15.75" customHeight="1">
      <c r="A945" s="25"/>
      <c r="B945" s="25"/>
      <c r="C945" s="25"/>
      <c r="D945" s="25"/>
      <c r="E945" s="25"/>
      <c r="F945" s="25"/>
      <c r="G945" s="25"/>
      <c r="H945" s="25"/>
      <c r="I945" s="40"/>
      <c r="J945" s="25"/>
      <c r="K945" s="25"/>
      <c r="L945" s="25"/>
      <c r="M945" s="25"/>
      <c r="N945" s="25"/>
      <c r="O945" s="25"/>
      <c r="P945" s="25"/>
      <c r="Q945" s="25"/>
      <c r="R945" s="25"/>
      <c r="S945" s="25"/>
      <c r="T945" s="25"/>
      <c r="U945" s="25"/>
      <c r="V945" s="25"/>
      <c r="W945" s="25"/>
      <c r="X945" s="25"/>
      <c r="Y945" s="25"/>
      <c r="Z945" s="25"/>
      <c r="AA945" s="25"/>
      <c r="AB945" s="25"/>
      <c r="AC945" s="25"/>
      <c r="AD945" s="25"/>
    </row>
    <row r="946" spans="1:30" ht="15.75" customHeight="1">
      <c r="A946" s="25"/>
      <c r="B946" s="25"/>
      <c r="C946" s="25"/>
      <c r="D946" s="25"/>
      <c r="E946" s="25"/>
      <c r="F946" s="25"/>
      <c r="G946" s="25"/>
      <c r="H946" s="25"/>
      <c r="I946" s="40"/>
      <c r="J946" s="25"/>
      <c r="K946" s="25"/>
      <c r="L946" s="25"/>
      <c r="M946" s="25"/>
      <c r="N946" s="25"/>
      <c r="O946" s="25"/>
      <c r="P946" s="25"/>
      <c r="Q946" s="25"/>
      <c r="R946" s="25"/>
      <c r="S946" s="25"/>
      <c r="T946" s="25"/>
      <c r="U946" s="25"/>
      <c r="V946" s="25"/>
      <c r="W946" s="25"/>
      <c r="X946" s="25"/>
      <c r="Y946" s="25"/>
      <c r="Z946" s="25"/>
      <c r="AA946" s="25"/>
      <c r="AB946" s="25"/>
      <c r="AC946" s="25"/>
      <c r="AD946" s="25"/>
    </row>
    <row r="947" spans="1:30" ht="15.75" customHeight="1">
      <c r="A947" s="25"/>
      <c r="B947" s="25"/>
      <c r="C947" s="25"/>
      <c r="D947" s="25"/>
      <c r="E947" s="25"/>
      <c r="F947" s="25"/>
      <c r="G947" s="25"/>
      <c r="H947" s="25"/>
      <c r="I947" s="40"/>
      <c r="J947" s="25"/>
      <c r="K947" s="25"/>
      <c r="L947" s="25"/>
      <c r="M947" s="25"/>
      <c r="N947" s="25"/>
      <c r="O947" s="25"/>
      <c r="P947" s="25"/>
      <c r="Q947" s="25"/>
      <c r="R947" s="25"/>
      <c r="S947" s="25"/>
      <c r="T947" s="25"/>
      <c r="U947" s="25"/>
      <c r="V947" s="25"/>
      <c r="W947" s="25"/>
      <c r="X947" s="25"/>
      <c r="Y947" s="25"/>
      <c r="Z947" s="25"/>
      <c r="AA947" s="25"/>
      <c r="AB947" s="25"/>
      <c r="AC947" s="25"/>
      <c r="AD947" s="25"/>
    </row>
    <row r="948" spans="1:30" ht="15.75" customHeight="1">
      <c r="A948" s="25"/>
      <c r="B948" s="25"/>
      <c r="C948" s="25"/>
      <c r="D948" s="25"/>
      <c r="E948" s="25"/>
      <c r="F948" s="25"/>
      <c r="G948" s="25"/>
      <c r="H948" s="25"/>
      <c r="I948" s="40"/>
      <c r="J948" s="25"/>
      <c r="K948" s="25"/>
      <c r="L948" s="25"/>
      <c r="M948" s="25"/>
      <c r="N948" s="25"/>
      <c r="O948" s="25"/>
      <c r="P948" s="25"/>
      <c r="Q948" s="25"/>
      <c r="R948" s="25"/>
      <c r="S948" s="25"/>
      <c r="T948" s="25"/>
      <c r="U948" s="25"/>
      <c r="V948" s="25"/>
      <c r="W948" s="25"/>
      <c r="X948" s="25"/>
      <c r="Y948" s="25"/>
      <c r="Z948" s="25"/>
      <c r="AA948" s="25"/>
      <c r="AB948" s="25"/>
      <c r="AC948" s="25"/>
      <c r="AD948" s="25"/>
    </row>
    <row r="949" spans="1:30" ht="15.75" customHeight="1">
      <c r="A949" s="25"/>
      <c r="B949" s="25"/>
      <c r="C949" s="25"/>
      <c r="D949" s="25"/>
      <c r="E949" s="25"/>
      <c r="F949" s="25"/>
      <c r="G949" s="25"/>
      <c r="H949" s="25"/>
      <c r="I949" s="40"/>
      <c r="J949" s="25"/>
      <c r="K949" s="25"/>
      <c r="L949" s="25"/>
      <c r="M949" s="25"/>
      <c r="N949" s="25"/>
      <c r="O949" s="25"/>
      <c r="P949" s="25"/>
      <c r="Q949" s="25"/>
      <c r="R949" s="25"/>
      <c r="S949" s="25"/>
      <c r="T949" s="25"/>
      <c r="U949" s="25"/>
      <c r="V949" s="25"/>
      <c r="W949" s="25"/>
      <c r="X949" s="25"/>
      <c r="Y949" s="25"/>
      <c r="Z949" s="25"/>
      <c r="AA949" s="25"/>
      <c r="AB949" s="25"/>
      <c r="AC949" s="25"/>
      <c r="AD949" s="25"/>
    </row>
    <row r="950" spans="1:30" ht="15.75" customHeight="1">
      <c r="A950" s="25"/>
      <c r="B950" s="25"/>
      <c r="C950" s="25"/>
      <c r="D950" s="25"/>
      <c r="E950" s="25"/>
      <c r="F950" s="25"/>
      <c r="G950" s="25"/>
      <c r="H950" s="25"/>
      <c r="I950" s="40"/>
      <c r="J950" s="25"/>
      <c r="K950" s="25"/>
      <c r="L950" s="25"/>
      <c r="M950" s="25"/>
      <c r="N950" s="25"/>
      <c r="O950" s="25"/>
      <c r="P950" s="25"/>
      <c r="Q950" s="25"/>
      <c r="R950" s="25"/>
      <c r="S950" s="25"/>
      <c r="T950" s="25"/>
      <c r="U950" s="25"/>
      <c r="V950" s="25"/>
      <c r="W950" s="25"/>
      <c r="X950" s="25"/>
      <c r="Y950" s="25"/>
      <c r="Z950" s="25"/>
      <c r="AA950" s="25"/>
      <c r="AB950" s="25"/>
      <c r="AC950" s="25"/>
      <c r="AD950" s="25"/>
    </row>
    <row r="951" spans="1:30" ht="15.75" customHeight="1">
      <c r="A951" s="25"/>
      <c r="B951" s="25"/>
      <c r="C951" s="25"/>
      <c r="D951" s="25"/>
      <c r="E951" s="25"/>
      <c r="F951" s="25"/>
      <c r="G951" s="25"/>
      <c r="H951" s="25"/>
      <c r="I951" s="40"/>
      <c r="J951" s="25"/>
      <c r="K951" s="25"/>
      <c r="L951" s="25"/>
      <c r="M951" s="25"/>
      <c r="N951" s="25"/>
      <c r="O951" s="25"/>
      <c r="P951" s="25"/>
      <c r="Q951" s="25"/>
      <c r="R951" s="25"/>
      <c r="S951" s="25"/>
      <c r="T951" s="25"/>
      <c r="U951" s="25"/>
      <c r="V951" s="25"/>
      <c r="W951" s="25"/>
      <c r="X951" s="25"/>
      <c r="Y951" s="25"/>
      <c r="Z951" s="25"/>
      <c r="AA951" s="25"/>
      <c r="AB951" s="25"/>
      <c r="AC951" s="25"/>
      <c r="AD951" s="25"/>
    </row>
    <row r="952" spans="1:30" ht="15.75" customHeight="1">
      <c r="A952" s="25"/>
      <c r="B952" s="25"/>
      <c r="C952" s="25"/>
      <c r="D952" s="25"/>
      <c r="E952" s="25"/>
      <c r="F952" s="25"/>
      <c r="G952" s="25"/>
      <c r="H952" s="25"/>
      <c r="I952" s="40"/>
      <c r="J952" s="25"/>
      <c r="K952" s="25"/>
      <c r="L952" s="25"/>
      <c r="M952" s="25"/>
      <c r="N952" s="25"/>
      <c r="O952" s="25"/>
      <c r="P952" s="25"/>
      <c r="Q952" s="25"/>
      <c r="R952" s="25"/>
      <c r="S952" s="25"/>
      <c r="T952" s="25"/>
      <c r="U952" s="25"/>
      <c r="V952" s="25"/>
      <c r="W952" s="25"/>
      <c r="X952" s="25"/>
      <c r="Y952" s="25"/>
      <c r="Z952" s="25"/>
      <c r="AA952" s="25"/>
      <c r="AB952" s="25"/>
      <c r="AC952" s="25"/>
      <c r="AD952" s="25"/>
    </row>
    <row r="953" spans="1:30" ht="15.75" customHeight="1">
      <c r="A953" s="25"/>
      <c r="B953" s="25"/>
      <c r="C953" s="25"/>
      <c r="D953" s="25"/>
      <c r="E953" s="25"/>
      <c r="F953" s="25"/>
      <c r="G953" s="25"/>
      <c r="H953" s="25"/>
      <c r="I953" s="40"/>
      <c r="J953" s="25"/>
      <c r="K953" s="25"/>
      <c r="L953" s="25"/>
      <c r="M953" s="25"/>
      <c r="N953" s="25"/>
      <c r="O953" s="25"/>
      <c r="P953" s="25"/>
      <c r="Q953" s="25"/>
      <c r="R953" s="25"/>
      <c r="S953" s="25"/>
      <c r="T953" s="25"/>
      <c r="U953" s="25"/>
      <c r="V953" s="25"/>
      <c r="W953" s="25"/>
      <c r="X953" s="25"/>
      <c r="Y953" s="25"/>
      <c r="Z953" s="25"/>
      <c r="AA953" s="25"/>
      <c r="AB953" s="25"/>
      <c r="AC953" s="25"/>
      <c r="AD953" s="25"/>
    </row>
    <row r="954" spans="1:30" ht="15.75" customHeight="1">
      <c r="A954" s="25"/>
      <c r="B954" s="25"/>
      <c r="C954" s="25"/>
      <c r="D954" s="25"/>
      <c r="E954" s="25"/>
      <c r="F954" s="25"/>
      <c r="G954" s="25"/>
      <c r="H954" s="25"/>
      <c r="I954" s="40"/>
      <c r="J954" s="25"/>
      <c r="K954" s="25"/>
      <c r="L954" s="25"/>
      <c r="M954" s="25"/>
      <c r="N954" s="25"/>
      <c r="O954" s="25"/>
      <c r="P954" s="25"/>
      <c r="Q954" s="25"/>
      <c r="R954" s="25"/>
      <c r="S954" s="25"/>
      <c r="T954" s="25"/>
      <c r="U954" s="25"/>
      <c r="V954" s="25"/>
      <c r="W954" s="25"/>
      <c r="X954" s="25"/>
      <c r="Y954" s="25"/>
      <c r="Z954" s="25"/>
      <c r="AA954" s="25"/>
      <c r="AB954" s="25"/>
      <c r="AC954" s="25"/>
      <c r="AD954" s="25"/>
    </row>
    <row r="955" spans="1:30" ht="15.75" customHeight="1">
      <c r="A955" s="25"/>
      <c r="B955" s="25"/>
      <c r="C955" s="25"/>
      <c r="D955" s="25"/>
      <c r="E955" s="25"/>
      <c r="F955" s="25"/>
      <c r="G955" s="25"/>
      <c r="H955" s="25"/>
      <c r="I955" s="40"/>
      <c r="J955" s="25"/>
      <c r="K955" s="25"/>
      <c r="L955" s="25"/>
      <c r="M955" s="25"/>
      <c r="N955" s="25"/>
      <c r="O955" s="25"/>
      <c r="P955" s="25"/>
      <c r="Q955" s="25"/>
      <c r="R955" s="25"/>
      <c r="S955" s="25"/>
      <c r="T955" s="25"/>
      <c r="U955" s="25"/>
      <c r="V955" s="25"/>
      <c r="W955" s="25"/>
      <c r="X955" s="25"/>
      <c r="Y955" s="25"/>
      <c r="Z955" s="25"/>
      <c r="AA955" s="25"/>
      <c r="AB955" s="25"/>
      <c r="AC955" s="25"/>
      <c r="AD955" s="25"/>
    </row>
    <row r="956" spans="1:30" ht="15.75" customHeight="1">
      <c r="A956" s="25"/>
      <c r="B956" s="25"/>
      <c r="C956" s="25"/>
      <c r="D956" s="25"/>
      <c r="E956" s="25"/>
      <c r="F956" s="25"/>
      <c r="G956" s="25"/>
      <c r="H956" s="25"/>
      <c r="I956" s="40"/>
      <c r="J956" s="25"/>
      <c r="K956" s="25"/>
      <c r="L956" s="25"/>
      <c r="M956" s="25"/>
      <c r="N956" s="25"/>
      <c r="O956" s="25"/>
      <c r="P956" s="25"/>
      <c r="Q956" s="25"/>
      <c r="R956" s="25"/>
      <c r="S956" s="25"/>
      <c r="T956" s="25"/>
      <c r="U956" s="25"/>
      <c r="V956" s="25"/>
      <c r="W956" s="25"/>
      <c r="X956" s="25"/>
      <c r="Y956" s="25"/>
      <c r="Z956" s="25"/>
      <c r="AA956" s="25"/>
      <c r="AB956" s="25"/>
      <c r="AC956" s="25"/>
      <c r="AD956" s="25"/>
    </row>
    <row r="957" spans="1:30" ht="15.75" customHeight="1">
      <c r="A957" s="25"/>
      <c r="B957" s="25"/>
      <c r="C957" s="25"/>
      <c r="D957" s="25"/>
      <c r="E957" s="25"/>
      <c r="F957" s="25"/>
      <c r="G957" s="25"/>
      <c r="H957" s="25"/>
      <c r="I957" s="40"/>
      <c r="J957" s="25"/>
      <c r="K957" s="25"/>
      <c r="L957" s="25"/>
      <c r="M957" s="25"/>
      <c r="N957" s="25"/>
      <c r="O957" s="25"/>
      <c r="P957" s="25"/>
      <c r="Q957" s="25"/>
      <c r="R957" s="25"/>
      <c r="S957" s="25"/>
      <c r="T957" s="25"/>
      <c r="U957" s="25"/>
      <c r="V957" s="25"/>
      <c r="W957" s="25"/>
      <c r="X957" s="25"/>
      <c r="Y957" s="25"/>
      <c r="Z957" s="25"/>
      <c r="AA957" s="25"/>
      <c r="AB957" s="25"/>
      <c r="AC957" s="25"/>
      <c r="AD957" s="25"/>
    </row>
    <row r="958" spans="1:30" ht="15.75" customHeight="1">
      <c r="A958" s="25"/>
      <c r="B958" s="25"/>
      <c r="C958" s="25"/>
      <c r="D958" s="25"/>
      <c r="E958" s="25"/>
      <c r="F958" s="25"/>
      <c r="G958" s="25"/>
      <c r="H958" s="25"/>
      <c r="I958" s="40"/>
      <c r="J958" s="25"/>
      <c r="K958" s="25"/>
      <c r="L958" s="25"/>
      <c r="M958" s="25"/>
      <c r="N958" s="25"/>
      <c r="O958" s="25"/>
      <c r="P958" s="25"/>
      <c r="Q958" s="25"/>
      <c r="R958" s="25"/>
      <c r="S958" s="25"/>
      <c r="T958" s="25"/>
      <c r="U958" s="25"/>
      <c r="V958" s="25"/>
      <c r="W958" s="25"/>
      <c r="X958" s="25"/>
      <c r="Y958" s="25"/>
      <c r="Z958" s="25"/>
      <c r="AA958" s="25"/>
      <c r="AB958" s="25"/>
      <c r="AC958" s="25"/>
      <c r="AD958" s="25"/>
    </row>
    <row r="959" spans="1:30" ht="15.75" customHeight="1">
      <c r="A959" s="25"/>
      <c r="B959" s="25"/>
      <c r="C959" s="25"/>
      <c r="D959" s="25"/>
      <c r="E959" s="25"/>
      <c r="F959" s="25"/>
      <c r="G959" s="25"/>
      <c r="H959" s="25"/>
      <c r="I959" s="40"/>
      <c r="J959" s="25"/>
      <c r="K959" s="25"/>
      <c r="L959" s="25"/>
      <c r="M959" s="25"/>
      <c r="N959" s="25"/>
      <c r="O959" s="25"/>
      <c r="P959" s="25"/>
      <c r="Q959" s="25"/>
      <c r="R959" s="25"/>
      <c r="S959" s="25"/>
      <c r="T959" s="25"/>
      <c r="U959" s="25"/>
      <c r="V959" s="25"/>
      <c r="W959" s="25"/>
      <c r="X959" s="25"/>
      <c r="Y959" s="25"/>
      <c r="Z959" s="25"/>
      <c r="AA959" s="25"/>
      <c r="AB959" s="25"/>
      <c r="AC959" s="25"/>
      <c r="AD959" s="25"/>
    </row>
    <row r="960" spans="1:30" ht="15.75" customHeight="1">
      <c r="A960" s="25"/>
      <c r="B960" s="25"/>
      <c r="C960" s="25"/>
      <c r="D960" s="25"/>
      <c r="E960" s="25"/>
      <c r="F960" s="25"/>
      <c r="G960" s="25"/>
      <c r="H960" s="25"/>
      <c r="I960" s="40"/>
      <c r="J960" s="25"/>
      <c r="K960" s="25"/>
      <c r="L960" s="25"/>
      <c r="M960" s="25"/>
      <c r="N960" s="25"/>
      <c r="O960" s="25"/>
      <c r="P960" s="25"/>
      <c r="Q960" s="25"/>
      <c r="R960" s="25"/>
      <c r="S960" s="25"/>
      <c r="T960" s="25"/>
      <c r="U960" s="25"/>
      <c r="V960" s="25"/>
      <c r="W960" s="25"/>
      <c r="X960" s="25"/>
      <c r="Y960" s="25"/>
      <c r="Z960" s="25"/>
      <c r="AA960" s="25"/>
      <c r="AB960" s="25"/>
      <c r="AC960" s="25"/>
      <c r="AD960" s="25"/>
    </row>
    <row r="961" spans="1:30" ht="15.75" customHeight="1">
      <c r="A961" s="25"/>
      <c r="B961" s="25"/>
      <c r="C961" s="25"/>
      <c r="D961" s="25"/>
      <c r="E961" s="25"/>
      <c r="F961" s="25"/>
      <c r="G961" s="25"/>
      <c r="H961" s="25"/>
      <c r="I961" s="40"/>
      <c r="J961" s="25"/>
      <c r="K961" s="25"/>
      <c r="L961" s="25"/>
      <c r="M961" s="25"/>
      <c r="N961" s="25"/>
      <c r="O961" s="25"/>
      <c r="P961" s="25"/>
      <c r="Q961" s="25"/>
      <c r="R961" s="25"/>
      <c r="S961" s="25"/>
      <c r="T961" s="25"/>
      <c r="U961" s="25"/>
      <c r="V961" s="25"/>
      <c r="W961" s="25"/>
      <c r="X961" s="25"/>
      <c r="Y961" s="25"/>
      <c r="Z961" s="25"/>
      <c r="AA961" s="25"/>
      <c r="AB961" s="25"/>
      <c r="AC961" s="25"/>
      <c r="AD961" s="25"/>
    </row>
    <row r="962" spans="1:30" ht="15.75" customHeight="1">
      <c r="A962" s="25"/>
      <c r="B962" s="25"/>
      <c r="C962" s="25"/>
      <c r="D962" s="25"/>
      <c r="E962" s="25"/>
      <c r="F962" s="25"/>
      <c r="G962" s="25"/>
      <c r="H962" s="25"/>
      <c r="I962" s="40"/>
      <c r="J962" s="25"/>
      <c r="K962" s="25"/>
      <c r="L962" s="25"/>
      <c r="M962" s="25"/>
      <c r="N962" s="25"/>
      <c r="O962" s="25"/>
      <c r="P962" s="25"/>
      <c r="Q962" s="25"/>
      <c r="R962" s="25"/>
      <c r="S962" s="25"/>
      <c r="T962" s="25"/>
      <c r="U962" s="25"/>
      <c r="V962" s="25"/>
      <c r="W962" s="25"/>
      <c r="X962" s="25"/>
      <c r="Y962" s="25"/>
      <c r="Z962" s="25"/>
      <c r="AA962" s="25"/>
      <c r="AB962" s="25"/>
      <c r="AC962" s="25"/>
      <c r="AD962" s="25"/>
    </row>
    <row r="963" spans="1:30" ht="15.75" customHeight="1">
      <c r="A963" s="25"/>
      <c r="B963" s="25"/>
      <c r="C963" s="25"/>
      <c r="D963" s="25"/>
      <c r="E963" s="25"/>
      <c r="F963" s="25"/>
      <c r="G963" s="25"/>
      <c r="H963" s="25"/>
      <c r="I963" s="40"/>
      <c r="J963" s="25"/>
      <c r="K963" s="25"/>
      <c r="L963" s="25"/>
      <c r="M963" s="25"/>
      <c r="N963" s="25"/>
      <c r="O963" s="25"/>
      <c r="P963" s="25"/>
      <c r="Q963" s="25"/>
      <c r="R963" s="25"/>
      <c r="S963" s="25"/>
      <c r="T963" s="25"/>
      <c r="U963" s="25"/>
      <c r="V963" s="25"/>
      <c r="W963" s="25"/>
      <c r="X963" s="25"/>
      <c r="Y963" s="25"/>
      <c r="Z963" s="25"/>
      <c r="AA963" s="25"/>
      <c r="AB963" s="25"/>
      <c r="AC963" s="25"/>
      <c r="AD963" s="25"/>
    </row>
    <row r="964" spans="1:30" ht="15.75" customHeight="1">
      <c r="A964" s="25"/>
      <c r="B964" s="25"/>
      <c r="C964" s="25"/>
      <c r="D964" s="25"/>
      <c r="E964" s="25"/>
      <c r="F964" s="25"/>
      <c r="G964" s="25"/>
      <c r="H964" s="25"/>
      <c r="I964" s="40"/>
      <c r="J964" s="25"/>
      <c r="K964" s="25"/>
      <c r="L964" s="25"/>
      <c r="M964" s="25"/>
      <c r="N964" s="25"/>
      <c r="O964" s="25"/>
      <c r="P964" s="25"/>
      <c r="Q964" s="25"/>
      <c r="R964" s="25"/>
      <c r="S964" s="25"/>
      <c r="T964" s="25"/>
      <c r="U964" s="25"/>
      <c r="V964" s="25"/>
      <c r="W964" s="25"/>
      <c r="X964" s="25"/>
      <c r="Y964" s="25"/>
      <c r="Z964" s="25"/>
      <c r="AA964" s="25"/>
      <c r="AB964" s="25"/>
      <c r="AC964" s="25"/>
      <c r="AD964" s="25"/>
    </row>
    <row r="965" spans="1:30" ht="15.75" customHeight="1">
      <c r="A965" s="25"/>
      <c r="B965" s="25"/>
      <c r="C965" s="25"/>
      <c r="D965" s="25"/>
      <c r="E965" s="25"/>
      <c r="F965" s="25"/>
      <c r="G965" s="25"/>
      <c r="H965" s="25"/>
      <c r="I965" s="40"/>
      <c r="J965" s="25"/>
      <c r="K965" s="25"/>
      <c r="L965" s="25"/>
      <c r="M965" s="25"/>
      <c r="N965" s="25"/>
      <c r="O965" s="25"/>
      <c r="P965" s="25"/>
      <c r="Q965" s="25"/>
      <c r="R965" s="25"/>
      <c r="S965" s="25"/>
      <c r="T965" s="25"/>
      <c r="U965" s="25"/>
      <c r="V965" s="25"/>
      <c r="W965" s="25"/>
      <c r="X965" s="25"/>
      <c r="Y965" s="25"/>
      <c r="Z965" s="25"/>
      <c r="AA965" s="25"/>
      <c r="AB965" s="25"/>
      <c r="AC965" s="25"/>
      <c r="AD965" s="25"/>
    </row>
    <row r="966" spans="1:30" ht="15.75" customHeight="1">
      <c r="A966" s="25"/>
      <c r="B966" s="25"/>
      <c r="C966" s="25"/>
      <c r="D966" s="25"/>
      <c r="E966" s="25"/>
      <c r="F966" s="25"/>
      <c r="G966" s="25"/>
      <c r="H966" s="25"/>
      <c r="I966" s="40"/>
      <c r="J966" s="25"/>
      <c r="K966" s="25"/>
      <c r="L966" s="25"/>
      <c r="M966" s="25"/>
      <c r="N966" s="25"/>
      <c r="O966" s="25"/>
      <c r="P966" s="25"/>
      <c r="Q966" s="25"/>
      <c r="R966" s="25"/>
      <c r="S966" s="25"/>
      <c r="T966" s="25"/>
      <c r="U966" s="25"/>
      <c r="V966" s="25"/>
      <c r="W966" s="25"/>
      <c r="X966" s="25"/>
      <c r="Y966" s="25"/>
      <c r="Z966" s="25"/>
      <c r="AA966" s="25"/>
      <c r="AB966" s="25"/>
      <c r="AC966" s="25"/>
      <c r="AD966" s="25"/>
    </row>
    <row r="967" spans="1:30" ht="15.75" customHeight="1">
      <c r="A967" s="25"/>
      <c r="B967" s="25"/>
      <c r="C967" s="25"/>
      <c r="D967" s="25"/>
      <c r="E967" s="25"/>
      <c r="F967" s="25"/>
      <c r="G967" s="25"/>
      <c r="H967" s="25"/>
      <c r="I967" s="40"/>
      <c r="J967" s="25"/>
      <c r="K967" s="25"/>
      <c r="L967" s="25"/>
      <c r="M967" s="25"/>
      <c r="N967" s="25"/>
      <c r="O967" s="25"/>
      <c r="P967" s="25"/>
      <c r="Q967" s="25"/>
      <c r="R967" s="25"/>
      <c r="S967" s="25"/>
      <c r="T967" s="25"/>
      <c r="U967" s="25"/>
      <c r="V967" s="25"/>
      <c r="W967" s="25"/>
      <c r="X967" s="25"/>
      <c r="Y967" s="25"/>
      <c r="Z967" s="25"/>
      <c r="AA967" s="25"/>
      <c r="AB967" s="25"/>
      <c r="AC967" s="25"/>
      <c r="AD967" s="25"/>
    </row>
    <row r="968" spans="1:30" ht="15.75" customHeight="1">
      <c r="A968" s="25"/>
      <c r="B968" s="25"/>
      <c r="C968" s="25"/>
      <c r="D968" s="25"/>
      <c r="E968" s="25"/>
      <c r="F968" s="25"/>
      <c r="G968" s="25"/>
      <c r="H968" s="25"/>
      <c r="I968" s="40"/>
      <c r="J968" s="25"/>
      <c r="K968" s="25"/>
      <c r="L968" s="25"/>
      <c r="M968" s="25"/>
      <c r="N968" s="25"/>
      <c r="O968" s="25"/>
      <c r="P968" s="25"/>
      <c r="Q968" s="25"/>
      <c r="R968" s="25"/>
      <c r="S968" s="25"/>
      <c r="T968" s="25"/>
      <c r="U968" s="25"/>
      <c r="V968" s="25"/>
      <c r="W968" s="25"/>
      <c r="X968" s="25"/>
      <c r="Y968" s="25"/>
      <c r="Z968" s="25"/>
      <c r="AA968" s="25"/>
      <c r="AB968" s="25"/>
      <c r="AC968" s="25"/>
      <c r="AD968" s="25"/>
    </row>
    <row r="969" spans="1:30" ht="15.75" customHeight="1">
      <c r="A969" s="25"/>
      <c r="B969" s="25"/>
      <c r="C969" s="25"/>
      <c r="D969" s="25"/>
      <c r="E969" s="25"/>
      <c r="F969" s="25"/>
      <c r="G969" s="25"/>
      <c r="H969" s="25"/>
      <c r="I969" s="40"/>
      <c r="J969" s="25"/>
      <c r="K969" s="25"/>
      <c r="L969" s="25"/>
      <c r="M969" s="25"/>
      <c r="N969" s="25"/>
      <c r="O969" s="25"/>
      <c r="P969" s="25"/>
      <c r="Q969" s="25"/>
      <c r="R969" s="25"/>
      <c r="S969" s="25"/>
      <c r="T969" s="25"/>
      <c r="U969" s="25"/>
      <c r="V969" s="25"/>
      <c r="W969" s="25"/>
      <c r="X969" s="25"/>
      <c r="Y969" s="25"/>
      <c r="Z969" s="25"/>
      <c r="AA969" s="25"/>
      <c r="AB969" s="25"/>
      <c r="AC969" s="25"/>
      <c r="AD969" s="25"/>
    </row>
    <row r="970" spans="1:30" ht="15.75" customHeight="1">
      <c r="A970" s="25"/>
      <c r="B970" s="25"/>
      <c r="C970" s="25"/>
      <c r="D970" s="25"/>
      <c r="E970" s="25"/>
      <c r="F970" s="25"/>
      <c r="G970" s="25"/>
      <c r="H970" s="25"/>
      <c r="I970" s="40"/>
      <c r="J970" s="25"/>
      <c r="K970" s="25"/>
      <c r="L970" s="25"/>
      <c r="M970" s="25"/>
      <c r="N970" s="25"/>
      <c r="O970" s="25"/>
      <c r="P970" s="25"/>
      <c r="Q970" s="25"/>
      <c r="R970" s="25"/>
      <c r="S970" s="25"/>
      <c r="T970" s="25"/>
      <c r="U970" s="25"/>
      <c r="V970" s="25"/>
      <c r="W970" s="25"/>
      <c r="X970" s="25"/>
      <c r="Y970" s="25"/>
      <c r="Z970" s="25"/>
      <c r="AA970" s="25"/>
      <c r="AB970" s="25"/>
      <c r="AC970" s="25"/>
      <c r="AD970" s="25"/>
    </row>
    <row r="971" spans="1:30" ht="15.75" customHeight="1">
      <c r="A971" s="25"/>
      <c r="B971" s="25"/>
      <c r="C971" s="25"/>
      <c r="D971" s="25"/>
      <c r="E971" s="25"/>
      <c r="F971" s="25"/>
      <c r="G971" s="25"/>
      <c r="H971" s="25"/>
      <c r="I971" s="40"/>
      <c r="J971" s="25"/>
      <c r="K971" s="25"/>
      <c r="L971" s="25"/>
      <c r="M971" s="25"/>
      <c r="N971" s="25"/>
      <c r="O971" s="25"/>
      <c r="P971" s="25"/>
      <c r="Q971" s="25"/>
      <c r="R971" s="25"/>
      <c r="S971" s="25"/>
      <c r="T971" s="25"/>
      <c r="U971" s="25"/>
      <c r="V971" s="25"/>
      <c r="W971" s="25"/>
      <c r="X971" s="25"/>
      <c r="Y971" s="25"/>
      <c r="Z971" s="25"/>
      <c r="AA971" s="25"/>
      <c r="AB971" s="25"/>
      <c r="AC971" s="25"/>
      <c r="AD971" s="25"/>
    </row>
    <row r="972" spans="1:30" ht="15.75" customHeight="1">
      <c r="A972" s="25"/>
      <c r="B972" s="25"/>
      <c r="C972" s="25"/>
      <c r="D972" s="25"/>
      <c r="E972" s="25"/>
      <c r="F972" s="25"/>
      <c r="G972" s="25"/>
      <c r="H972" s="25"/>
      <c r="I972" s="40"/>
      <c r="J972" s="25"/>
      <c r="K972" s="25"/>
      <c r="L972" s="25"/>
      <c r="M972" s="25"/>
      <c r="N972" s="25"/>
      <c r="O972" s="25"/>
      <c r="P972" s="25"/>
      <c r="Q972" s="25"/>
      <c r="R972" s="25"/>
      <c r="S972" s="25"/>
      <c r="T972" s="25"/>
      <c r="U972" s="25"/>
      <c r="V972" s="25"/>
      <c r="W972" s="25"/>
      <c r="X972" s="25"/>
      <c r="Y972" s="25"/>
      <c r="Z972" s="25"/>
      <c r="AA972" s="25"/>
      <c r="AB972" s="25"/>
      <c r="AC972" s="25"/>
      <c r="AD972" s="25"/>
    </row>
    <row r="973" spans="1:30" ht="15.75" customHeight="1">
      <c r="A973" s="25"/>
      <c r="B973" s="25"/>
      <c r="C973" s="25"/>
      <c r="D973" s="25"/>
      <c r="E973" s="25"/>
      <c r="F973" s="25"/>
      <c r="G973" s="25"/>
      <c r="H973" s="25"/>
      <c r="I973" s="40"/>
      <c r="J973" s="25"/>
      <c r="K973" s="25"/>
      <c r="L973" s="25"/>
      <c r="M973" s="25"/>
      <c r="N973" s="25"/>
      <c r="O973" s="25"/>
      <c r="P973" s="25"/>
      <c r="Q973" s="25"/>
      <c r="R973" s="25"/>
      <c r="S973" s="25"/>
      <c r="T973" s="25"/>
      <c r="U973" s="25"/>
      <c r="V973" s="25"/>
      <c r="W973" s="25"/>
      <c r="X973" s="25"/>
      <c r="Y973" s="25"/>
      <c r="Z973" s="25"/>
      <c r="AA973" s="25"/>
      <c r="AB973" s="25"/>
      <c r="AC973" s="25"/>
      <c r="AD973" s="25"/>
    </row>
    <row r="974" spans="1:30" ht="15.75" customHeight="1">
      <c r="A974" s="25"/>
      <c r="B974" s="25"/>
      <c r="C974" s="25"/>
      <c r="D974" s="25"/>
      <c r="E974" s="25"/>
      <c r="F974" s="25"/>
      <c r="G974" s="25"/>
      <c r="H974" s="25"/>
      <c r="I974" s="40"/>
      <c r="J974" s="25"/>
      <c r="K974" s="25"/>
      <c r="L974" s="25"/>
      <c r="M974" s="25"/>
      <c r="N974" s="25"/>
      <c r="O974" s="25"/>
      <c r="P974" s="25"/>
      <c r="Q974" s="25"/>
      <c r="R974" s="25"/>
      <c r="S974" s="25"/>
      <c r="T974" s="25"/>
      <c r="U974" s="25"/>
      <c r="V974" s="25"/>
      <c r="W974" s="25"/>
      <c r="X974" s="25"/>
      <c r="Y974" s="25"/>
      <c r="Z974" s="25"/>
      <c r="AA974" s="25"/>
      <c r="AB974" s="25"/>
      <c r="AC974" s="25"/>
      <c r="AD974" s="25"/>
    </row>
    <row r="975" spans="1:30" ht="15.75" customHeight="1">
      <c r="A975" s="25"/>
      <c r="B975" s="25"/>
      <c r="C975" s="25"/>
      <c r="D975" s="25"/>
      <c r="E975" s="25"/>
      <c r="F975" s="25"/>
      <c r="G975" s="25"/>
      <c r="H975" s="25"/>
      <c r="I975" s="40"/>
      <c r="J975" s="25"/>
      <c r="K975" s="25"/>
      <c r="L975" s="25"/>
      <c r="M975" s="25"/>
      <c r="N975" s="25"/>
      <c r="O975" s="25"/>
      <c r="P975" s="25"/>
      <c r="Q975" s="25"/>
      <c r="R975" s="25"/>
      <c r="S975" s="25"/>
      <c r="T975" s="25"/>
      <c r="U975" s="25"/>
      <c r="V975" s="25"/>
      <c r="W975" s="25"/>
      <c r="X975" s="25"/>
      <c r="Y975" s="25"/>
      <c r="Z975" s="25"/>
      <c r="AA975" s="25"/>
      <c r="AB975" s="25"/>
      <c r="AC975" s="25"/>
      <c r="AD975" s="25"/>
    </row>
    <row r="976" spans="1:30" ht="15.75" customHeight="1">
      <c r="A976" s="25"/>
      <c r="B976" s="25"/>
      <c r="C976" s="25"/>
      <c r="D976" s="25"/>
      <c r="E976" s="25"/>
      <c r="F976" s="25"/>
      <c r="G976" s="25"/>
      <c r="H976" s="25"/>
      <c r="I976" s="40"/>
      <c r="J976" s="25"/>
      <c r="K976" s="25"/>
      <c r="L976" s="25"/>
      <c r="M976" s="25"/>
      <c r="N976" s="25"/>
      <c r="O976" s="25"/>
      <c r="P976" s="25"/>
      <c r="Q976" s="25"/>
      <c r="R976" s="25"/>
      <c r="S976" s="25"/>
      <c r="T976" s="25"/>
      <c r="U976" s="25"/>
      <c r="V976" s="25"/>
      <c r="W976" s="25"/>
      <c r="X976" s="25"/>
      <c r="Y976" s="25"/>
      <c r="Z976" s="25"/>
      <c r="AA976" s="25"/>
      <c r="AB976" s="25"/>
      <c r="AC976" s="25"/>
      <c r="AD976" s="25"/>
    </row>
    <row r="977" spans="1:30" ht="15.75" customHeight="1">
      <c r="A977" s="25"/>
      <c r="B977" s="25"/>
      <c r="C977" s="25"/>
      <c r="D977" s="25"/>
      <c r="E977" s="25"/>
      <c r="F977" s="25"/>
      <c r="G977" s="25"/>
      <c r="H977" s="25"/>
      <c r="I977" s="40"/>
      <c r="J977" s="25"/>
      <c r="K977" s="25"/>
      <c r="L977" s="25"/>
      <c r="M977" s="25"/>
      <c r="N977" s="25"/>
      <c r="O977" s="25"/>
      <c r="P977" s="25"/>
      <c r="Q977" s="25"/>
      <c r="R977" s="25"/>
      <c r="S977" s="25"/>
      <c r="T977" s="25"/>
      <c r="U977" s="25"/>
      <c r="V977" s="25"/>
      <c r="W977" s="25"/>
      <c r="X977" s="25"/>
      <c r="Y977" s="25"/>
      <c r="Z977" s="25"/>
      <c r="AA977" s="25"/>
      <c r="AB977" s="25"/>
      <c r="AC977" s="25"/>
      <c r="AD977" s="25"/>
    </row>
    <row r="978" spans="1:30" ht="15.75" customHeight="1">
      <c r="A978" s="25"/>
      <c r="B978" s="25"/>
      <c r="C978" s="25"/>
      <c r="D978" s="25"/>
      <c r="E978" s="25"/>
      <c r="F978" s="25"/>
      <c r="G978" s="25"/>
      <c r="H978" s="25"/>
      <c r="I978" s="40"/>
      <c r="J978" s="25"/>
      <c r="K978" s="25"/>
      <c r="L978" s="25"/>
      <c r="M978" s="25"/>
      <c r="N978" s="25"/>
      <c r="O978" s="25"/>
      <c r="P978" s="25"/>
      <c r="Q978" s="25"/>
      <c r="R978" s="25"/>
      <c r="S978" s="25"/>
      <c r="T978" s="25"/>
      <c r="U978" s="25"/>
      <c r="V978" s="25"/>
      <c r="W978" s="25"/>
      <c r="X978" s="25"/>
      <c r="Y978" s="25"/>
      <c r="Z978" s="25"/>
      <c r="AA978" s="25"/>
      <c r="AB978" s="25"/>
      <c r="AC978" s="25"/>
      <c r="AD978" s="25"/>
    </row>
    <row r="979" spans="1:30" ht="15.75" customHeight="1">
      <c r="A979" s="25"/>
      <c r="B979" s="25"/>
      <c r="C979" s="25"/>
      <c r="D979" s="25"/>
      <c r="E979" s="25"/>
      <c r="F979" s="25"/>
      <c r="G979" s="25"/>
      <c r="H979" s="25"/>
      <c r="I979" s="40"/>
      <c r="J979" s="25"/>
      <c r="K979" s="25"/>
      <c r="L979" s="25"/>
      <c r="M979" s="25"/>
      <c r="N979" s="25"/>
      <c r="O979" s="25"/>
      <c r="P979" s="25"/>
      <c r="Q979" s="25"/>
      <c r="R979" s="25"/>
      <c r="S979" s="25"/>
      <c r="T979" s="25"/>
      <c r="U979" s="25"/>
      <c r="V979" s="25"/>
      <c r="W979" s="25"/>
      <c r="X979" s="25"/>
      <c r="Y979" s="25"/>
      <c r="Z979" s="25"/>
      <c r="AA979" s="25"/>
      <c r="AB979" s="25"/>
      <c r="AC979" s="25"/>
      <c r="AD979" s="25"/>
    </row>
    <row r="980" spans="1:30" ht="15.75" customHeight="1">
      <c r="A980" s="25"/>
      <c r="B980" s="25"/>
      <c r="C980" s="25"/>
      <c r="D980" s="25"/>
      <c r="E980" s="25"/>
      <c r="F980" s="25"/>
      <c r="G980" s="25"/>
      <c r="H980" s="25"/>
      <c r="I980" s="40"/>
      <c r="J980" s="25"/>
      <c r="K980" s="25"/>
      <c r="L980" s="25"/>
      <c r="M980" s="25"/>
      <c r="N980" s="25"/>
      <c r="O980" s="25"/>
      <c r="P980" s="25"/>
      <c r="Q980" s="25"/>
      <c r="R980" s="25"/>
      <c r="S980" s="25"/>
      <c r="T980" s="25"/>
      <c r="U980" s="25"/>
      <c r="V980" s="25"/>
      <c r="W980" s="25"/>
      <c r="X980" s="25"/>
      <c r="Y980" s="25"/>
      <c r="Z980" s="25"/>
      <c r="AA980" s="25"/>
      <c r="AB980" s="25"/>
      <c r="AC980" s="25"/>
      <c r="AD980" s="25"/>
    </row>
    <row r="981" spans="1:30" ht="15.75" customHeight="1">
      <c r="A981" s="25"/>
      <c r="B981" s="25"/>
      <c r="C981" s="25"/>
      <c r="D981" s="25"/>
      <c r="E981" s="25"/>
      <c r="F981" s="25"/>
      <c r="G981" s="25"/>
      <c r="H981" s="25"/>
      <c r="I981" s="40"/>
      <c r="J981" s="25"/>
      <c r="K981" s="25"/>
      <c r="L981" s="25"/>
      <c r="M981" s="25"/>
      <c r="N981" s="25"/>
      <c r="O981" s="25"/>
      <c r="P981" s="25"/>
      <c r="Q981" s="25"/>
      <c r="R981" s="25"/>
      <c r="S981" s="25"/>
      <c r="T981" s="25"/>
      <c r="U981" s="25"/>
      <c r="V981" s="25"/>
      <c r="W981" s="25"/>
      <c r="X981" s="25"/>
      <c r="Y981" s="25"/>
      <c r="Z981" s="25"/>
      <c r="AA981" s="25"/>
      <c r="AB981" s="25"/>
      <c r="AC981" s="25"/>
      <c r="AD981" s="25"/>
    </row>
    <row r="982" spans="1:30" ht="15.75" customHeight="1">
      <c r="A982" s="25"/>
      <c r="B982" s="25"/>
      <c r="C982" s="25"/>
      <c r="D982" s="25"/>
      <c r="E982" s="25"/>
      <c r="F982" s="25"/>
      <c r="G982" s="25"/>
      <c r="H982" s="25"/>
      <c r="I982" s="40"/>
      <c r="J982" s="25"/>
      <c r="K982" s="25"/>
      <c r="L982" s="25"/>
      <c r="M982" s="25"/>
      <c r="N982" s="25"/>
      <c r="O982" s="25"/>
      <c r="P982" s="25"/>
      <c r="Q982" s="25"/>
      <c r="R982" s="25"/>
      <c r="S982" s="25"/>
      <c r="T982" s="25"/>
      <c r="U982" s="25"/>
      <c r="V982" s="25"/>
      <c r="W982" s="25"/>
      <c r="X982" s="25"/>
      <c r="Y982" s="25"/>
      <c r="Z982" s="25"/>
      <c r="AA982" s="25"/>
      <c r="AB982" s="25"/>
      <c r="AC982" s="25"/>
      <c r="AD982" s="25"/>
    </row>
    <row r="983" spans="1:30" ht="15.75" customHeight="1">
      <c r="A983" s="25"/>
      <c r="B983" s="25"/>
      <c r="C983" s="25"/>
      <c r="D983" s="25"/>
      <c r="E983" s="25"/>
      <c r="F983" s="25"/>
      <c r="G983" s="25"/>
      <c r="H983" s="25"/>
      <c r="I983" s="40"/>
      <c r="J983" s="25"/>
      <c r="K983" s="25"/>
      <c r="L983" s="25"/>
      <c r="M983" s="25"/>
      <c r="N983" s="25"/>
      <c r="O983" s="25"/>
      <c r="P983" s="25"/>
      <c r="Q983" s="25"/>
      <c r="R983" s="25"/>
      <c r="S983" s="25"/>
      <c r="T983" s="25"/>
      <c r="U983" s="25"/>
      <c r="V983" s="25"/>
      <c r="W983" s="25"/>
      <c r="X983" s="25"/>
      <c r="Y983" s="25"/>
      <c r="Z983" s="25"/>
      <c r="AA983" s="25"/>
      <c r="AB983" s="25"/>
      <c r="AC983" s="25"/>
      <c r="AD983" s="25"/>
    </row>
    <row r="984" spans="1:30" ht="15.75" customHeight="1">
      <c r="A984" s="25"/>
      <c r="B984" s="25"/>
      <c r="C984" s="25"/>
      <c r="D984" s="25"/>
      <c r="E984" s="25"/>
      <c r="F984" s="25"/>
      <c r="G984" s="25"/>
      <c r="H984" s="25"/>
      <c r="I984" s="40"/>
      <c r="J984" s="25"/>
      <c r="K984" s="25"/>
      <c r="L984" s="25"/>
      <c r="M984" s="25"/>
      <c r="N984" s="25"/>
      <c r="O984" s="25"/>
      <c r="P984" s="25"/>
      <c r="Q984" s="25"/>
      <c r="R984" s="25"/>
      <c r="S984" s="25"/>
      <c r="T984" s="25"/>
      <c r="U984" s="25"/>
      <c r="V984" s="25"/>
      <c r="W984" s="25"/>
      <c r="X984" s="25"/>
      <c r="Y984" s="25"/>
      <c r="Z984" s="25"/>
      <c r="AA984" s="25"/>
      <c r="AB984" s="25"/>
      <c r="AC984" s="25"/>
      <c r="AD984" s="25"/>
    </row>
    <row r="985" spans="1:30" ht="15.75" customHeight="1">
      <c r="A985" s="25"/>
      <c r="B985" s="25"/>
      <c r="C985" s="25"/>
      <c r="D985" s="25"/>
      <c r="E985" s="25"/>
      <c r="F985" s="25"/>
      <c r="G985" s="25"/>
      <c r="H985" s="25"/>
      <c r="I985" s="40"/>
      <c r="J985" s="25"/>
      <c r="K985" s="25"/>
      <c r="L985" s="25"/>
      <c r="M985" s="25"/>
      <c r="N985" s="25"/>
      <c r="O985" s="25"/>
      <c r="P985" s="25"/>
      <c r="Q985" s="25"/>
      <c r="R985" s="25"/>
      <c r="S985" s="25"/>
      <c r="T985" s="25"/>
      <c r="U985" s="25"/>
      <c r="V985" s="25"/>
      <c r="W985" s="25"/>
      <c r="X985" s="25"/>
      <c r="Y985" s="25"/>
      <c r="Z985" s="25"/>
      <c r="AA985" s="25"/>
      <c r="AB985" s="25"/>
      <c r="AC985" s="25"/>
      <c r="AD985" s="25"/>
    </row>
    <row r="986" spans="1:30" ht="15.75" customHeight="1">
      <c r="A986" s="25"/>
      <c r="B986" s="25"/>
      <c r="C986" s="25"/>
      <c r="D986" s="25"/>
      <c r="E986" s="25"/>
      <c r="F986" s="25"/>
      <c r="G986" s="25"/>
      <c r="H986" s="25"/>
      <c r="I986" s="40"/>
      <c r="J986" s="25"/>
      <c r="K986" s="25"/>
      <c r="L986" s="25"/>
      <c r="M986" s="25"/>
      <c r="N986" s="25"/>
      <c r="O986" s="25"/>
      <c r="P986" s="25"/>
      <c r="Q986" s="25"/>
      <c r="R986" s="25"/>
      <c r="S986" s="25"/>
      <c r="T986" s="25"/>
      <c r="U986" s="25"/>
      <c r="V986" s="25"/>
      <c r="W986" s="25"/>
      <c r="X986" s="25"/>
      <c r="Y986" s="25"/>
      <c r="Z986" s="25"/>
      <c r="AA986" s="25"/>
      <c r="AB986" s="25"/>
      <c r="AC986" s="25"/>
      <c r="AD986" s="25"/>
    </row>
    <row r="987" spans="1:30" ht="15.75" customHeight="1">
      <c r="A987" s="25"/>
      <c r="B987" s="25"/>
      <c r="C987" s="25"/>
      <c r="D987" s="25"/>
      <c r="E987" s="25"/>
      <c r="F987" s="25"/>
      <c r="G987" s="25"/>
      <c r="H987" s="25"/>
      <c r="I987" s="40"/>
      <c r="J987" s="25"/>
      <c r="K987" s="25"/>
      <c r="L987" s="25"/>
      <c r="M987" s="25"/>
      <c r="N987" s="25"/>
      <c r="O987" s="25"/>
      <c r="P987" s="25"/>
      <c r="Q987" s="25"/>
      <c r="R987" s="25"/>
      <c r="S987" s="25"/>
      <c r="T987" s="25"/>
      <c r="U987" s="25"/>
      <c r="V987" s="25"/>
      <c r="W987" s="25"/>
      <c r="X987" s="25"/>
      <c r="Y987" s="25"/>
      <c r="Z987" s="25"/>
      <c r="AA987" s="25"/>
      <c r="AB987" s="25"/>
      <c r="AC987" s="25"/>
      <c r="AD987" s="25"/>
    </row>
    <row r="988" spans="1:30" ht="15.75" customHeight="1">
      <c r="A988" s="25"/>
      <c r="B988" s="25"/>
      <c r="C988" s="25"/>
      <c r="D988" s="25"/>
      <c r="E988" s="25"/>
      <c r="F988" s="25"/>
      <c r="G988" s="25"/>
      <c r="H988" s="25"/>
      <c r="I988" s="40"/>
      <c r="J988" s="25"/>
      <c r="K988" s="25"/>
      <c r="L988" s="25"/>
      <c r="M988" s="25"/>
      <c r="N988" s="25"/>
      <c r="O988" s="25"/>
      <c r="P988" s="25"/>
      <c r="Q988" s="25"/>
      <c r="R988" s="25"/>
      <c r="S988" s="25"/>
      <c r="T988" s="25"/>
      <c r="U988" s="25"/>
      <c r="V988" s="25"/>
      <c r="W988" s="25"/>
      <c r="X988" s="25"/>
      <c r="Y988" s="25"/>
      <c r="Z988" s="25"/>
      <c r="AA988" s="25"/>
      <c r="AB988" s="25"/>
      <c r="AC988" s="25"/>
      <c r="AD988" s="25"/>
    </row>
    <row r="989" spans="1:30" ht="15.75" customHeight="1">
      <c r="A989" s="25"/>
      <c r="B989" s="25"/>
      <c r="C989" s="25"/>
      <c r="D989" s="25"/>
      <c r="E989" s="25"/>
      <c r="F989" s="25"/>
      <c r="G989" s="25"/>
      <c r="H989" s="25"/>
      <c r="I989" s="40"/>
      <c r="J989" s="25"/>
      <c r="K989" s="25"/>
      <c r="L989" s="25"/>
      <c r="M989" s="25"/>
      <c r="N989" s="25"/>
      <c r="O989" s="25"/>
      <c r="P989" s="25"/>
      <c r="Q989" s="25"/>
      <c r="R989" s="25"/>
      <c r="S989" s="25"/>
      <c r="T989" s="25"/>
      <c r="U989" s="25"/>
      <c r="V989" s="25"/>
      <c r="W989" s="25"/>
      <c r="X989" s="25"/>
      <c r="Y989" s="25"/>
      <c r="Z989" s="25"/>
      <c r="AA989" s="25"/>
      <c r="AB989" s="25"/>
      <c r="AC989" s="25"/>
      <c r="AD989" s="25"/>
    </row>
    <row r="990" spans="1:30" ht="15.75" customHeight="1">
      <c r="A990" s="25"/>
      <c r="B990" s="25"/>
      <c r="C990" s="25"/>
      <c r="D990" s="25"/>
      <c r="E990" s="25"/>
      <c r="F990" s="25"/>
      <c r="G990" s="25"/>
      <c r="H990" s="25"/>
      <c r="I990" s="40"/>
      <c r="J990" s="25"/>
      <c r="K990" s="25"/>
      <c r="L990" s="25"/>
      <c r="M990" s="25"/>
      <c r="N990" s="25"/>
      <c r="O990" s="25"/>
      <c r="P990" s="25"/>
      <c r="Q990" s="25"/>
      <c r="R990" s="25"/>
      <c r="S990" s="25"/>
      <c r="T990" s="25"/>
      <c r="U990" s="25"/>
      <c r="V990" s="25"/>
      <c r="W990" s="25"/>
      <c r="X990" s="25"/>
      <c r="Y990" s="25"/>
      <c r="Z990" s="25"/>
      <c r="AA990" s="25"/>
      <c r="AB990" s="25"/>
      <c r="AC990" s="25"/>
      <c r="AD990" s="25"/>
    </row>
    <row r="991" spans="1:30" ht="15.75" customHeight="1">
      <c r="A991" s="25"/>
      <c r="B991" s="25"/>
      <c r="C991" s="25"/>
      <c r="D991" s="25"/>
      <c r="E991" s="25"/>
      <c r="F991" s="25"/>
      <c r="G991" s="25"/>
      <c r="H991" s="25"/>
      <c r="I991" s="40"/>
      <c r="J991" s="25"/>
      <c r="K991" s="25"/>
      <c r="L991" s="25"/>
      <c r="M991" s="25"/>
      <c r="N991" s="25"/>
      <c r="O991" s="25"/>
      <c r="P991" s="25"/>
      <c r="Q991" s="25"/>
      <c r="R991" s="25"/>
      <c r="S991" s="25"/>
      <c r="T991" s="25"/>
      <c r="U991" s="25"/>
      <c r="V991" s="25"/>
      <c r="W991" s="25"/>
      <c r="X991" s="25"/>
      <c r="Y991" s="25"/>
      <c r="Z991" s="25"/>
      <c r="AA991" s="25"/>
      <c r="AB991" s="25"/>
      <c r="AC991" s="25"/>
      <c r="AD991" s="25"/>
    </row>
    <row r="992" spans="1:30" ht="15.75" customHeight="1">
      <c r="A992" s="25"/>
      <c r="B992" s="25"/>
      <c r="C992" s="25"/>
      <c r="D992" s="25"/>
      <c r="E992" s="25"/>
      <c r="F992" s="25"/>
      <c r="G992" s="25"/>
      <c r="H992" s="25"/>
      <c r="I992" s="40"/>
      <c r="J992" s="25"/>
      <c r="K992" s="25"/>
      <c r="L992" s="25"/>
      <c r="M992" s="25"/>
      <c r="N992" s="25"/>
      <c r="O992" s="25"/>
      <c r="P992" s="25"/>
      <c r="Q992" s="25"/>
      <c r="R992" s="25"/>
      <c r="S992" s="25"/>
      <c r="T992" s="25"/>
      <c r="U992" s="25"/>
      <c r="V992" s="25"/>
      <c r="W992" s="25"/>
      <c r="X992" s="25"/>
      <c r="Y992" s="25"/>
      <c r="Z992" s="25"/>
      <c r="AA992" s="25"/>
      <c r="AB992" s="25"/>
      <c r="AC992" s="25"/>
      <c r="AD992" s="25"/>
    </row>
    <row r="993" spans="1:30" ht="15.75" customHeight="1">
      <c r="A993" s="25"/>
      <c r="B993" s="25"/>
      <c r="C993" s="25"/>
      <c r="D993" s="25"/>
      <c r="E993" s="25"/>
      <c r="F993" s="25"/>
      <c r="G993" s="25"/>
      <c r="H993" s="25"/>
      <c r="I993" s="40"/>
      <c r="J993" s="25"/>
      <c r="K993" s="25"/>
      <c r="L993" s="25"/>
      <c r="M993" s="25"/>
      <c r="N993" s="25"/>
      <c r="O993" s="25"/>
      <c r="P993" s="25"/>
      <c r="Q993" s="25"/>
      <c r="R993" s="25"/>
      <c r="S993" s="25"/>
      <c r="T993" s="25"/>
      <c r="U993" s="25"/>
      <c r="V993" s="25"/>
      <c r="W993" s="25"/>
      <c r="X993" s="25"/>
      <c r="Y993" s="25"/>
      <c r="Z993" s="25"/>
      <c r="AA993" s="25"/>
      <c r="AB993" s="25"/>
      <c r="AC993" s="25"/>
      <c r="AD993" s="25"/>
    </row>
    <row r="994" spans="1:30" ht="15.75" customHeight="1">
      <c r="A994" s="25"/>
      <c r="B994" s="25"/>
      <c r="C994" s="25"/>
      <c r="D994" s="25"/>
      <c r="E994" s="25"/>
      <c r="F994" s="25"/>
      <c r="G994" s="25"/>
      <c r="H994" s="25"/>
      <c r="I994" s="40"/>
      <c r="J994" s="25"/>
      <c r="K994" s="25"/>
      <c r="L994" s="25"/>
      <c r="M994" s="25"/>
      <c r="N994" s="25"/>
      <c r="O994" s="25"/>
      <c r="P994" s="25"/>
      <c r="Q994" s="25"/>
      <c r="R994" s="25"/>
      <c r="S994" s="25"/>
      <c r="T994" s="25"/>
      <c r="U994" s="25"/>
      <c r="V994" s="25"/>
      <c r="W994" s="25"/>
      <c r="X994" s="25"/>
      <c r="Y994" s="25"/>
      <c r="Z994" s="25"/>
      <c r="AA994" s="25"/>
      <c r="AB994" s="25"/>
      <c r="AC994" s="25"/>
      <c r="AD994" s="25"/>
    </row>
    <row r="995" spans="1:30" ht="15.75" customHeight="1">
      <c r="A995" s="25"/>
      <c r="B995" s="25"/>
      <c r="C995" s="25"/>
      <c r="D995" s="25"/>
      <c r="E995" s="25"/>
      <c r="F995" s="25"/>
      <c r="G995" s="25"/>
      <c r="H995" s="25"/>
      <c r="I995" s="40"/>
      <c r="J995" s="25"/>
      <c r="K995" s="25"/>
      <c r="L995" s="25"/>
      <c r="M995" s="25"/>
      <c r="N995" s="25"/>
      <c r="O995" s="25"/>
      <c r="P995" s="25"/>
      <c r="Q995" s="25"/>
      <c r="R995" s="25"/>
      <c r="S995" s="25"/>
      <c r="T995" s="25"/>
      <c r="U995" s="25"/>
      <c r="V995" s="25"/>
      <c r="W995" s="25"/>
      <c r="X995" s="25"/>
      <c r="Y995" s="25"/>
      <c r="Z995" s="25"/>
      <c r="AA995" s="25"/>
      <c r="AB995" s="25"/>
      <c r="AC995" s="25"/>
      <c r="AD995" s="25"/>
    </row>
    <row r="996" spans="1:30" ht="15.75" customHeight="1">
      <c r="A996" s="25"/>
      <c r="B996" s="25"/>
      <c r="C996" s="25"/>
      <c r="D996" s="25"/>
      <c r="E996" s="25"/>
      <c r="F996" s="25"/>
      <c r="G996" s="25"/>
      <c r="H996" s="25"/>
      <c r="I996" s="40"/>
      <c r="J996" s="25"/>
      <c r="K996" s="25"/>
      <c r="L996" s="25"/>
      <c r="M996" s="25"/>
      <c r="N996" s="25"/>
      <c r="O996" s="25"/>
      <c r="P996" s="25"/>
      <c r="Q996" s="25"/>
      <c r="R996" s="25"/>
      <c r="S996" s="25"/>
      <c r="T996" s="25"/>
      <c r="U996" s="25"/>
      <c r="V996" s="25"/>
      <c r="W996" s="25"/>
      <c r="X996" s="25"/>
      <c r="Y996" s="25"/>
      <c r="Z996" s="25"/>
      <c r="AA996" s="25"/>
      <c r="AB996" s="25"/>
      <c r="AC996" s="25"/>
      <c r="AD996" s="25"/>
    </row>
    <row r="997" spans="1:30" ht="15.75" customHeight="1">
      <c r="A997" s="25"/>
      <c r="B997" s="25"/>
      <c r="C997" s="25"/>
      <c r="D997" s="25"/>
      <c r="E997" s="25"/>
      <c r="F997" s="25"/>
      <c r="G997" s="25"/>
      <c r="H997" s="25"/>
      <c r="I997" s="40"/>
      <c r="J997" s="25"/>
      <c r="K997" s="25"/>
      <c r="L997" s="25"/>
      <c r="M997" s="25"/>
      <c r="N997" s="25"/>
      <c r="O997" s="25"/>
      <c r="P997" s="25"/>
      <c r="Q997" s="25"/>
      <c r="R997" s="25"/>
      <c r="S997" s="25"/>
      <c r="T997" s="25"/>
      <c r="U997" s="25"/>
      <c r="V997" s="25"/>
      <c r="W997" s="25"/>
      <c r="X997" s="25"/>
      <c r="Y997" s="25"/>
      <c r="Z997" s="25"/>
      <c r="AA997" s="25"/>
      <c r="AB997" s="25"/>
      <c r="AC997" s="25"/>
      <c r="AD997" s="25"/>
    </row>
    <row r="998" spans="1:30" ht="15.75" customHeight="1">
      <c r="A998" s="25"/>
      <c r="B998" s="25"/>
      <c r="C998" s="25"/>
      <c r="D998" s="25"/>
      <c r="E998" s="25"/>
      <c r="F998" s="25"/>
      <c r="G998" s="25"/>
      <c r="H998" s="25"/>
      <c r="I998" s="40"/>
      <c r="J998" s="25"/>
      <c r="K998" s="25"/>
      <c r="L998" s="25"/>
      <c r="M998" s="25"/>
      <c r="N998" s="25"/>
      <c r="O998" s="25"/>
      <c r="P998" s="25"/>
      <c r="Q998" s="25"/>
      <c r="R998" s="25"/>
      <c r="S998" s="25"/>
      <c r="T998" s="25"/>
      <c r="U998" s="25"/>
      <c r="V998" s="25"/>
      <c r="W998" s="25"/>
      <c r="X998" s="25"/>
      <c r="Y998" s="25"/>
      <c r="Z998" s="25"/>
      <c r="AA998" s="25"/>
      <c r="AB998" s="25"/>
      <c r="AC998" s="25"/>
      <c r="AD998" s="25"/>
    </row>
    <row r="999" spans="1:30" ht="15.75" customHeight="1">
      <c r="A999" s="25"/>
      <c r="B999" s="25"/>
      <c r="C999" s="25"/>
      <c r="D999" s="25"/>
      <c r="E999" s="25"/>
      <c r="F999" s="25"/>
      <c r="G999" s="25"/>
      <c r="H999" s="25"/>
      <c r="I999" s="40"/>
      <c r="J999" s="25"/>
      <c r="K999" s="25"/>
      <c r="L999" s="25"/>
      <c r="M999" s="25"/>
      <c r="N999" s="25"/>
      <c r="O999" s="25"/>
      <c r="P999" s="25"/>
      <c r="Q999" s="25"/>
      <c r="R999" s="25"/>
      <c r="S999" s="25"/>
      <c r="T999" s="25"/>
      <c r="U999" s="25"/>
      <c r="V999" s="25"/>
      <c r="W999" s="25"/>
      <c r="X999" s="25"/>
      <c r="Y999" s="25"/>
      <c r="Z999" s="25"/>
      <c r="AA999" s="25"/>
      <c r="AB999" s="25"/>
      <c r="AC999" s="25"/>
      <c r="AD999" s="25"/>
    </row>
    <row r="1000" spans="1:30" ht="15.75" customHeight="1">
      <c r="A1000" s="25"/>
      <c r="B1000" s="25"/>
      <c r="C1000" s="25"/>
      <c r="D1000" s="25"/>
      <c r="E1000" s="25"/>
      <c r="F1000" s="25"/>
      <c r="G1000" s="25"/>
      <c r="H1000" s="25"/>
      <c r="I1000" s="40"/>
      <c r="J1000" s="25"/>
      <c r="K1000" s="25"/>
      <c r="L1000" s="25"/>
      <c r="M1000" s="25"/>
      <c r="N1000" s="25"/>
      <c r="O1000" s="25"/>
      <c r="P1000" s="25"/>
      <c r="Q1000" s="25"/>
      <c r="R1000" s="25"/>
      <c r="S1000" s="25"/>
      <c r="T1000" s="25"/>
      <c r="U1000" s="25"/>
      <c r="V1000" s="25"/>
      <c r="W1000" s="25"/>
      <c r="X1000" s="25"/>
      <c r="Y1000" s="25"/>
      <c r="Z1000" s="25"/>
      <c r="AA1000" s="25"/>
      <c r="AB1000" s="25"/>
      <c r="AC1000" s="25"/>
      <c r="AD1000" s="25"/>
    </row>
    <row r="1001" spans="1:30" ht="15.75" customHeight="1">
      <c r="A1001" s="25"/>
      <c r="B1001" s="25"/>
      <c r="C1001" s="25"/>
      <c r="D1001" s="25"/>
      <c r="E1001" s="25"/>
      <c r="F1001" s="25"/>
      <c r="G1001" s="25"/>
      <c r="H1001" s="25"/>
      <c r="I1001" s="40"/>
      <c r="J1001" s="25"/>
      <c r="K1001" s="25"/>
      <c r="L1001" s="25"/>
      <c r="M1001" s="25"/>
      <c r="N1001" s="25"/>
      <c r="O1001" s="25"/>
      <c r="P1001" s="25"/>
      <c r="Q1001" s="25"/>
      <c r="R1001" s="25"/>
      <c r="S1001" s="25"/>
      <c r="T1001" s="25"/>
      <c r="U1001" s="25"/>
      <c r="V1001" s="25"/>
      <c r="W1001" s="25"/>
      <c r="X1001" s="25"/>
      <c r="Y1001" s="25"/>
      <c r="Z1001" s="25"/>
      <c r="AA1001" s="25"/>
      <c r="AB1001" s="25"/>
      <c r="AC1001" s="25"/>
      <c r="AD1001" s="25"/>
    </row>
  </sheetData>
  <conditionalFormatting sqref="K1:L1001">
    <cfRule type="notContainsBlanks" dxfId="0" priority="1">
      <formula>LEN(TRIM(K1))&gt;0</formula>
    </cfRule>
  </conditionalFormatting>
  <hyperlinks>
    <hyperlink ref="B3" r:id="rId1" xr:uid="{00000000-0004-0000-0200-000000000000}"/>
    <hyperlink ref="B4" r:id="rId2" xr:uid="{00000000-0004-0000-0200-000001000000}"/>
    <hyperlink ref="B5" r:id="rId3" xr:uid="{00000000-0004-0000-0200-000002000000}"/>
    <hyperlink ref="B6" r:id="rId4" xr:uid="{00000000-0004-0000-0200-000003000000}"/>
    <hyperlink ref="B7" r:id="rId5" xr:uid="{00000000-0004-0000-0200-000004000000}"/>
    <hyperlink ref="B8" r:id="rId6" xr:uid="{00000000-0004-0000-0200-000005000000}"/>
    <hyperlink ref="B9" r:id="rId7" xr:uid="{00000000-0004-0000-0200-000006000000}"/>
    <hyperlink ref="B10" r:id="rId8" xr:uid="{00000000-0004-0000-0200-000007000000}"/>
    <hyperlink ref="B11" r:id="rId9" xr:uid="{00000000-0004-0000-0200-000008000000}"/>
    <hyperlink ref="B12" r:id="rId10" xr:uid="{00000000-0004-0000-0200-000009000000}"/>
    <hyperlink ref="B13" r:id="rId11" xr:uid="{00000000-0004-0000-0200-00000A000000}"/>
    <hyperlink ref="B14" r:id="rId12" xr:uid="{00000000-0004-0000-0200-00000B000000}"/>
    <hyperlink ref="B15" r:id="rId13" xr:uid="{00000000-0004-0000-0200-00000C000000}"/>
    <hyperlink ref="B16" r:id="rId14" xr:uid="{00000000-0004-0000-0200-00000D000000}"/>
    <hyperlink ref="B17" r:id="rId15" xr:uid="{00000000-0004-0000-0200-00000E000000}"/>
    <hyperlink ref="B18" r:id="rId16" xr:uid="{00000000-0004-0000-0200-00000F000000}"/>
    <hyperlink ref="B19" r:id="rId17" xr:uid="{00000000-0004-0000-0200-000010000000}"/>
    <hyperlink ref="B20" r:id="rId18" xr:uid="{00000000-0004-0000-0200-000011000000}"/>
    <hyperlink ref="B21" r:id="rId19" xr:uid="{00000000-0004-0000-0200-000012000000}"/>
    <hyperlink ref="B22" r:id="rId20" xr:uid="{00000000-0004-0000-0200-000013000000}"/>
    <hyperlink ref="B23" r:id="rId21" xr:uid="{00000000-0004-0000-0200-000014000000}"/>
    <hyperlink ref="B24" r:id="rId22" xr:uid="{00000000-0004-0000-0200-000015000000}"/>
    <hyperlink ref="B25" r:id="rId23" xr:uid="{00000000-0004-0000-0200-000016000000}"/>
    <hyperlink ref="B26" r:id="rId24" xr:uid="{00000000-0004-0000-0200-000017000000}"/>
    <hyperlink ref="B27" r:id="rId25" xr:uid="{00000000-0004-0000-0200-000018000000}"/>
    <hyperlink ref="B28" r:id="rId26" xr:uid="{00000000-0004-0000-0200-000019000000}"/>
    <hyperlink ref="B29" r:id="rId27" xr:uid="{00000000-0004-0000-0200-00001A000000}"/>
    <hyperlink ref="B30" r:id="rId28" xr:uid="{00000000-0004-0000-0200-00001B000000}"/>
    <hyperlink ref="B31" r:id="rId29" xr:uid="{00000000-0004-0000-0200-00001C000000}"/>
    <hyperlink ref="B32" r:id="rId30" xr:uid="{00000000-0004-0000-0200-00001D000000}"/>
    <hyperlink ref="B33" r:id="rId31" xr:uid="{00000000-0004-0000-0200-00001E000000}"/>
    <hyperlink ref="B34" r:id="rId32" xr:uid="{00000000-0004-0000-0200-00001F000000}"/>
    <hyperlink ref="B35" r:id="rId33" xr:uid="{00000000-0004-0000-0200-000020000000}"/>
    <hyperlink ref="B36" r:id="rId34" xr:uid="{00000000-0004-0000-0200-000021000000}"/>
    <hyperlink ref="B37" r:id="rId35" xr:uid="{00000000-0004-0000-0200-000022000000}"/>
    <hyperlink ref="B38" r:id="rId36" xr:uid="{00000000-0004-0000-0200-000023000000}"/>
    <hyperlink ref="B39" r:id="rId37" xr:uid="{00000000-0004-0000-0200-000024000000}"/>
    <hyperlink ref="B40" r:id="rId38" xr:uid="{00000000-0004-0000-0200-000025000000}"/>
    <hyperlink ref="B41" r:id="rId39" xr:uid="{00000000-0004-0000-0200-000026000000}"/>
    <hyperlink ref="B42" r:id="rId40" xr:uid="{00000000-0004-0000-0200-000027000000}"/>
    <hyperlink ref="B43" r:id="rId41" xr:uid="{00000000-0004-0000-0200-000028000000}"/>
    <hyperlink ref="B44" r:id="rId42" xr:uid="{00000000-0004-0000-0200-000029000000}"/>
    <hyperlink ref="B45" r:id="rId43" xr:uid="{00000000-0004-0000-0200-00002A000000}"/>
    <hyperlink ref="B46" r:id="rId44" xr:uid="{00000000-0004-0000-0200-00002B000000}"/>
    <hyperlink ref="B47" r:id="rId45" xr:uid="{00000000-0004-0000-0200-00002C000000}"/>
    <hyperlink ref="B48" r:id="rId46" xr:uid="{00000000-0004-0000-0200-00002D000000}"/>
    <hyperlink ref="B49" r:id="rId47" xr:uid="{00000000-0004-0000-0200-00002E000000}"/>
    <hyperlink ref="B50" r:id="rId48" xr:uid="{00000000-0004-0000-0200-00002F000000}"/>
    <hyperlink ref="B51" r:id="rId49" xr:uid="{00000000-0004-0000-0200-000030000000}"/>
    <hyperlink ref="B52" r:id="rId50" xr:uid="{00000000-0004-0000-0200-000031000000}"/>
    <hyperlink ref="B53" r:id="rId51" xr:uid="{00000000-0004-0000-0200-000032000000}"/>
    <hyperlink ref="B54" r:id="rId52" xr:uid="{00000000-0004-0000-0200-000033000000}"/>
    <hyperlink ref="B55" r:id="rId53" xr:uid="{00000000-0004-0000-0200-000034000000}"/>
    <hyperlink ref="B56" r:id="rId54" xr:uid="{00000000-0004-0000-0200-000035000000}"/>
    <hyperlink ref="B57" r:id="rId55" xr:uid="{00000000-0004-0000-0200-000036000000}"/>
    <hyperlink ref="B58" r:id="rId56" xr:uid="{00000000-0004-0000-0200-000037000000}"/>
    <hyperlink ref="B59" r:id="rId57" xr:uid="{00000000-0004-0000-0200-000038000000}"/>
    <hyperlink ref="B60" r:id="rId58" xr:uid="{00000000-0004-0000-0200-000039000000}"/>
    <hyperlink ref="B61" r:id="rId59" xr:uid="{00000000-0004-0000-0200-00003A000000}"/>
    <hyperlink ref="B62" r:id="rId60" xr:uid="{00000000-0004-0000-0200-00003B000000}"/>
    <hyperlink ref="B63" r:id="rId61" xr:uid="{00000000-0004-0000-0200-00003C000000}"/>
    <hyperlink ref="B64" r:id="rId62" xr:uid="{00000000-0004-0000-0200-00003D000000}"/>
    <hyperlink ref="B65" r:id="rId63" xr:uid="{00000000-0004-0000-0200-00003E000000}"/>
    <hyperlink ref="B66" r:id="rId64" xr:uid="{00000000-0004-0000-0200-00003F000000}"/>
    <hyperlink ref="B67" r:id="rId65" xr:uid="{00000000-0004-0000-0200-000040000000}"/>
    <hyperlink ref="B68" r:id="rId66" xr:uid="{00000000-0004-0000-0200-000041000000}"/>
    <hyperlink ref="B69" r:id="rId67" xr:uid="{00000000-0004-0000-0200-000042000000}"/>
    <hyperlink ref="B70" r:id="rId68" xr:uid="{00000000-0004-0000-0200-000043000000}"/>
    <hyperlink ref="B71" r:id="rId69" xr:uid="{00000000-0004-0000-0200-000044000000}"/>
    <hyperlink ref="B72" r:id="rId70" xr:uid="{00000000-0004-0000-0200-000045000000}"/>
    <hyperlink ref="B73" r:id="rId71" xr:uid="{00000000-0004-0000-0200-000046000000}"/>
    <hyperlink ref="B74" r:id="rId72" xr:uid="{00000000-0004-0000-0200-000047000000}"/>
    <hyperlink ref="B75" r:id="rId73" xr:uid="{00000000-0004-0000-0200-000048000000}"/>
    <hyperlink ref="B76" r:id="rId74" xr:uid="{00000000-0004-0000-0200-000049000000}"/>
    <hyperlink ref="B77" r:id="rId75" xr:uid="{00000000-0004-0000-0200-00004A000000}"/>
    <hyperlink ref="B78" r:id="rId76" xr:uid="{00000000-0004-0000-0200-00004B000000}"/>
    <hyperlink ref="B79" r:id="rId77" xr:uid="{00000000-0004-0000-0200-00004C000000}"/>
    <hyperlink ref="B80" r:id="rId78" xr:uid="{00000000-0004-0000-0200-00004D000000}"/>
    <hyperlink ref="B81" r:id="rId79" xr:uid="{00000000-0004-0000-0200-00004E000000}"/>
    <hyperlink ref="B82" r:id="rId80" xr:uid="{00000000-0004-0000-0200-00004F000000}"/>
    <hyperlink ref="B83" r:id="rId81" xr:uid="{00000000-0004-0000-0200-000050000000}"/>
    <hyperlink ref="B84" r:id="rId82" xr:uid="{00000000-0004-0000-0200-000051000000}"/>
    <hyperlink ref="B85" r:id="rId83" xr:uid="{00000000-0004-0000-0200-000052000000}"/>
    <hyperlink ref="B86" r:id="rId84" xr:uid="{00000000-0004-0000-0200-000053000000}"/>
    <hyperlink ref="B87" r:id="rId85" xr:uid="{00000000-0004-0000-0200-000054000000}"/>
    <hyperlink ref="B88" r:id="rId86" xr:uid="{00000000-0004-0000-0200-000055000000}"/>
    <hyperlink ref="B89" r:id="rId87" xr:uid="{00000000-0004-0000-0200-000056000000}"/>
    <hyperlink ref="B90" r:id="rId88" xr:uid="{00000000-0004-0000-0200-000057000000}"/>
    <hyperlink ref="B91" r:id="rId89" xr:uid="{00000000-0004-0000-0200-000058000000}"/>
    <hyperlink ref="B92" r:id="rId90" xr:uid="{00000000-0004-0000-0200-000059000000}"/>
    <hyperlink ref="B93" r:id="rId91" xr:uid="{00000000-0004-0000-0200-00005A000000}"/>
    <hyperlink ref="B94" r:id="rId92" xr:uid="{00000000-0004-0000-0200-00005B000000}"/>
    <hyperlink ref="B95" r:id="rId93" xr:uid="{00000000-0004-0000-0200-00005C000000}"/>
    <hyperlink ref="B96" r:id="rId94" xr:uid="{00000000-0004-0000-0200-00005D000000}"/>
    <hyperlink ref="B97" r:id="rId95" xr:uid="{00000000-0004-0000-0200-00005E000000}"/>
    <hyperlink ref="B98" r:id="rId96" xr:uid="{00000000-0004-0000-0200-00005F000000}"/>
    <hyperlink ref="B99" r:id="rId97" xr:uid="{00000000-0004-0000-0200-000060000000}"/>
    <hyperlink ref="B100" r:id="rId98" xr:uid="{00000000-0004-0000-0200-000061000000}"/>
    <hyperlink ref="B101" r:id="rId99" xr:uid="{00000000-0004-0000-0200-000062000000}"/>
    <hyperlink ref="B102" r:id="rId100" xr:uid="{00000000-0004-0000-0200-000063000000}"/>
    <hyperlink ref="B103" r:id="rId101" xr:uid="{00000000-0004-0000-0200-000064000000}"/>
  </hyperlinks>
  <pageMargins left="0.7" right="0.7" top="0.75" bottom="0.75" header="0" footer="0"/>
  <pageSetup orientation="landscape"/>
  <drawing r:id="rId1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995"/>
  <sheetViews>
    <sheetView workbookViewId="0">
      <pane ySplit="1" topLeftCell="A2" activePane="bottomLeft" state="frozen"/>
      <selection pane="bottomLeft" activeCell="B3" sqref="B3"/>
    </sheetView>
  </sheetViews>
  <sheetFormatPr baseColWidth="10" defaultColWidth="11.1640625" defaultRowHeight="15" customHeight="1"/>
  <cols>
    <col min="1" max="1" width="26.5" customWidth="1"/>
    <col min="2" max="4" width="17.83203125" customWidth="1"/>
    <col min="5" max="5" width="33.83203125" customWidth="1"/>
    <col min="6" max="6" width="22.1640625" customWidth="1"/>
    <col min="7" max="7" width="11.5" customWidth="1"/>
    <col min="8" max="8" width="15.6640625" customWidth="1"/>
    <col min="9" max="9" width="22.1640625" customWidth="1"/>
    <col min="10" max="10" width="98.1640625" customWidth="1"/>
    <col min="11" max="11" width="23.1640625" customWidth="1"/>
    <col min="12" max="13" width="17.33203125" customWidth="1"/>
    <col min="14" max="14" width="18.5" customWidth="1"/>
    <col min="15" max="32" width="10.5" customWidth="1"/>
  </cols>
  <sheetData>
    <row r="1" spans="1:32" ht="15.75" customHeight="1">
      <c r="A1" s="41" t="s">
        <v>8</v>
      </c>
      <c r="B1" s="41" t="s">
        <v>971</v>
      </c>
      <c r="C1" s="41" t="s">
        <v>972</v>
      </c>
      <c r="D1" s="41" t="s">
        <v>9</v>
      </c>
      <c r="E1" s="41" t="s">
        <v>12</v>
      </c>
      <c r="F1" s="41" t="s">
        <v>13</v>
      </c>
      <c r="G1" s="41" t="s">
        <v>14</v>
      </c>
      <c r="H1" s="41" t="s">
        <v>973</v>
      </c>
      <c r="I1" s="41" t="s">
        <v>974</v>
      </c>
      <c r="J1" s="42" t="s">
        <v>17</v>
      </c>
      <c r="K1" s="41" t="s">
        <v>18</v>
      </c>
      <c r="L1" s="41" t="s">
        <v>975</v>
      </c>
      <c r="M1" s="41"/>
      <c r="N1" s="41" t="s">
        <v>20</v>
      </c>
      <c r="O1" s="4"/>
      <c r="P1" s="4"/>
      <c r="Q1" s="4"/>
      <c r="R1" s="4"/>
      <c r="S1" s="4"/>
      <c r="T1" s="4"/>
      <c r="U1" s="4"/>
      <c r="V1" s="4"/>
      <c r="W1" s="4"/>
      <c r="X1" s="4"/>
      <c r="Y1" s="4"/>
      <c r="Z1" s="4"/>
      <c r="AA1" s="4"/>
      <c r="AB1" s="4"/>
      <c r="AC1" s="4"/>
      <c r="AD1" s="4"/>
      <c r="AE1" s="4"/>
      <c r="AF1" s="4"/>
    </row>
    <row r="2" spans="1:32" ht="15.75" customHeight="1">
      <c r="A2" s="43" t="s">
        <v>21</v>
      </c>
      <c r="B2" s="43">
        <f>COUNTIFS('CGPT data extraction Reviewer 3'!G3:G108, yes)</f>
        <v>0</v>
      </c>
      <c r="C2" s="43"/>
      <c r="D2" s="43"/>
      <c r="E2" s="43"/>
      <c r="F2" s="43"/>
      <c r="G2" s="43"/>
      <c r="H2" s="43"/>
      <c r="I2" s="43"/>
      <c r="J2" s="44"/>
      <c r="K2" s="43"/>
      <c r="L2" s="43"/>
      <c r="M2" s="43"/>
      <c r="N2" s="43"/>
      <c r="O2" s="4"/>
      <c r="P2" s="4"/>
      <c r="Q2" s="4"/>
      <c r="R2" s="4"/>
      <c r="S2" s="4"/>
      <c r="T2" s="4"/>
      <c r="U2" s="4"/>
      <c r="V2" s="4"/>
      <c r="W2" s="4"/>
      <c r="X2" s="4"/>
      <c r="Y2" s="4"/>
      <c r="Z2" s="4"/>
      <c r="AA2" s="4"/>
      <c r="AB2" s="4"/>
      <c r="AC2" s="4"/>
      <c r="AD2" s="4"/>
      <c r="AE2" s="4"/>
      <c r="AF2" s="4"/>
    </row>
    <row r="3" spans="1:32" ht="15.75" customHeight="1">
      <c r="A3" s="4" t="s">
        <v>22</v>
      </c>
      <c r="B3" s="4"/>
      <c r="C3" s="4"/>
      <c r="D3" s="11" t="s">
        <v>976</v>
      </c>
      <c r="E3" s="4" t="s">
        <v>977</v>
      </c>
      <c r="F3" s="4" t="s">
        <v>978</v>
      </c>
      <c r="G3" s="4" t="s">
        <v>61</v>
      </c>
      <c r="H3" s="4" t="s">
        <v>73</v>
      </c>
      <c r="I3" s="4" t="s">
        <v>61</v>
      </c>
      <c r="J3" s="19" t="s">
        <v>979</v>
      </c>
      <c r="K3" s="4" t="s">
        <v>980</v>
      </c>
      <c r="L3" s="4" t="s">
        <v>981</v>
      </c>
      <c r="M3" s="4"/>
      <c r="N3" s="4" t="s">
        <v>590</v>
      </c>
      <c r="O3" s="4"/>
      <c r="P3" s="4"/>
      <c r="Q3" s="4"/>
      <c r="R3" s="4"/>
      <c r="S3" s="4"/>
      <c r="T3" s="4"/>
      <c r="U3" s="4"/>
      <c r="V3" s="4"/>
      <c r="W3" s="4"/>
      <c r="X3" s="4"/>
      <c r="Y3" s="4"/>
      <c r="Z3" s="4"/>
      <c r="AA3" s="4"/>
      <c r="AB3" s="4"/>
      <c r="AC3" s="4"/>
      <c r="AD3" s="4"/>
      <c r="AE3" s="4"/>
      <c r="AF3" s="4"/>
    </row>
    <row r="4" spans="1:32" ht="15.75" customHeight="1">
      <c r="A4" s="4" t="s">
        <v>32</v>
      </c>
      <c r="B4" s="4"/>
      <c r="C4" s="4"/>
      <c r="D4" s="11" t="s">
        <v>32</v>
      </c>
      <c r="E4" s="4" t="s">
        <v>982</v>
      </c>
      <c r="F4" s="45" t="s">
        <v>35</v>
      </c>
      <c r="G4" s="4" t="s">
        <v>73</v>
      </c>
      <c r="H4" s="4" t="s">
        <v>73</v>
      </c>
      <c r="I4" s="4" t="s">
        <v>73</v>
      </c>
      <c r="J4" s="19" t="s">
        <v>983</v>
      </c>
      <c r="K4" s="4" t="s">
        <v>984</v>
      </c>
      <c r="L4" s="4" t="s">
        <v>985</v>
      </c>
      <c r="M4" s="4"/>
      <c r="N4" s="4" t="s">
        <v>681</v>
      </c>
      <c r="O4" s="4"/>
      <c r="P4" s="4"/>
      <c r="Q4" s="4"/>
      <c r="R4" s="4"/>
      <c r="S4" s="4"/>
      <c r="T4" s="4"/>
      <c r="U4" s="4"/>
      <c r="V4" s="4"/>
      <c r="W4" s="4"/>
      <c r="X4" s="4"/>
      <c r="Y4" s="4"/>
      <c r="Z4" s="4"/>
      <c r="AA4" s="4"/>
      <c r="AB4" s="4"/>
      <c r="AC4" s="4"/>
      <c r="AD4" s="4"/>
      <c r="AE4" s="4"/>
      <c r="AF4" s="4"/>
    </row>
    <row r="5" spans="1:32" ht="15.75" customHeight="1">
      <c r="A5" s="4" t="s">
        <v>38</v>
      </c>
      <c r="B5" s="46"/>
      <c r="C5" s="46"/>
      <c r="D5" s="9" t="s">
        <v>39</v>
      </c>
      <c r="E5" s="4" t="s">
        <v>986</v>
      </c>
      <c r="F5" s="4" t="s">
        <v>41</v>
      </c>
      <c r="G5" s="4" t="s">
        <v>61</v>
      </c>
      <c r="H5" s="4" t="s">
        <v>61</v>
      </c>
      <c r="I5" s="4" t="s">
        <v>73</v>
      </c>
      <c r="J5" s="19" t="s">
        <v>987</v>
      </c>
      <c r="K5" s="4" t="s">
        <v>980</v>
      </c>
      <c r="L5" s="4" t="s">
        <v>981</v>
      </c>
      <c r="M5" s="4"/>
      <c r="N5" s="4" t="s">
        <v>590</v>
      </c>
      <c r="O5" s="4"/>
      <c r="P5" s="4"/>
      <c r="Q5" s="4"/>
      <c r="R5" s="4"/>
      <c r="S5" s="4"/>
      <c r="T5" s="4"/>
      <c r="U5" s="4"/>
      <c r="V5" s="4"/>
      <c r="W5" s="4"/>
      <c r="X5" s="4"/>
      <c r="Y5" s="4"/>
      <c r="Z5" s="4"/>
      <c r="AA5" s="4"/>
      <c r="AB5" s="4"/>
      <c r="AC5" s="4"/>
      <c r="AD5" s="4"/>
      <c r="AE5" s="4"/>
      <c r="AF5" s="4"/>
    </row>
    <row r="6" spans="1:32" ht="15.75" customHeight="1">
      <c r="A6" s="4" t="s">
        <v>45</v>
      </c>
      <c r="B6" s="46"/>
      <c r="C6" s="10" t="s">
        <v>988</v>
      </c>
      <c r="D6" s="9" t="s">
        <v>46</v>
      </c>
      <c r="E6" s="4" t="s">
        <v>989</v>
      </c>
      <c r="F6" s="45" t="s">
        <v>990</v>
      </c>
      <c r="G6" s="4" t="s">
        <v>61</v>
      </c>
      <c r="H6" s="4" t="s">
        <v>61</v>
      </c>
      <c r="I6" s="4" t="s">
        <v>567</v>
      </c>
      <c r="J6" s="19" t="s">
        <v>991</v>
      </c>
      <c r="K6" s="4" t="s">
        <v>980</v>
      </c>
      <c r="L6" s="4" t="s">
        <v>981</v>
      </c>
      <c r="M6" s="4"/>
      <c r="N6" s="4" t="s">
        <v>570</v>
      </c>
      <c r="O6" s="4"/>
      <c r="P6" s="4"/>
      <c r="Q6" s="4"/>
      <c r="R6" s="4"/>
      <c r="S6" s="4"/>
      <c r="T6" s="4"/>
      <c r="U6" s="4"/>
      <c r="V6" s="4"/>
      <c r="W6" s="4"/>
      <c r="X6" s="4"/>
      <c r="Y6" s="4"/>
      <c r="Z6" s="4"/>
      <c r="AA6" s="4"/>
      <c r="AB6" s="4"/>
      <c r="AC6" s="4"/>
      <c r="AD6" s="4"/>
      <c r="AE6" s="4"/>
      <c r="AF6" s="4"/>
    </row>
    <row r="7" spans="1:32" ht="15.75" customHeight="1">
      <c r="A7" s="47" t="s">
        <v>51</v>
      </c>
      <c r="B7" s="46"/>
      <c r="C7" s="46"/>
      <c r="D7" s="9" t="s">
        <v>52</v>
      </c>
      <c r="E7" s="4" t="s">
        <v>992</v>
      </c>
      <c r="F7" s="45" t="s">
        <v>577</v>
      </c>
      <c r="G7" s="4" t="s">
        <v>73</v>
      </c>
      <c r="H7" s="4" t="s">
        <v>61</v>
      </c>
      <c r="I7" s="4" t="s">
        <v>567</v>
      </c>
      <c r="J7" s="19" t="s">
        <v>993</v>
      </c>
      <c r="K7" s="4" t="s">
        <v>994</v>
      </c>
      <c r="L7" s="4" t="s">
        <v>985</v>
      </c>
      <c r="M7" s="4"/>
      <c r="N7" s="4" t="s">
        <v>681</v>
      </c>
      <c r="O7" s="4"/>
      <c r="P7" s="4"/>
      <c r="Q7" s="4"/>
      <c r="R7" s="4"/>
      <c r="S7" s="4"/>
      <c r="T7" s="4"/>
      <c r="U7" s="4"/>
      <c r="V7" s="4"/>
      <c r="W7" s="4"/>
      <c r="X7" s="4"/>
      <c r="Y7" s="4"/>
      <c r="Z7" s="4"/>
      <c r="AA7" s="4"/>
      <c r="AB7" s="4"/>
      <c r="AC7" s="4"/>
      <c r="AD7" s="4"/>
      <c r="AE7" s="4"/>
      <c r="AF7" s="4"/>
    </row>
    <row r="8" spans="1:32" ht="15.75" customHeight="1">
      <c r="A8" s="48" t="s">
        <v>995</v>
      </c>
      <c r="B8" s="4"/>
      <c r="C8" s="4"/>
      <c r="D8" s="4"/>
      <c r="E8" s="4"/>
      <c r="F8" s="4"/>
      <c r="G8" s="4"/>
      <c r="H8" s="4"/>
      <c r="I8" s="4"/>
      <c r="J8" s="19"/>
      <c r="K8" s="4"/>
      <c r="L8" s="4"/>
      <c r="M8" s="4"/>
      <c r="N8" s="4"/>
      <c r="O8" s="4"/>
      <c r="P8" s="4"/>
      <c r="Q8" s="4"/>
      <c r="R8" s="4"/>
      <c r="S8" s="4"/>
      <c r="T8" s="4"/>
      <c r="U8" s="4"/>
      <c r="V8" s="4"/>
      <c r="W8" s="4"/>
      <c r="X8" s="4"/>
      <c r="Y8" s="4"/>
      <c r="Z8" s="4"/>
      <c r="AA8" s="4"/>
      <c r="AB8" s="4"/>
      <c r="AC8" s="4"/>
      <c r="AD8" s="4"/>
      <c r="AE8" s="4"/>
      <c r="AF8" s="4"/>
    </row>
    <row r="9" spans="1:32" ht="15.75" customHeight="1">
      <c r="A9" s="4" t="s">
        <v>286</v>
      </c>
      <c r="B9" s="49">
        <v>44753</v>
      </c>
      <c r="C9" s="4" t="s">
        <v>996</v>
      </c>
      <c r="D9" s="11" t="s">
        <v>287</v>
      </c>
      <c r="E9" s="4" t="s">
        <v>997</v>
      </c>
      <c r="F9" s="4" t="s">
        <v>998</v>
      </c>
      <c r="G9" s="4" t="s">
        <v>73</v>
      </c>
      <c r="H9" s="4" t="s">
        <v>73</v>
      </c>
      <c r="I9" s="4" t="s">
        <v>999</v>
      </c>
      <c r="J9" s="19" t="s">
        <v>1000</v>
      </c>
      <c r="K9" s="4" t="s">
        <v>1001</v>
      </c>
      <c r="L9" s="4" t="s">
        <v>985</v>
      </c>
      <c r="M9" s="4"/>
      <c r="N9" s="4" t="s">
        <v>681</v>
      </c>
      <c r="O9" s="4"/>
      <c r="P9" s="4"/>
      <c r="Q9" s="4"/>
      <c r="R9" s="4"/>
      <c r="S9" s="4"/>
      <c r="T9" s="4"/>
      <c r="U9" s="4"/>
      <c r="V9" s="4"/>
      <c r="W9" s="4"/>
      <c r="X9" s="4"/>
      <c r="Y9" s="4"/>
      <c r="Z9" s="4"/>
      <c r="AA9" s="4"/>
      <c r="AB9" s="4"/>
      <c r="AC9" s="4"/>
      <c r="AD9" s="4"/>
      <c r="AE9" s="4"/>
      <c r="AF9" s="4"/>
    </row>
    <row r="10" spans="1:32" ht="15.75" customHeight="1">
      <c r="A10" s="4" t="s">
        <v>292</v>
      </c>
      <c r="B10" s="4"/>
      <c r="C10" s="4"/>
      <c r="D10" s="11" t="s">
        <v>293</v>
      </c>
      <c r="E10" s="4" t="s">
        <v>1002</v>
      </c>
      <c r="F10" s="45" t="s">
        <v>295</v>
      </c>
      <c r="G10" s="4" t="s">
        <v>61</v>
      </c>
      <c r="H10" s="4" t="s">
        <v>73</v>
      </c>
      <c r="I10" s="4" t="s">
        <v>61</v>
      </c>
      <c r="J10" s="19" t="s">
        <v>1003</v>
      </c>
      <c r="K10" s="4" t="s">
        <v>1001</v>
      </c>
      <c r="L10" s="4" t="s">
        <v>981</v>
      </c>
      <c r="M10" s="4"/>
      <c r="N10" s="4" t="s">
        <v>570</v>
      </c>
      <c r="O10" s="4"/>
      <c r="P10" s="4"/>
      <c r="Q10" s="4"/>
      <c r="R10" s="4"/>
      <c r="S10" s="4"/>
      <c r="T10" s="4"/>
      <c r="U10" s="4"/>
      <c r="V10" s="4"/>
      <c r="W10" s="4"/>
      <c r="X10" s="4"/>
      <c r="Y10" s="4"/>
      <c r="Z10" s="4"/>
      <c r="AA10" s="4"/>
      <c r="AB10" s="4"/>
      <c r="AC10" s="4"/>
      <c r="AD10" s="4"/>
      <c r="AE10" s="4"/>
      <c r="AF10" s="4"/>
    </row>
    <row r="11" spans="1:32" ht="15.75" customHeight="1">
      <c r="A11" s="4" t="s">
        <v>297</v>
      </c>
      <c r="B11" s="4"/>
      <c r="C11" s="4"/>
      <c r="D11" s="11" t="s">
        <v>298</v>
      </c>
      <c r="E11" s="4" t="s">
        <v>1004</v>
      </c>
      <c r="F11" s="4" t="s">
        <v>1005</v>
      </c>
      <c r="G11" s="4" t="s">
        <v>61</v>
      </c>
      <c r="H11" s="4" t="s">
        <v>73</v>
      </c>
      <c r="I11" s="4" t="s">
        <v>61</v>
      </c>
      <c r="J11" s="19" t="s">
        <v>1006</v>
      </c>
      <c r="K11" s="4" t="s">
        <v>1001</v>
      </c>
      <c r="L11" s="4" t="s">
        <v>981</v>
      </c>
      <c r="M11" s="4"/>
      <c r="N11" s="4" t="s">
        <v>570</v>
      </c>
      <c r="O11" s="4"/>
      <c r="P11" s="4"/>
      <c r="Q11" s="4"/>
      <c r="R11" s="4"/>
      <c r="S11" s="4"/>
      <c r="T11" s="4"/>
      <c r="U11" s="4"/>
      <c r="V11" s="4"/>
      <c r="W11" s="4"/>
      <c r="X11" s="4"/>
      <c r="Y11" s="4"/>
      <c r="Z11" s="4"/>
      <c r="AA11" s="4"/>
      <c r="AB11" s="4"/>
      <c r="AC11" s="4"/>
      <c r="AD11" s="4"/>
      <c r="AE11" s="4"/>
      <c r="AF11" s="4"/>
    </row>
    <row r="12" spans="1:32" ht="15.75" customHeight="1">
      <c r="A12" s="4" t="s">
        <v>302</v>
      </c>
      <c r="B12" s="4"/>
      <c r="C12" s="4"/>
      <c r="D12" s="11" t="s">
        <v>303</v>
      </c>
      <c r="E12" s="4" t="s">
        <v>1007</v>
      </c>
      <c r="F12" s="50" t="s">
        <v>305</v>
      </c>
      <c r="G12" s="4" t="s">
        <v>61</v>
      </c>
      <c r="H12" s="4" t="s">
        <v>61</v>
      </c>
      <c r="I12" s="4" t="s">
        <v>999</v>
      </c>
      <c r="J12" s="19" t="s">
        <v>1008</v>
      </c>
      <c r="K12" s="4" t="s">
        <v>1001</v>
      </c>
      <c r="L12" s="4" t="s">
        <v>981</v>
      </c>
      <c r="M12" s="4"/>
      <c r="N12" s="4" t="s">
        <v>590</v>
      </c>
      <c r="O12" s="4"/>
      <c r="P12" s="4"/>
      <c r="Q12" s="4"/>
      <c r="R12" s="4"/>
      <c r="S12" s="4"/>
      <c r="T12" s="4"/>
      <c r="U12" s="4"/>
      <c r="V12" s="4"/>
      <c r="W12" s="4"/>
      <c r="X12" s="4"/>
      <c r="Y12" s="4"/>
      <c r="Z12" s="4"/>
      <c r="AA12" s="4"/>
      <c r="AB12" s="4"/>
      <c r="AC12" s="4"/>
      <c r="AD12" s="4"/>
      <c r="AE12" s="4"/>
      <c r="AF12" s="4"/>
    </row>
    <row r="13" spans="1:32" ht="15.75" customHeight="1">
      <c r="A13" s="4" t="s">
        <v>307</v>
      </c>
      <c r="B13" s="4"/>
      <c r="C13" s="4"/>
      <c r="D13" s="11" t="s">
        <v>308</v>
      </c>
      <c r="E13" s="4" t="s">
        <v>1009</v>
      </c>
      <c r="F13" s="45" t="s">
        <v>310</v>
      </c>
      <c r="G13" s="4" t="s">
        <v>61</v>
      </c>
      <c r="H13" s="4" t="s">
        <v>61</v>
      </c>
      <c r="I13" s="4" t="s">
        <v>999</v>
      </c>
      <c r="J13" s="19" t="s">
        <v>1010</v>
      </c>
      <c r="K13" s="4" t="s">
        <v>1001</v>
      </c>
      <c r="L13" s="4" t="s">
        <v>1011</v>
      </c>
      <c r="M13" s="4" t="s">
        <v>61</v>
      </c>
      <c r="N13" s="4"/>
      <c r="O13" s="4"/>
      <c r="P13" s="4"/>
      <c r="Q13" s="4"/>
      <c r="R13" s="4"/>
      <c r="S13" s="4"/>
      <c r="T13" s="4"/>
      <c r="U13" s="4"/>
      <c r="V13" s="4"/>
      <c r="W13" s="4"/>
      <c r="X13" s="4"/>
      <c r="Y13" s="4"/>
      <c r="Z13" s="4"/>
      <c r="AA13" s="4"/>
      <c r="AB13" s="4"/>
      <c r="AC13" s="4"/>
      <c r="AD13" s="4"/>
      <c r="AE13" s="4"/>
      <c r="AF13" s="4"/>
    </row>
    <row r="14" spans="1:32" ht="15.75" customHeight="1">
      <c r="A14" s="4" t="s">
        <v>312</v>
      </c>
      <c r="B14" s="4"/>
      <c r="C14" s="4"/>
      <c r="D14" s="11" t="s">
        <v>313</v>
      </c>
      <c r="E14" s="4" t="s">
        <v>1012</v>
      </c>
      <c r="F14" s="50" t="s">
        <v>315</v>
      </c>
      <c r="G14" s="4" t="s">
        <v>73</v>
      </c>
      <c r="H14" s="4" t="s">
        <v>61</v>
      </c>
      <c r="I14" s="4" t="s">
        <v>999</v>
      </c>
      <c r="J14" s="19" t="s">
        <v>1013</v>
      </c>
      <c r="K14" s="4" t="s">
        <v>1001</v>
      </c>
      <c r="L14" s="4" t="s">
        <v>1014</v>
      </c>
      <c r="M14" s="4" t="s">
        <v>61</v>
      </c>
      <c r="N14" s="4" t="s">
        <v>681</v>
      </c>
      <c r="O14" s="4"/>
      <c r="P14" s="4"/>
      <c r="Q14" s="4"/>
      <c r="R14" s="4"/>
      <c r="S14" s="4"/>
      <c r="T14" s="4"/>
      <c r="U14" s="4"/>
      <c r="V14" s="4"/>
      <c r="W14" s="4"/>
      <c r="X14" s="4"/>
      <c r="Y14" s="4"/>
      <c r="Z14" s="4"/>
      <c r="AA14" s="4"/>
      <c r="AB14" s="4"/>
      <c r="AC14" s="4"/>
      <c r="AD14" s="4"/>
      <c r="AE14" s="4"/>
      <c r="AF14" s="4"/>
    </row>
    <row r="15" spans="1:32" ht="15.75" customHeight="1">
      <c r="A15" s="4" t="s">
        <v>317</v>
      </c>
      <c r="B15" s="4"/>
      <c r="C15" s="4" t="s">
        <v>1015</v>
      </c>
      <c r="D15" s="11" t="s">
        <v>318</v>
      </c>
      <c r="E15" s="4" t="s">
        <v>1016</v>
      </c>
      <c r="F15" s="4" t="s">
        <v>320</v>
      </c>
      <c r="G15" s="4" t="s">
        <v>73</v>
      </c>
      <c r="H15" s="4" t="s">
        <v>73</v>
      </c>
      <c r="I15" s="4" t="s">
        <v>999</v>
      </c>
      <c r="J15" s="19" t="s">
        <v>1017</v>
      </c>
      <c r="K15" s="4" t="s">
        <v>1001</v>
      </c>
      <c r="L15" s="4" t="s">
        <v>1014</v>
      </c>
      <c r="M15" s="4" t="s">
        <v>61</v>
      </c>
      <c r="N15" s="4" t="s">
        <v>681</v>
      </c>
      <c r="O15" s="4"/>
      <c r="P15" s="4"/>
      <c r="Q15" s="4"/>
      <c r="R15" s="4"/>
      <c r="S15" s="4"/>
      <c r="T15" s="4"/>
      <c r="U15" s="4"/>
      <c r="V15" s="4"/>
      <c r="W15" s="4"/>
      <c r="X15" s="4"/>
      <c r="Y15" s="4"/>
      <c r="Z15" s="4"/>
      <c r="AA15" s="4"/>
      <c r="AB15" s="4"/>
      <c r="AC15" s="4"/>
      <c r="AD15" s="4"/>
      <c r="AE15" s="4"/>
      <c r="AF15" s="4"/>
    </row>
    <row r="16" spans="1:32" ht="15.75" customHeight="1">
      <c r="A16" s="4" t="s">
        <v>322</v>
      </c>
      <c r="B16" s="4"/>
      <c r="C16" s="4"/>
      <c r="D16" s="11" t="s">
        <v>1018</v>
      </c>
      <c r="E16" s="4" t="s">
        <v>1019</v>
      </c>
      <c r="F16" s="50" t="s">
        <v>325</v>
      </c>
      <c r="G16" s="4" t="s">
        <v>61</v>
      </c>
      <c r="H16" s="4" t="s">
        <v>73</v>
      </c>
      <c r="I16" s="4" t="s">
        <v>61</v>
      </c>
      <c r="J16" s="19" t="s">
        <v>1020</v>
      </c>
      <c r="K16" s="4" t="s">
        <v>1021</v>
      </c>
      <c r="L16" s="4" t="s">
        <v>1011</v>
      </c>
      <c r="M16" s="4" t="s">
        <v>61</v>
      </c>
      <c r="N16" s="4" t="s">
        <v>570</v>
      </c>
      <c r="O16" s="4"/>
      <c r="P16" s="4"/>
      <c r="Q16" s="4"/>
      <c r="R16" s="4"/>
      <c r="S16" s="4"/>
      <c r="T16" s="4"/>
      <c r="U16" s="4"/>
      <c r="V16" s="4"/>
      <c r="W16" s="4"/>
      <c r="X16" s="4"/>
      <c r="Y16" s="4"/>
      <c r="Z16" s="4"/>
      <c r="AA16" s="4"/>
      <c r="AB16" s="4"/>
      <c r="AC16" s="4"/>
      <c r="AD16" s="4"/>
      <c r="AE16" s="4"/>
      <c r="AF16" s="4"/>
    </row>
    <row r="17" spans="1:32" ht="15.75" customHeight="1">
      <c r="A17" s="4" t="s">
        <v>327</v>
      </c>
      <c r="B17" s="4"/>
      <c r="C17" s="4"/>
      <c r="D17" s="11" t="s">
        <v>328</v>
      </c>
      <c r="E17" s="4" t="s">
        <v>1022</v>
      </c>
      <c r="F17" s="4" t="s">
        <v>330</v>
      </c>
      <c r="G17" s="4" t="s">
        <v>73</v>
      </c>
      <c r="H17" s="4" t="s">
        <v>73</v>
      </c>
      <c r="I17" s="4" t="s">
        <v>999</v>
      </c>
      <c r="J17" s="19" t="s">
        <v>1023</v>
      </c>
      <c r="K17" s="4" t="s">
        <v>1021</v>
      </c>
      <c r="L17" s="4" t="s">
        <v>1024</v>
      </c>
      <c r="M17" s="4" t="s">
        <v>61</v>
      </c>
      <c r="N17" s="4" t="s">
        <v>681</v>
      </c>
      <c r="O17" s="4"/>
      <c r="P17" s="4"/>
      <c r="Q17" s="4"/>
      <c r="R17" s="4"/>
      <c r="S17" s="4"/>
      <c r="T17" s="4"/>
      <c r="U17" s="4"/>
      <c r="V17" s="4"/>
      <c r="W17" s="4"/>
      <c r="X17" s="4"/>
      <c r="Y17" s="4"/>
      <c r="Z17" s="4"/>
      <c r="AA17" s="4"/>
      <c r="AB17" s="4"/>
      <c r="AC17" s="4"/>
      <c r="AD17" s="4"/>
      <c r="AE17" s="4"/>
      <c r="AF17" s="4"/>
    </row>
    <row r="18" spans="1:32" ht="15.75" customHeight="1">
      <c r="A18" s="4" t="s">
        <v>332</v>
      </c>
      <c r="B18" s="4"/>
      <c r="C18" s="4"/>
      <c r="D18" s="11" t="s">
        <v>333</v>
      </c>
      <c r="E18" s="4" t="s">
        <v>1025</v>
      </c>
      <c r="F18" s="50" t="s">
        <v>289</v>
      </c>
      <c r="G18" s="4" t="s">
        <v>73</v>
      </c>
      <c r="H18" s="4" t="s">
        <v>61</v>
      </c>
      <c r="I18" s="4" t="s">
        <v>999</v>
      </c>
      <c r="J18" s="19" t="s">
        <v>1026</v>
      </c>
      <c r="K18" s="4" t="s">
        <v>1001</v>
      </c>
      <c r="L18" s="4" t="s">
        <v>1024</v>
      </c>
      <c r="M18" s="4" t="s">
        <v>61</v>
      </c>
      <c r="N18" s="4" t="s">
        <v>681</v>
      </c>
      <c r="O18" s="4"/>
      <c r="P18" s="4"/>
      <c r="Q18" s="4"/>
      <c r="R18" s="4"/>
      <c r="S18" s="4"/>
      <c r="T18" s="4"/>
      <c r="U18" s="4"/>
      <c r="V18" s="4"/>
      <c r="W18" s="4"/>
      <c r="X18" s="4"/>
      <c r="Y18" s="4"/>
      <c r="Z18" s="4"/>
      <c r="AA18" s="4"/>
      <c r="AB18" s="4"/>
      <c r="AC18" s="4"/>
      <c r="AD18" s="4"/>
      <c r="AE18" s="4"/>
      <c r="AF18" s="4"/>
    </row>
    <row r="19" spans="1:32" ht="15.75" customHeight="1">
      <c r="A19" s="4" t="s">
        <v>336</v>
      </c>
      <c r="B19" s="4"/>
      <c r="C19" s="4"/>
      <c r="D19" s="11" t="s">
        <v>337</v>
      </c>
      <c r="E19" s="4" t="s">
        <v>1027</v>
      </c>
      <c r="F19" s="4" t="s">
        <v>339</v>
      </c>
      <c r="G19" s="4" t="s">
        <v>61</v>
      </c>
      <c r="H19" s="4" t="s">
        <v>61</v>
      </c>
      <c r="I19" s="4" t="s">
        <v>73</v>
      </c>
      <c r="J19" s="19" t="s">
        <v>1028</v>
      </c>
      <c r="K19" s="4" t="s">
        <v>1001</v>
      </c>
      <c r="L19" s="4" t="s">
        <v>1029</v>
      </c>
      <c r="M19" s="4" t="s">
        <v>61</v>
      </c>
      <c r="N19" s="4" t="s">
        <v>570</v>
      </c>
      <c r="O19" s="4"/>
      <c r="P19" s="4"/>
      <c r="Q19" s="4"/>
      <c r="R19" s="4"/>
      <c r="S19" s="4"/>
      <c r="T19" s="4"/>
      <c r="U19" s="4"/>
      <c r="V19" s="4"/>
      <c r="W19" s="4"/>
      <c r="X19" s="4"/>
      <c r="Y19" s="4"/>
      <c r="Z19" s="4"/>
      <c r="AA19" s="4"/>
      <c r="AB19" s="4"/>
      <c r="AC19" s="4"/>
      <c r="AD19" s="4"/>
      <c r="AE19" s="4"/>
      <c r="AF19" s="4"/>
    </row>
    <row r="20" spans="1:32" ht="15.75" customHeight="1">
      <c r="A20" s="4" t="s">
        <v>341</v>
      </c>
      <c r="B20" s="4"/>
      <c r="C20" s="4"/>
      <c r="D20" s="11" t="s">
        <v>342</v>
      </c>
      <c r="E20" s="4" t="s">
        <v>1030</v>
      </c>
      <c r="F20" s="45" t="s">
        <v>1031</v>
      </c>
      <c r="G20" s="4" t="s">
        <v>61</v>
      </c>
      <c r="H20" s="4" t="s">
        <v>61</v>
      </c>
      <c r="I20" s="4" t="s">
        <v>999</v>
      </c>
      <c r="J20" s="19" t="s">
        <v>1032</v>
      </c>
      <c r="K20" s="4" t="s">
        <v>1021</v>
      </c>
      <c r="L20" s="4" t="s">
        <v>1011</v>
      </c>
      <c r="M20" s="4" t="s">
        <v>61</v>
      </c>
      <c r="N20" s="4" t="s">
        <v>590</v>
      </c>
      <c r="O20" s="4"/>
      <c r="P20" s="4"/>
      <c r="Q20" s="4"/>
      <c r="R20" s="4"/>
      <c r="S20" s="4"/>
      <c r="T20" s="4"/>
      <c r="U20" s="4"/>
      <c r="V20" s="4"/>
      <c r="W20" s="4"/>
      <c r="X20" s="4"/>
      <c r="Y20" s="4"/>
      <c r="Z20" s="4"/>
      <c r="AA20" s="4"/>
      <c r="AB20" s="4"/>
      <c r="AC20" s="4"/>
      <c r="AD20" s="4"/>
      <c r="AE20" s="4"/>
      <c r="AF20" s="4"/>
    </row>
    <row r="21" spans="1:32" ht="15.75" customHeight="1">
      <c r="A21" s="4" t="s">
        <v>346</v>
      </c>
      <c r="B21" s="4"/>
      <c r="C21" s="4"/>
      <c r="D21" s="11" t="s">
        <v>347</v>
      </c>
      <c r="E21" s="4" t="s">
        <v>1033</v>
      </c>
      <c r="F21" s="50" t="s">
        <v>349</v>
      </c>
      <c r="G21" s="4" t="s">
        <v>61</v>
      </c>
      <c r="H21" s="4" t="s">
        <v>61</v>
      </c>
      <c r="I21" s="4" t="s">
        <v>73</v>
      </c>
      <c r="J21" s="19" t="s">
        <v>1034</v>
      </c>
      <c r="K21" s="4" t="s">
        <v>1021</v>
      </c>
      <c r="L21" s="4" t="s">
        <v>1029</v>
      </c>
      <c r="M21" s="4" t="s">
        <v>61</v>
      </c>
      <c r="N21" s="4" t="s">
        <v>590</v>
      </c>
      <c r="O21" s="4"/>
      <c r="P21" s="4"/>
      <c r="Q21" s="4"/>
      <c r="R21" s="4"/>
      <c r="S21" s="4"/>
      <c r="T21" s="4"/>
      <c r="U21" s="4"/>
      <c r="V21" s="4"/>
      <c r="W21" s="4"/>
      <c r="X21" s="4"/>
      <c r="Y21" s="4"/>
      <c r="Z21" s="4"/>
      <c r="AA21" s="4"/>
      <c r="AB21" s="4"/>
      <c r="AC21" s="4"/>
      <c r="AD21" s="4"/>
      <c r="AE21" s="4"/>
      <c r="AF21" s="4"/>
    </row>
    <row r="22" spans="1:32" ht="15.75" customHeight="1">
      <c r="A22" s="4" t="s">
        <v>351</v>
      </c>
      <c r="B22" s="4"/>
      <c r="C22" s="4"/>
      <c r="D22" s="11" t="s">
        <v>352</v>
      </c>
      <c r="E22" s="4" t="s">
        <v>1035</v>
      </c>
      <c r="F22" s="4" t="s">
        <v>1036</v>
      </c>
      <c r="G22" s="4" t="s">
        <v>61</v>
      </c>
      <c r="H22" s="4" t="s">
        <v>61</v>
      </c>
      <c r="I22" s="4" t="s">
        <v>999</v>
      </c>
      <c r="J22" s="19" t="s">
        <v>1037</v>
      </c>
      <c r="K22" s="4" t="s">
        <v>1021</v>
      </c>
      <c r="L22" s="4" t="s">
        <v>1038</v>
      </c>
      <c r="M22" s="4" t="s">
        <v>61</v>
      </c>
      <c r="N22" s="4" t="s">
        <v>590</v>
      </c>
      <c r="O22" s="4"/>
      <c r="P22" s="4"/>
      <c r="Q22" s="4"/>
      <c r="R22" s="4"/>
      <c r="S22" s="4"/>
      <c r="T22" s="4"/>
      <c r="U22" s="4"/>
      <c r="V22" s="4"/>
      <c r="W22" s="4"/>
      <c r="X22" s="4"/>
      <c r="Y22" s="4"/>
      <c r="Z22" s="4"/>
      <c r="AA22" s="4"/>
      <c r="AB22" s="4"/>
      <c r="AC22" s="4"/>
      <c r="AD22" s="4"/>
      <c r="AE22" s="4"/>
      <c r="AF22" s="4"/>
    </row>
    <row r="23" spans="1:32" ht="15.75" customHeight="1">
      <c r="A23" s="4" t="s">
        <v>356</v>
      </c>
      <c r="B23" s="4"/>
      <c r="C23" s="4"/>
      <c r="D23" s="11" t="s">
        <v>357</v>
      </c>
      <c r="E23" s="4" t="s">
        <v>1039</v>
      </c>
      <c r="F23" s="4" t="s">
        <v>1040</v>
      </c>
      <c r="G23" s="4" t="s">
        <v>73</v>
      </c>
      <c r="H23" s="4" t="s">
        <v>73</v>
      </c>
      <c r="I23" s="4" t="s">
        <v>999</v>
      </c>
      <c r="J23" s="19" t="s">
        <v>1041</v>
      </c>
      <c r="K23" s="4" t="s">
        <v>1001</v>
      </c>
      <c r="L23" s="4" t="s">
        <v>1011</v>
      </c>
      <c r="M23" s="4" t="s">
        <v>61</v>
      </c>
      <c r="N23" s="4" t="s">
        <v>565</v>
      </c>
      <c r="O23" s="4"/>
      <c r="P23" s="4"/>
      <c r="Q23" s="4"/>
      <c r="R23" s="4"/>
      <c r="S23" s="4"/>
      <c r="T23" s="4"/>
      <c r="U23" s="4"/>
      <c r="V23" s="4"/>
      <c r="W23" s="4"/>
      <c r="X23" s="4"/>
      <c r="Y23" s="4"/>
      <c r="Z23" s="4"/>
      <c r="AA23" s="4"/>
      <c r="AB23" s="4"/>
      <c r="AC23" s="4"/>
      <c r="AD23" s="4"/>
      <c r="AE23" s="4"/>
      <c r="AF23" s="4"/>
    </row>
    <row r="24" spans="1:32" ht="15.75" customHeight="1">
      <c r="A24" s="4" t="s">
        <v>361</v>
      </c>
      <c r="B24" s="4"/>
      <c r="C24" s="4"/>
      <c r="D24" s="11" t="s">
        <v>1042</v>
      </c>
      <c r="E24" s="4" t="s">
        <v>1043</v>
      </c>
      <c r="F24" s="50" t="s">
        <v>364</v>
      </c>
      <c r="G24" s="4" t="s">
        <v>61</v>
      </c>
      <c r="H24" s="4" t="s">
        <v>61</v>
      </c>
      <c r="I24" s="4" t="s">
        <v>73</v>
      </c>
      <c r="J24" s="19" t="s">
        <v>1044</v>
      </c>
      <c r="K24" s="4" t="s">
        <v>984</v>
      </c>
      <c r="L24" s="4" t="s">
        <v>1029</v>
      </c>
      <c r="M24" s="4" t="s">
        <v>61</v>
      </c>
      <c r="N24" s="4" t="s">
        <v>570</v>
      </c>
      <c r="O24" s="4"/>
      <c r="P24" s="4"/>
      <c r="Q24" s="4"/>
      <c r="R24" s="4"/>
      <c r="S24" s="4"/>
      <c r="T24" s="4"/>
      <c r="U24" s="4"/>
      <c r="V24" s="4"/>
      <c r="W24" s="4"/>
      <c r="X24" s="4"/>
      <c r="Y24" s="4"/>
      <c r="Z24" s="4"/>
      <c r="AA24" s="4"/>
      <c r="AB24" s="4"/>
      <c r="AC24" s="4"/>
      <c r="AD24" s="4"/>
      <c r="AE24" s="4"/>
      <c r="AF24" s="4"/>
    </row>
    <row r="25" spans="1:32" ht="15.75" customHeight="1">
      <c r="A25" s="4" t="s">
        <v>366</v>
      </c>
      <c r="B25" s="4"/>
      <c r="C25" s="4"/>
      <c r="D25" s="11" t="s">
        <v>1045</v>
      </c>
      <c r="E25" s="4" t="s">
        <v>1046</v>
      </c>
      <c r="F25" s="50" t="s">
        <v>369</v>
      </c>
      <c r="G25" s="4" t="s">
        <v>61</v>
      </c>
      <c r="H25" s="4" t="s">
        <v>61</v>
      </c>
      <c r="I25" s="4" t="s">
        <v>61</v>
      </c>
      <c r="J25" s="19" t="s">
        <v>1047</v>
      </c>
      <c r="K25" s="4" t="s">
        <v>1001</v>
      </c>
      <c r="L25" s="4" t="s">
        <v>1029</v>
      </c>
      <c r="M25" s="4" t="s">
        <v>61</v>
      </c>
      <c r="N25" s="4" t="s">
        <v>570</v>
      </c>
      <c r="O25" s="4"/>
      <c r="P25" s="4"/>
      <c r="Q25" s="4"/>
      <c r="R25" s="4"/>
      <c r="S25" s="4"/>
      <c r="T25" s="4"/>
      <c r="U25" s="4"/>
      <c r="V25" s="4"/>
      <c r="W25" s="4"/>
      <c r="X25" s="4"/>
      <c r="Y25" s="4"/>
      <c r="Z25" s="4"/>
      <c r="AA25" s="4"/>
      <c r="AB25" s="4"/>
      <c r="AC25" s="4"/>
      <c r="AD25" s="4"/>
      <c r="AE25" s="4"/>
      <c r="AF25" s="4"/>
    </row>
    <row r="26" spans="1:32" ht="15.75" customHeight="1">
      <c r="A26" s="4" t="s">
        <v>1048</v>
      </c>
      <c r="B26" s="4"/>
      <c r="C26" s="4"/>
      <c r="D26" s="11" t="s">
        <v>1049</v>
      </c>
      <c r="E26" s="4" t="s">
        <v>1050</v>
      </c>
      <c r="F26" s="50" t="s">
        <v>1051</v>
      </c>
      <c r="G26" s="4" t="s">
        <v>73</v>
      </c>
      <c r="H26" s="4" t="s">
        <v>73</v>
      </c>
      <c r="I26" s="4" t="s">
        <v>999</v>
      </c>
      <c r="J26" s="19" t="s">
        <v>1052</v>
      </c>
      <c r="K26" s="4" t="s">
        <v>1001</v>
      </c>
      <c r="L26" s="4" t="s">
        <v>1014</v>
      </c>
      <c r="M26" s="4" t="s">
        <v>61</v>
      </c>
      <c r="N26" s="4" t="s">
        <v>590</v>
      </c>
      <c r="O26" s="4"/>
      <c r="P26" s="4"/>
      <c r="Q26" s="4"/>
      <c r="R26" s="4"/>
      <c r="S26" s="4"/>
      <c r="T26" s="4"/>
      <c r="U26" s="4"/>
      <c r="V26" s="4"/>
      <c r="W26" s="4"/>
      <c r="X26" s="4"/>
      <c r="Y26" s="4"/>
      <c r="Z26" s="4"/>
      <c r="AA26" s="4"/>
      <c r="AB26" s="4"/>
      <c r="AC26" s="4"/>
      <c r="AD26" s="4"/>
      <c r="AE26" s="4"/>
      <c r="AF26" s="4"/>
    </row>
    <row r="27" spans="1:32" ht="15.75" customHeight="1">
      <c r="A27" s="4" t="s">
        <v>376</v>
      </c>
      <c r="B27" s="4"/>
      <c r="C27" s="4" t="s">
        <v>1053</v>
      </c>
      <c r="D27" s="11" t="s">
        <v>1054</v>
      </c>
      <c r="E27" s="4" t="s">
        <v>1055</v>
      </c>
      <c r="F27" s="45" t="s">
        <v>1056</v>
      </c>
      <c r="G27" s="4" t="s">
        <v>73</v>
      </c>
      <c r="H27" s="4" t="s">
        <v>61</v>
      </c>
      <c r="I27" s="4" t="s">
        <v>999</v>
      </c>
      <c r="J27" s="19" t="s">
        <v>1057</v>
      </c>
      <c r="K27" s="4" t="s">
        <v>1001</v>
      </c>
      <c r="L27" s="4" t="s">
        <v>1014</v>
      </c>
      <c r="M27" s="4" t="s">
        <v>61</v>
      </c>
      <c r="N27" s="4" t="s">
        <v>565</v>
      </c>
      <c r="O27" s="4"/>
      <c r="P27" s="4"/>
      <c r="Q27" s="4"/>
      <c r="R27" s="4"/>
      <c r="S27" s="4"/>
      <c r="T27" s="4"/>
      <c r="U27" s="4"/>
      <c r="V27" s="4"/>
      <c r="W27" s="4"/>
      <c r="X27" s="4"/>
      <c r="Y27" s="4"/>
      <c r="Z27" s="4"/>
      <c r="AA27" s="4"/>
      <c r="AB27" s="4"/>
      <c r="AC27" s="4"/>
      <c r="AD27" s="4"/>
      <c r="AE27" s="4"/>
      <c r="AF27" s="4"/>
    </row>
    <row r="28" spans="1:32" ht="15.75" customHeight="1">
      <c r="A28" s="4" t="s">
        <v>381</v>
      </c>
      <c r="B28" s="4"/>
      <c r="C28" s="4"/>
      <c r="D28" s="11" t="s">
        <v>382</v>
      </c>
      <c r="E28" s="4" t="s">
        <v>1058</v>
      </c>
      <c r="F28" s="50" t="s">
        <v>384</v>
      </c>
      <c r="G28" s="4" t="s">
        <v>73</v>
      </c>
      <c r="H28" s="4" t="s">
        <v>61</v>
      </c>
      <c r="I28" s="4" t="s">
        <v>999</v>
      </c>
      <c r="J28" s="19" t="s">
        <v>1059</v>
      </c>
      <c r="K28" s="4" t="s">
        <v>1060</v>
      </c>
      <c r="L28" s="4" t="s">
        <v>1029</v>
      </c>
      <c r="M28" s="4" t="s">
        <v>61</v>
      </c>
      <c r="N28" s="4" t="s">
        <v>590</v>
      </c>
      <c r="O28" s="4"/>
      <c r="P28" s="4"/>
      <c r="Q28" s="4"/>
      <c r="R28" s="4"/>
      <c r="S28" s="4"/>
      <c r="T28" s="4"/>
      <c r="U28" s="4"/>
      <c r="V28" s="4"/>
      <c r="W28" s="4"/>
      <c r="X28" s="4"/>
      <c r="Y28" s="4"/>
      <c r="Z28" s="4"/>
      <c r="AA28" s="4"/>
      <c r="AB28" s="4"/>
      <c r="AC28" s="4"/>
      <c r="AD28" s="4"/>
      <c r="AE28" s="4"/>
      <c r="AF28" s="4"/>
    </row>
    <row r="29" spans="1:32" ht="15.75" customHeight="1">
      <c r="A29" s="4" t="s">
        <v>386</v>
      </c>
      <c r="B29" s="4"/>
      <c r="C29" s="4"/>
      <c r="D29" s="11" t="s">
        <v>1061</v>
      </c>
      <c r="E29" s="4" t="s">
        <v>1062</v>
      </c>
      <c r="F29" s="51" t="s">
        <v>1063</v>
      </c>
      <c r="G29" s="4" t="s">
        <v>61</v>
      </c>
      <c r="H29" s="4" t="s">
        <v>61</v>
      </c>
      <c r="I29" s="4" t="s">
        <v>999</v>
      </c>
      <c r="J29" s="19" t="s">
        <v>1064</v>
      </c>
      <c r="K29" s="4" t="s">
        <v>1001</v>
      </c>
      <c r="L29" s="4" t="s">
        <v>1029</v>
      </c>
      <c r="M29" s="4" t="s">
        <v>61</v>
      </c>
      <c r="N29" s="4" t="s">
        <v>590</v>
      </c>
      <c r="O29" s="4"/>
      <c r="P29" s="4"/>
      <c r="Q29" s="4"/>
      <c r="R29" s="4"/>
      <c r="S29" s="4"/>
      <c r="T29" s="4"/>
      <c r="U29" s="4"/>
      <c r="V29" s="4"/>
      <c r="W29" s="4"/>
      <c r="X29" s="4"/>
      <c r="Y29" s="4"/>
      <c r="Z29" s="4"/>
      <c r="AA29" s="4"/>
      <c r="AB29" s="4"/>
      <c r="AC29" s="4"/>
      <c r="AD29" s="4"/>
      <c r="AE29" s="4"/>
      <c r="AF29" s="4"/>
    </row>
    <row r="30" spans="1:32" ht="15.75" customHeight="1">
      <c r="A30" s="4" t="s">
        <v>391</v>
      </c>
      <c r="B30" s="4"/>
      <c r="C30" s="4"/>
      <c r="D30" s="11" t="s">
        <v>392</v>
      </c>
      <c r="E30" s="4" t="s">
        <v>1065</v>
      </c>
      <c r="F30" s="50" t="s">
        <v>394</v>
      </c>
      <c r="G30" s="4" t="s">
        <v>61</v>
      </c>
      <c r="H30" s="4" t="s">
        <v>61</v>
      </c>
      <c r="I30" s="4" t="s">
        <v>999</v>
      </c>
      <c r="J30" s="19" t="s">
        <v>1066</v>
      </c>
      <c r="K30" s="4" t="s">
        <v>1001</v>
      </c>
      <c r="L30" s="4" t="s">
        <v>1029</v>
      </c>
      <c r="M30" s="4" t="s">
        <v>61</v>
      </c>
      <c r="N30" s="4" t="s">
        <v>590</v>
      </c>
      <c r="O30" s="4"/>
      <c r="P30" s="4"/>
      <c r="Q30" s="4"/>
      <c r="R30" s="4"/>
      <c r="S30" s="4"/>
      <c r="T30" s="4"/>
      <c r="U30" s="4"/>
      <c r="V30" s="4"/>
      <c r="W30" s="4"/>
      <c r="X30" s="4"/>
      <c r="Y30" s="4"/>
      <c r="Z30" s="4"/>
      <c r="AA30" s="4"/>
      <c r="AB30" s="4"/>
      <c r="AC30" s="4"/>
      <c r="AD30" s="4"/>
      <c r="AE30" s="4"/>
      <c r="AF30" s="4"/>
    </row>
    <row r="31" spans="1:32" ht="15.75" customHeight="1">
      <c r="A31" s="4" t="s">
        <v>397</v>
      </c>
      <c r="B31" s="4"/>
      <c r="C31" s="4"/>
      <c r="D31" s="11" t="s">
        <v>1067</v>
      </c>
      <c r="E31" s="4" t="s">
        <v>1068</v>
      </c>
      <c r="F31" s="50" t="s">
        <v>400</v>
      </c>
      <c r="G31" s="4" t="s">
        <v>61</v>
      </c>
      <c r="H31" s="4" t="s">
        <v>61</v>
      </c>
      <c r="I31" s="4" t="s">
        <v>999</v>
      </c>
      <c r="J31" s="19" t="s">
        <v>1069</v>
      </c>
      <c r="K31" s="4" t="s">
        <v>1001</v>
      </c>
      <c r="L31" s="4" t="s">
        <v>1029</v>
      </c>
      <c r="M31" s="4" t="s">
        <v>61</v>
      </c>
      <c r="N31" s="4" t="s">
        <v>590</v>
      </c>
      <c r="O31" s="4"/>
      <c r="P31" s="4"/>
      <c r="Q31" s="4"/>
      <c r="R31" s="4"/>
      <c r="S31" s="4"/>
      <c r="T31" s="4"/>
      <c r="U31" s="4"/>
      <c r="V31" s="4"/>
      <c r="W31" s="4"/>
      <c r="X31" s="4"/>
      <c r="Y31" s="4"/>
      <c r="Z31" s="4"/>
      <c r="AA31" s="4"/>
      <c r="AB31" s="4"/>
      <c r="AC31" s="4"/>
      <c r="AD31" s="4"/>
      <c r="AE31" s="4"/>
      <c r="AF31" s="4"/>
    </row>
    <row r="32" spans="1:32" ht="15.75" customHeight="1">
      <c r="A32" s="4" t="s">
        <v>402</v>
      </c>
      <c r="B32" s="4"/>
      <c r="C32" s="4"/>
      <c r="D32" s="11" t="s">
        <v>403</v>
      </c>
      <c r="E32" s="4" t="s">
        <v>1070</v>
      </c>
      <c r="F32" s="50" t="s">
        <v>405</v>
      </c>
      <c r="G32" s="4" t="s">
        <v>73</v>
      </c>
      <c r="H32" s="4" t="s">
        <v>73</v>
      </c>
      <c r="I32" s="4" t="s">
        <v>999</v>
      </c>
      <c r="J32" s="19" t="s">
        <v>1071</v>
      </c>
      <c r="K32" s="4" t="s">
        <v>984</v>
      </c>
      <c r="L32" s="4" t="s">
        <v>1014</v>
      </c>
      <c r="M32" s="4" t="s">
        <v>61</v>
      </c>
      <c r="N32" s="4" t="s">
        <v>570</v>
      </c>
      <c r="O32" s="4"/>
      <c r="P32" s="4"/>
      <c r="Q32" s="4"/>
      <c r="R32" s="4"/>
      <c r="S32" s="4"/>
      <c r="T32" s="4"/>
      <c r="U32" s="4"/>
      <c r="V32" s="4"/>
      <c r="W32" s="4"/>
      <c r="X32" s="4"/>
      <c r="Y32" s="4"/>
      <c r="Z32" s="4"/>
      <c r="AA32" s="4"/>
      <c r="AB32" s="4"/>
      <c r="AC32" s="4"/>
      <c r="AD32" s="4"/>
      <c r="AE32" s="4"/>
      <c r="AF32" s="4"/>
    </row>
    <row r="33" spans="1:32" ht="15.75" customHeight="1">
      <c r="A33" s="4" t="s">
        <v>407</v>
      </c>
      <c r="B33" s="4"/>
      <c r="C33" s="4"/>
      <c r="D33" s="11" t="s">
        <v>1072</v>
      </c>
      <c r="E33" s="4" t="s">
        <v>1073</v>
      </c>
      <c r="F33" s="4" t="s">
        <v>410</v>
      </c>
      <c r="G33" s="4" t="s">
        <v>61</v>
      </c>
      <c r="H33" s="4" t="s">
        <v>61</v>
      </c>
      <c r="I33" s="4" t="s">
        <v>61</v>
      </c>
      <c r="J33" s="19" t="s">
        <v>1074</v>
      </c>
      <c r="K33" s="4" t="s">
        <v>1060</v>
      </c>
      <c r="L33" s="4" t="s">
        <v>1029</v>
      </c>
      <c r="M33" s="4" t="s">
        <v>61</v>
      </c>
      <c r="N33" s="4" t="s">
        <v>570</v>
      </c>
      <c r="O33" s="4"/>
      <c r="P33" s="4"/>
      <c r="Q33" s="4"/>
      <c r="R33" s="4"/>
      <c r="S33" s="4"/>
      <c r="T33" s="4"/>
      <c r="U33" s="4"/>
      <c r="V33" s="4"/>
      <c r="W33" s="4"/>
      <c r="X33" s="4"/>
      <c r="Y33" s="4"/>
      <c r="Z33" s="4"/>
      <c r="AA33" s="4"/>
      <c r="AB33" s="4"/>
      <c r="AC33" s="4"/>
      <c r="AD33" s="4"/>
      <c r="AE33" s="4"/>
      <c r="AF33" s="4"/>
    </row>
    <row r="34" spans="1:32" ht="15.75" customHeight="1">
      <c r="A34" s="4" t="s">
        <v>412</v>
      </c>
      <c r="B34" s="4"/>
      <c r="C34" s="4"/>
      <c r="D34" s="11" t="s">
        <v>1075</v>
      </c>
      <c r="E34" s="4" t="s">
        <v>1076</v>
      </c>
      <c r="F34" s="4" t="s">
        <v>415</v>
      </c>
      <c r="G34" s="4" t="s">
        <v>61</v>
      </c>
      <c r="H34" s="4" t="s">
        <v>61</v>
      </c>
      <c r="I34" s="4" t="s">
        <v>73</v>
      </c>
      <c r="J34" s="19" t="s">
        <v>1077</v>
      </c>
      <c r="K34" s="4" t="s">
        <v>1001</v>
      </c>
      <c r="L34" s="4" t="s">
        <v>1029</v>
      </c>
      <c r="M34" s="4" t="s">
        <v>61</v>
      </c>
      <c r="N34" s="4" t="s">
        <v>570</v>
      </c>
      <c r="O34" s="4"/>
      <c r="P34" s="4"/>
      <c r="Q34" s="4"/>
      <c r="R34" s="4"/>
      <c r="S34" s="4"/>
      <c r="T34" s="4"/>
      <c r="U34" s="4"/>
      <c r="V34" s="4"/>
      <c r="W34" s="4"/>
      <c r="X34" s="4"/>
      <c r="Y34" s="4"/>
      <c r="Z34" s="4"/>
      <c r="AA34" s="4"/>
      <c r="AB34" s="4"/>
      <c r="AC34" s="4"/>
      <c r="AD34" s="4"/>
      <c r="AE34" s="4"/>
      <c r="AF34" s="4"/>
    </row>
    <row r="35" spans="1:32" ht="15.75" customHeight="1">
      <c r="A35" s="4" t="s">
        <v>417</v>
      </c>
      <c r="B35" s="4"/>
      <c r="C35" s="4"/>
      <c r="D35" s="11" t="s">
        <v>418</v>
      </c>
      <c r="E35" s="4" t="s">
        <v>1078</v>
      </c>
      <c r="F35" s="50" t="s">
        <v>420</v>
      </c>
      <c r="G35" s="4" t="s">
        <v>1079</v>
      </c>
      <c r="H35" s="4" t="s">
        <v>61</v>
      </c>
      <c r="I35" s="4" t="s">
        <v>61</v>
      </c>
      <c r="J35" s="19" t="s">
        <v>1080</v>
      </c>
      <c r="K35" s="4" t="s">
        <v>984</v>
      </c>
      <c r="L35" s="4" t="s">
        <v>1029</v>
      </c>
      <c r="M35" s="4" t="s">
        <v>61</v>
      </c>
      <c r="N35" s="4" t="s">
        <v>590</v>
      </c>
      <c r="O35" s="4"/>
      <c r="P35" s="4"/>
      <c r="Q35" s="4"/>
      <c r="R35" s="4"/>
      <c r="S35" s="4"/>
      <c r="T35" s="4"/>
      <c r="U35" s="4"/>
      <c r="V35" s="4"/>
      <c r="W35" s="4"/>
      <c r="X35" s="4"/>
      <c r="Y35" s="4"/>
      <c r="Z35" s="4"/>
      <c r="AA35" s="4"/>
      <c r="AB35" s="4"/>
      <c r="AC35" s="4"/>
      <c r="AD35" s="4"/>
      <c r="AE35" s="4"/>
      <c r="AF35" s="4"/>
    </row>
    <row r="36" spans="1:32" ht="15.75" customHeight="1">
      <c r="A36" s="4" t="s">
        <v>422</v>
      </c>
      <c r="B36" s="4"/>
      <c r="C36" s="4"/>
      <c r="D36" s="11" t="s">
        <v>423</v>
      </c>
      <c r="E36" s="4" t="s">
        <v>1081</v>
      </c>
      <c r="F36" s="4" t="s">
        <v>425</v>
      </c>
      <c r="G36" s="4" t="s">
        <v>61</v>
      </c>
      <c r="H36" s="4" t="s">
        <v>61</v>
      </c>
      <c r="I36" s="4" t="s">
        <v>73</v>
      </c>
      <c r="J36" s="19" t="s">
        <v>1082</v>
      </c>
      <c r="K36" s="4" t="s">
        <v>984</v>
      </c>
      <c r="L36" s="4" t="s">
        <v>1011</v>
      </c>
      <c r="M36" s="4" t="s">
        <v>61</v>
      </c>
      <c r="N36" s="4" t="s">
        <v>590</v>
      </c>
      <c r="O36" s="4"/>
      <c r="P36" s="4"/>
      <c r="Q36" s="4"/>
      <c r="R36" s="4"/>
      <c r="S36" s="4"/>
      <c r="T36" s="4"/>
      <c r="U36" s="4"/>
      <c r="V36" s="4"/>
      <c r="W36" s="4"/>
      <c r="X36" s="4"/>
      <c r="Y36" s="4"/>
      <c r="Z36" s="4"/>
      <c r="AA36" s="4"/>
      <c r="AB36" s="4"/>
      <c r="AC36" s="4"/>
      <c r="AD36" s="4"/>
      <c r="AE36" s="4"/>
      <c r="AF36" s="4"/>
    </row>
    <row r="37" spans="1:32" ht="15.75" customHeight="1">
      <c r="A37" s="4" t="s">
        <v>427</v>
      </c>
      <c r="B37" s="4"/>
      <c r="C37" s="4"/>
      <c r="D37" s="11" t="s">
        <v>428</v>
      </c>
      <c r="E37" s="4" t="s">
        <v>1083</v>
      </c>
      <c r="F37" s="4" t="s">
        <v>1084</v>
      </c>
      <c r="G37" s="4" t="s">
        <v>73</v>
      </c>
      <c r="H37" s="4" t="s">
        <v>61</v>
      </c>
      <c r="I37" s="4" t="s">
        <v>999</v>
      </c>
      <c r="J37" s="19" t="s">
        <v>1085</v>
      </c>
      <c r="K37" s="4" t="s">
        <v>1060</v>
      </c>
      <c r="L37" s="4" t="s">
        <v>1024</v>
      </c>
      <c r="M37" s="4" t="s">
        <v>61</v>
      </c>
      <c r="N37" s="4" t="s">
        <v>565</v>
      </c>
      <c r="O37" s="4"/>
      <c r="P37" s="4"/>
      <c r="Q37" s="4"/>
      <c r="R37" s="4"/>
      <c r="S37" s="4"/>
      <c r="T37" s="4"/>
      <c r="U37" s="4"/>
      <c r="V37" s="4"/>
      <c r="W37" s="4"/>
      <c r="X37" s="4"/>
      <c r="Y37" s="4"/>
      <c r="Z37" s="4"/>
      <c r="AA37" s="4"/>
      <c r="AB37" s="4"/>
      <c r="AC37" s="4"/>
      <c r="AD37" s="4"/>
      <c r="AE37" s="4"/>
      <c r="AF37" s="4"/>
    </row>
    <row r="38" spans="1:32" ht="15.75" customHeight="1">
      <c r="A38" s="4" t="s">
        <v>432</v>
      </c>
      <c r="B38" s="4"/>
      <c r="C38" s="4"/>
      <c r="D38" s="11" t="s">
        <v>433</v>
      </c>
      <c r="E38" s="4" t="s">
        <v>1086</v>
      </c>
      <c r="F38" s="4" t="s">
        <v>435</v>
      </c>
      <c r="G38" s="4" t="s">
        <v>61</v>
      </c>
      <c r="H38" s="4" t="s">
        <v>61</v>
      </c>
      <c r="I38" s="4" t="s">
        <v>999</v>
      </c>
      <c r="J38" s="19" t="s">
        <v>1087</v>
      </c>
      <c r="K38" s="4" t="s">
        <v>1001</v>
      </c>
      <c r="L38" s="4" t="s">
        <v>1011</v>
      </c>
      <c r="M38" s="4" t="s">
        <v>61</v>
      </c>
      <c r="N38" s="4" t="s">
        <v>590</v>
      </c>
      <c r="O38" s="4"/>
      <c r="P38" s="4"/>
      <c r="Q38" s="4"/>
      <c r="R38" s="4"/>
      <c r="S38" s="4"/>
      <c r="T38" s="4"/>
      <c r="U38" s="4"/>
      <c r="V38" s="4"/>
      <c r="W38" s="4"/>
      <c r="X38" s="4"/>
      <c r="Y38" s="4"/>
      <c r="Z38" s="4"/>
      <c r="AA38" s="4"/>
      <c r="AB38" s="4"/>
      <c r="AC38" s="4"/>
      <c r="AD38" s="4"/>
      <c r="AE38" s="4"/>
      <c r="AF38" s="4"/>
    </row>
    <row r="39" spans="1:32" ht="15.75" customHeight="1">
      <c r="A39" s="4" t="s">
        <v>437</v>
      </c>
      <c r="B39" s="4"/>
      <c r="C39" s="4"/>
      <c r="D39" s="11" t="s">
        <v>438</v>
      </c>
      <c r="E39" s="4" t="s">
        <v>1088</v>
      </c>
      <c r="F39" s="4" t="s">
        <v>440</v>
      </c>
      <c r="G39" s="4" t="s">
        <v>61</v>
      </c>
      <c r="H39" s="4" t="s">
        <v>61</v>
      </c>
      <c r="I39" s="4" t="s">
        <v>999</v>
      </c>
      <c r="J39" s="19" t="s">
        <v>1089</v>
      </c>
      <c r="K39" s="4" t="s">
        <v>1001</v>
      </c>
      <c r="L39" s="4" t="s">
        <v>1029</v>
      </c>
      <c r="M39" s="4" t="s">
        <v>61</v>
      </c>
      <c r="N39" s="4" t="s">
        <v>590</v>
      </c>
      <c r="O39" s="4"/>
      <c r="P39" s="4"/>
      <c r="Q39" s="4"/>
      <c r="R39" s="4"/>
      <c r="S39" s="4"/>
      <c r="T39" s="4"/>
      <c r="U39" s="4"/>
      <c r="V39" s="4"/>
      <c r="W39" s="4"/>
      <c r="X39" s="4"/>
      <c r="Y39" s="4"/>
      <c r="Z39" s="4"/>
      <c r="AA39" s="4"/>
      <c r="AB39" s="4"/>
      <c r="AC39" s="4"/>
      <c r="AD39" s="4"/>
      <c r="AE39" s="4"/>
      <c r="AF39" s="4"/>
    </row>
    <row r="40" spans="1:32" ht="15.75" customHeight="1">
      <c r="A40" s="4" t="s">
        <v>442</v>
      </c>
      <c r="B40" s="4"/>
      <c r="C40" s="4" t="s">
        <v>1090</v>
      </c>
      <c r="D40" s="11" t="s">
        <v>1091</v>
      </c>
      <c r="E40" s="4" t="s">
        <v>1092</v>
      </c>
      <c r="F40" s="4" t="s">
        <v>1093</v>
      </c>
      <c r="G40" s="4" t="s">
        <v>73</v>
      </c>
      <c r="H40" s="4" t="s">
        <v>61</v>
      </c>
      <c r="I40" s="4" t="s">
        <v>999</v>
      </c>
      <c r="J40" s="19" t="s">
        <v>1094</v>
      </c>
      <c r="K40" s="4" t="s">
        <v>984</v>
      </c>
      <c r="L40" s="4" t="s">
        <v>1024</v>
      </c>
      <c r="M40" s="4" t="s">
        <v>73</v>
      </c>
      <c r="N40" s="4" t="s">
        <v>681</v>
      </c>
      <c r="O40" s="4"/>
      <c r="P40" s="4"/>
      <c r="Q40" s="4"/>
      <c r="R40" s="4"/>
      <c r="S40" s="4"/>
      <c r="T40" s="4"/>
      <c r="U40" s="4"/>
      <c r="V40" s="4"/>
      <c r="W40" s="4"/>
      <c r="X40" s="4"/>
      <c r="Y40" s="4"/>
      <c r="Z40" s="4"/>
      <c r="AA40" s="4"/>
      <c r="AB40" s="4"/>
      <c r="AC40" s="4"/>
      <c r="AD40" s="4"/>
      <c r="AE40" s="4"/>
      <c r="AF40" s="4"/>
    </row>
    <row r="41" spans="1:32" ht="15.75" customHeight="1">
      <c r="A41" s="4" t="s">
        <v>447</v>
      </c>
      <c r="B41" s="4"/>
      <c r="C41" s="4"/>
      <c r="D41" s="11" t="s">
        <v>448</v>
      </c>
      <c r="E41" s="4" t="s">
        <v>1095</v>
      </c>
      <c r="F41" s="4" t="s">
        <v>1096</v>
      </c>
      <c r="G41" s="4" t="s">
        <v>27</v>
      </c>
      <c r="H41" s="4" t="s">
        <v>73</v>
      </c>
      <c r="I41" s="4" t="s">
        <v>999</v>
      </c>
      <c r="J41" s="19" t="s">
        <v>1097</v>
      </c>
      <c r="K41" s="4" t="s">
        <v>1001</v>
      </c>
      <c r="L41" s="4" t="s">
        <v>1011</v>
      </c>
      <c r="M41" s="4" t="s">
        <v>61</v>
      </c>
      <c r="N41" s="4" t="s">
        <v>570</v>
      </c>
      <c r="O41" s="4"/>
      <c r="P41" s="4"/>
      <c r="Q41" s="4"/>
      <c r="R41" s="4"/>
      <c r="S41" s="4"/>
      <c r="T41" s="4"/>
      <c r="U41" s="4"/>
      <c r="V41" s="4"/>
      <c r="W41" s="4"/>
      <c r="X41" s="4"/>
      <c r="Y41" s="4"/>
      <c r="Z41" s="4"/>
      <c r="AA41" s="4"/>
      <c r="AB41" s="4"/>
      <c r="AC41" s="4"/>
      <c r="AD41" s="4"/>
      <c r="AE41" s="4"/>
      <c r="AF41" s="4"/>
    </row>
    <row r="42" spans="1:32" ht="15.75" customHeight="1">
      <c r="A42" s="4" t="s">
        <v>1098</v>
      </c>
      <c r="B42" s="4"/>
      <c r="C42" s="4"/>
      <c r="D42" s="11" t="s">
        <v>453</v>
      </c>
      <c r="E42" s="4" t="s">
        <v>1099</v>
      </c>
      <c r="F42" s="50" t="s">
        <v>455</v>
      </c>
      <c r="G42" s="4" t="s">
        <v>61</v>
      </c>
      <c r="H42" s="4" t="s">
        <v>61</v>
      </c>
      <c r="I42" s="4" t="s">
        <v>999</v>
      </c>
      <c r="J42" s="19" t="s">
        <v>1100</v>
      </c>
      <c r="K42" s="4" t="s">
        <v>1001</v>
      </c>
      <c r="L42" s="4" t="s">
        <v>1029</v>
      </c>
      <c r="M42" s="4" t="s">
        <v>61</v>
      </c>
      <c r="N42" s="4" t="s">
        <v>590</v>
      </c>
      <c r="O42" s="4"/>
      <c r="P42" s="4"/>
      <c r="Q42" s="4"/>
      <c r="R42" s="4"/>
      <c r="S42" s="4"/>
      <c r="T42" s="4"/>
      <c r="U42" s="4"/>
      <c r="V42" s="4"/>
      <c r="W42" s="4"/>
      <c r="X42" s="4"/>
      <c r="Y42" s="4"/>
      <c r="Z42" s="4"/>
      <c r="AA42" s="4"/>
      <c r="AB42" s="4"/>
      <c r="AC42" s="4"/>
      <c r="AD42" s="4"/>
      <c r="AE42" s="4"/>
      <c r="AF42" s="4"/>
    </row>
    <row r="43" spans="1:32" ht="15.75" customHeight="1">
      <c r="A43" s="4" t="s">
        <v>1101</v>
      </c>
      <c r="B43" s="4"/>
      <c r="C43" s="4"/>
      <c r="D43" s="11" t="s">
        <v>458</v>
      </c>
      <c r="E43" s="4" t="s">
        <v>1102</v>
      </c>
      <c r="F43" s="4" t="s">
        <v>1103</v>
      </c>
      <c r="G43" s="4" t="s">
        <v>61</v>
      </c>
      <c r="H43" s="4" t="s">
        <v>61</v>
      </c>
      <c r="I43" s="4" t="s">
        <v>61</v>
      </c>
      <c r="J43" s="19" t="s">
        <v>1104</v>
      </c>
      <c r="K43" s="4" t="s">
        <v>1001</v>
      </c>
      <c r="L43" s="4" t="s">
        <v>1029</v>
      </c>
      <c r="M43" s="4" t="s">
        <v>61</v>
      </c>
      <c r="N43" s="4" t="s">
        <v>590</v>
      </c>
      <c r="O43" s="4"/>
      <c r="P43" s="4"/>
      <c r="Q43" s="4"/>
      <c r="R43" s="4"/>
      <c r="S43" s="4"/>
      <c r="T43" s="4"/>
      <c r="U43" s="4"/>
      <c r="V43" s="4"/>
      <c r="W43" s="4"/>
      <c r="X43" s="4"/>
      <c r="Y43" s="4"/>
      <c r="Z43" s="4"/>
      <c r="AA43" s="4"/>
      <c r="AB43" s="4"/>
      <c r="AC43" s="4"/>
      <c r="AD43" s="4"/>
      <c r="AE43" s="4"/>
      <c r="AF43" s="4"/>
    </row>
    <row r="44" spans="1:32" ht="15.75" customHeight="1">
      <c r="A44" s="4" t="s">
        <v>462</v>
      </c>
      <c r="B44" s="4"/>
      <c r="C44" s="4"/>
      <c r="D44" s="11" t="s">
        <v>463</v>
      </c>
      <c r="E44" s="4" t="s">
        <v>1105</v>
      </c>
      <c r="F44" s="4" t="s">
        <v>465</v>
      </c>
      <c r="G44" s="4" t="s">
        <v>73</v>
      </c>
      <c r="H44" s="4" t="s">
        <v>61</v>
      </c>
      <c r="I44" s="4" t="s">
        <v>999</v>
      </c>
      <c r="J44" s="19" t="s">
        <v>1106</v>
      </c>
      <c r="K44" s="4" t="s">
        <v>1001</v>
      </c>
      <c r="L44" s="4" t="s">
        <v>1107</v>
      </c>
      <c r="M44" s="4" t="s">
        <v>73</v>
      </c>
      <c r="N44" s="4" t="s">
        <v>681</v>
      </c>
      <c r="O44" s="4"/>
      <c r="P44" s="4"/>
      <c r="Q44" s="4"/>
      <c r="R44" s="4"/>
      <c r="S44" s="4"/>
      <c r="T44" s="4"/>
      <c r="U44" s="4"/>
      <c r="V44" s="4"/>
      <c r="W44" s="4"/>
      <c r="X44" s="4"/>
      <c r="Y44" s="4"/>
      <c r="Z44" s="4"/>
      <c r="AA44" s="4"/>
      <c r="AB44" s="4"/>
      <c r="AC44" s="4"/>
      <c r="AD44" s="4"/>
      <c r="AE44" s="4"/>
      <c r="AF44" s="4"/>
    </row>
    <row r="45" spans="1:32" ht="15.75" customHeight="1">
      <c r="A45" s="4" t="s">
        <v>467</v>
      </c>
      <c r="B45" s="4"/>
      <c r="C45" s="4"/>
      <c r="D45" s="11" t="s">
        <v>468</v>
      </c>
      <c r="E45" s="4" t="s">
        <v>1108</v>
      </c>
      <c r="F45" s="4" t="s">
        <v>470</v>
      </c>
      <c r="G45" s="4" t="s">
        <v>61</v>
      </c>
      <c r="H45" s="4" t="s">
        <v>61</v>
      </c>
      <c r="I45" s="4" t="s">
        <v>999</v>
      </c>
      <c r="J45" s="19" t="s">
        <v>1109</v>
      </c>
      <c r="K45" s="4" t="s">
        <v>1001</v>
      </c>
      <c r="L45" s="4" t="s">
        <v>1029</v>
      </c>
      <c r="M45" s="4" t="s">
        <v>61</v>
      </c>
      <c r="N45" s="4" t="s">
        <v>590</v>
      </c>
      <c r="O45" s="4"/>
      <c r="P45" s="4"/>
      <c r="Q45" s="4"/>
      <c r="R45" s="4"/>
      <c r="S45" s="4"/>
      <c r="T45" s="4"/>
      <c r="U45" s="4"/>
      <c r="V45" s="4"/>
      <c r="W45" s="4"/>
      <c r="X45" s="4"/>
      <c r="Y45" s="4"/>
      <c r="Z45" s="4"/>
      <c r="AA45" s="4"/>
      <c r="AB45" s="4"/>
      <c r="AC45" s="4"/>
      <c r="AD45" s="4"/>
      <c r="AE45" s="4"/>
      <c r="AF45" s="4"/>
    </row>
    <row r="46" spans="1:32" ht="15.75" customHeight="1">
      <c r="A46" s="4" t="s">
        <v>472</v>
      </c>
      <c r="B46" s="4"/>
      <c r="C46" s="4"/>
      <c r="D46" s="11" t="s">
        <v>473</v>
      </c>
      <c r="E46" s="4" t="s">
        <v>1110</v>
      </c>
      <c r="F46" s="4" t="s">
        <v>1111</v>
      </c>
      <c r="G46" s="4" t="s">
        <v>61</v>
      </c>
      <c r="H46" s="4" t="s">
        <v>61</v>
      </c>
      <c r="I46" s="4" t="s">
        <v>999</v>
      </c>
      <c r="J46" s="19" t="s">
        <v>1112</v>
      </c>
      <c r="K46" s="4" t="s">
        <v>1001</v>
      </c>
      <c r="L46" s="4" t="s">
        <v>1029</v>
      </c>
      <c r="M46" s="4" t="s">
        <v>61</v>
      </c>
      <c r="N46" s="4" t="s">
        <v>590</v>
      </c>
      <c r="O46" s="4"/>
      <c r="P46" s="4"/>
      <c r="Q46" s="4"/>
      <c r="R46" s="4"/>
      <c r="S46" s="4"/>
      <c r="T46" s="4"/>
      <c r="U46" s="4"/>
      <c r="V46" s="4"/>
      <c r="W46" s="4"/>
      <c r="X46" s="4"/>
      <c r="Y46" s="4"/>
      <c r="Z46" s="4"/>
      <c r="AA46" s="4"/>
      <c r="AB46" s="4"/>
      <c r="AC46" s="4"/>
      <c r="AD46" s="4"/>
      <c r="AE46" s="4"/>
      <c r="AF46" s="4"/>
    </row>
    <row r="47" spans="1:32" ht="15.75" customHeight="1">
      <c r="A47" s="4" t="s">
        <v>477</v>
      </c>
      <c r="B47" s="4"/>
      <c r="C47" s="4"/>
      <c r="D47" s="11" t="s">
        <v>478</v>
      </c>
      <c r="E47" s="4" t="s">
        <v>1113</v>
      </c>
      <c r="F47" s="4" t="s">
        <v>480</v>
      </c>
      <c r="G47" s="4" t="s">
        <v>73</v>
      </c>
      <c r="H47" s="4" t="s">
        <v>73</v>
      </c>
      <c r="I47" s="4" t="s">
        <v>999</v>
      </c>
      <c r="J47" s="19" t="s">
        <v>1114</v>
      </c>
      <c r="K47" s="4" t="s">
        <v>1001</v>
      </c>
      <c r="L47" s="4" t="s">
        <v>1107</v>
      </c>
      <c r="M47" s="4" t="s">
        <v>73</v>
      </c>
      <c r="N47" s="4" t="s">
        <v>681</v>
      </c>
      <c r="O47" s="4"/>
      <c r="P47" s="4"/>
      <c r="Q47" s="4"/>
      <c r="R47" s="4"/>
      <c r="S47" s="4"/>
      <c r="T47" s="4"/>
      <c r="U47" s="4"/>
      <c r="V47" s="4"/>
      <c r="W47" s="4"/>
      <c r="X47" s="4"/>
      <c r="Y47" s="4"/>
      <c r="Z47" s="4"/>
      <c r="AA47" s="4"/>
      <c r="AB47" s="4"/>
      <c r="AC47" s="4"/>
      <c r="AD47" s="4"/>
      <c r="AE47" s="4"/>
      <c r="AF47" s="4"/>
    </row>
    <row r="48" spans="1:32" ht="15.75" customHeight="1">
      <c r="A48" s="4" t="s">
        <v>482</v>
      </c>
      <c r="B48" s="4"/>
      <c r="C48" s="4"/>
      <c r="D48" s="11" t="s">
        <v>483</v>
      </c>
      <c r="E48" s="4" t="s">
        <v>1115</v>
      </c>
      <c r="F48" s="4" t="s">
        <v>485</v>
      </c>
      <c r="G48" s="4" t="s">
        <v>61</v>
      </c>
      <c r="H48" s="4" t="s">
        <v>61</v>
      </c>
      <c r="I48" s="4" t="s">
        <v>61</v>
      </c>
      <c r="J48" s="19" t="s">
        <v>1116</v>
      </c>
      <c r="K48" s="4" t="s">
        <v>984</v>
      </c>
      <c r="L48" s="4" t="s">
        <v>1029</v>
      </c>
      <c r="M48" s="4" t="s">
        <v>61</v>
      </c>
      <c r="N48" s="4" t="s">
        <v>590</v>
      </c>
      <c r="O48" s="4"/>
      <c r="P48" s="4"/>
      <c r="Q48" s="4"/>
      <c r="R48" s="4"/>
      <c r="S48" s="4"/>
      <c r="T48" s="4"/>
      <c r="U48" s="4"/>
      <c r="V48" s="4"/>
      <c r="W48" s="4"/>
      <c r="X48" s="4"/>
      <c r="Y48" s="4"/>
      <c r="Z48" s="4"/>
      <c r="AA48" s="4"/>
      <c r="AB48" s="4"/>
      <c r="AC48" s="4"/>
      <c r="AD48" s="4"/>
      <c r="AE48" s="4"/>
      <c r="AF48" s="4"/>
    </row>
    <row r="49" spans="1:32" ht="15.75" customHeight="1">
      <c r="A49" s="4" t="s">
        <v>487</v>
      </c>
      <c r="B49" s="4" t="s">
        <v>1117</v>
      </c>
      <c r="C49" s="4"/>
      <c r="D49" s="11" t="s">
        <v>488</v>
      </c>
      <c r="E49" s="4" t="s">
        <v>1118</v>
      </c>
      <c r="F49" s="4" t="s">
        <v>1119</v>
      </c>
      <c r="G49" s="4" t="s">
        <v>73</v>
      </c>
      <c r="H49" s="4" t="s">
        <v>61</v>
      </c>
      <c r="I49" s="4" t="s">
        <v>999</v>
      </c>
      <c r="J49" s="19" t="s">
        <v>1120</v>
      </c>
      <c r="K49" s="4" t="s">
        <v>1001</v>
      </c>
      <c r="L49" s="4" t="s">
        <v>1107</v>
      </c>
      <c r="M49" s="4" t="s">
        <v>73</v>
      </c>
      <c r="N49" s="4" t="s">
        <v>681</v>
      </c>
      <c r="O49" s="4"/>
      <c r="P49" s="4"/>
      <c r="Q49" s="4"/>
      <c r="R49" s="4"/>
      <c r="S49" s="4"/>
      <c r="T49" s="4"/>
      <c r="U49" s="4"/>
      <c r="V49" s="4"/>
      <c r="W49" s="4"/>
      <c r="X49" s="4"/>
      <c r="Y49" s="4"/>
      <c r="Z49" s="4"/>
      <c r="AA49" s="4"/>
      <c r="AB49" s="4"/>
      <c r="AC49" s="4"/>
      <c r="AD49" s="4"/>
      <c r="AE49" s="4"/>
      <c r="AF49" s="4"/>
    </row>
    <row r="50" spans="1:32" ht="15.75" customHeight="1">
      <c r="A50" s="4" t="s">
        <v>1121</v>
      </c>
      <c r="B50" s="4"/>
      <c r="C50" s="4"/>
      <c r="D50" s="11" t="s">
        <v>493</v>
      </c>
      <c r="E50" s="4" t="s">
        <v>1122</v>
      </c>
      <c r="F50" s="4" t="s">
        <v>495</v>
      </c>
      <c r="G50" s="4" t="s">
        <v>73</v>
      </c>
      <c r="H50" s="4" t="s">
        <v>61</v>
      </c>
      <c r="I50" s="4" t="s">
        <v>999</v>
      </c>
      <c r="J50" s="19" t="s">
        <v>1123</v>
      </c>
      <c r="K50" s="4" t="s">
        <v>1060</v>
      </c>
      <c r="L50" s="4" t="s">
        <v>1014</v>
      </c>
      <c r="M50" s="4" t="s">
        <v>61</v>
      </c>
      <c r="N50" s="4" t="s">
        <v>590</v>
      </c>
      <c r="O50" s="4"/>
      <c r="P50" s="4"/>
      <c r="Q50" s="4"/>
      <c r="R50" s="4"/>
      <c r="S50" s="4"/>
      <c r="T50" s="4"/>
      <c r="U50" s="4"/>
      <c r="V50" s="4"/>
      <c r="W50" s="4"/>
      <c r="X50" s="4"/>
      <c r="Y50" s="4"/>
      <c r="Z50" s="4"/>
      <c r="AA50" s="4"/>
      <c r="AB50" s="4"/>
      <c r="AC50" s="4"/>
      <c r="AD50" s="4"/>
      <c r="AE50" s="4"/>
      <c r="AF50" s="4"/>
    </row>
    <row r="51" spans="1:32" ht="15.75" customHeight="1">
      <c r="A51" s="4" t="s">
        <v>1124</v>
      </c>
      <c r="B51" s="4"/>
      <c r="C51" s="4"/>
      <c r="D51" s="11" t="s">
        <v>498</v>
      </c>
      <c r="E51" s="4" t="s">
        <v>1125</v>
      </c>
      <c r="F51" s="4" t="s">
        <v>500</v>
      </c>
      <c r="G51" s="4" t="s">
        <v>61</v>
      </c>
      <c r="H51" s="4" t="s">
        <v>61</v>
      </c>
      <c r="I51" s="4" t="s">
        <v>999</v>
      </c>
      <c r="J51" s="19" t="s">
        <v>1126</v>
      </c>
      <c r="K51" s="4" t="s">
        <v>984</v>
      </c>
      <c r="L51" s="4" t="s">
        <v>1029</v>
      </c>
      <c r="M51" s="4" t="s">
        <v>61</v>
      </c>
      <c r="N51" s="4" t="s">
        <v>590</v>
      </c>
      <c r="O51" s="4"/>
      <c r="P51" s="4"/>
      <c r="Q51" s="4"/>
      <c r="R51" s="4"/>
      <c r="S51" s="4"/>
      <c r="T51" s="4"/>
      <c r="U51" s="4"/>
      <c r="V51" s="4"/>
      <c r="W51" s="4"/>
      <c r="X51" s="4"/>
      <c r="Y51" s="4"/>
      <c r="Z51" s="4"/>
      <c r="AA51" s="4"/>
      <c r="AB51" s="4"/>
      <c r="AC51" s="4"/>
      <c r="AD51" s="4"/>
      <c r="AE51" s="4"/>
      <c r="AF51" s="4"/>
    </row>
    <row r="52" spans="1:32" ht="15.75" customHeight="1">
      <c r="A52" s="4" t="s">
        <v>1127</v>
      </c>
      <c r="B52" s="4"/>
      <c r="C52" s="4"/>
      <c r="D52" s="11" t="s">
        <v>503</v>
      </c>
      <c r="E52" s="4" t="s">
        <v>1128</v>
      </c>
      <c r="F52" s="4" t="s">
        <v>505</v>
      </c>
      <c r="G52" s="4" t="s">
        <v>73</v>
      </c>
      <c r="H52" s="4" t="s">
        <v>61</v>
      </c>
      <c r="I52" s="4" t="s">
        <v>999</v>
      </c>
      <c r="J52" s="19" t="s">
        <v>1129</v>
      </c>
      <c r="K52" s="4" t="s">
        <v>1060</v>
      </c>
      <c r="L52" s="4" t="s">
        <v>1014</v>
      </c>
      <c r="M52" s="4" t="s">
        <v>61</v>
      </c>
      <c r="N52" s="4" t="s">
        <v>590</v>
      </c>
      <c r="O52" s="4"/>
      <c r="P52" s="4"/>
      <c r="Q52" s="4"/>
      <c r="R52" s="4"/>
      <c r="S52" s="4"/>
      <c r="T52" s="4"/>
      <c r="U52" s="4"/>
      <c r="V52" s="4"/>
      <c r="W52" s="4"/>
      <c r="X52" s="4"/>
      <c r="Y52" s="4"/>
      <c r="Z52" s="4"/>
      <c r="AA52" s="4"/>
      <c r="AB52" s="4"/>
      <c r="AC52" s="4"/>
      <c r="AD52" s="4"/>
      <c r="AE52" s="4"/>
      <c r="AF52" s="4"/>
    </row>
    <row r="53" spans="1:32" ht="15.75" customHeight="1">
      <c r="A53" s="4" t="s">
        <v>507</v>
      </c>
      <c r="B53" s="4"/>
      <c r="C53" s="4"/>
      <c r="D53" s="11" t="s">
        <v>508</v>
      </c>
      <c r="E53" s="4" t="s">
        <v>1130</v>
      </c>
      <c r="F53" s="4" t="s">
        <v>510</v>
      </c>
      <c r="G53" s="4" t="s">
        <v>73</v>
      </c>
      <c r="H53" s="4" t="s">
        <v>73</v>
      </c>
      <c r="I53" s="4" t="s">
        <v>999</v>
      </c>
      <c r="J53" s="19" t="s">
        <v>1131</v>
      </c>
      <c r="K53" s="4" t="s">
        <v>1001</v>
      </c>
      <c r="L53" s="4" t="s">
        <v>1014</v>
      </c>
      <c r="M53" s="4" t="s">
        <v>61</v>
      </c>
      <c r="N53" s="4" t="s">
        <v>590</v>
      </c>
      <c r="O53" s="4"/>
      <c r="P53" s="4"/>
      <c r="Q53" s="4"/>
      <c r="R53" s="4"/>
      <c r="S53" s="4"/>
      <c r="T53" s="4"/>
      <c r="U53" s="4"/>
      <c r="V53" s="4"/>
      <c r="W53" s="4"/>
      <c r="X53" s="4"/>
      <c r="Y53" s="4"/>
      <c r="Z53" s="4"/>
      <c r="AA53" s="4"/>
      <c r="AB53" s="4"/>
      <c r="AC53" s="4"/>
      <c r="AD53" s="4"/>
      <c r="AE53" s="4"/>
      <c r="AF53" s="4"/>
    </row>
    <row r="54" spans="1:32" ht="15.75" customHeight="1">
      <c r="A54" s="4" t="s">
        <v>513</v>
      </c>
      <c r="B54" s="4"/>
      <c r="C54" s="4"/>
      <c r="D54" s="11" t="s">
        <v>1132</v>
      </c>
      <c r="E54" s="4" t="s">
        <v>1133</v>
      </c>
      <c r="F54" s="4" t="s">
        <v>1134</v>
      </c>
      <c r="G54" s="4" t="s">
        <v>61</v>
      </c>
      <c r="H54" s="4" t="s">
        <v>61</v>
      </c>
      <c r="I54" s="4" t="s">
        <v>999</v>
      </c>
      <c r="J54" s="19" t="s">
        <v>1135</v>
      </c>
      <c r="K54" s="4" t="s">
        <v>1001</v>
      </c>
      <c r="L54" s="4" t="s">
        <v>1029</v>
      </c>
      <c r="M54" s="4" t="s">
        <v>61</v>
      </c>
      <c r="N54" s="4" t="s">
        <v>590</v>
      </c>
      <c r="O54" s="4"/>
      <c r="P54" s="4"/>
      <c r="Q54" s="4"/>
      <c r="R54" s="4"/>
      <c r="S54" s="4"/>
      <c r="T54" s="4"/>
      <c r="U54" s="4"/>
      <c r="V54" s="4"/>
      <c r="W54" s="4"/>
      <c r="X54" s="4"/>
      <c r="Y54" s="4"/>
      <c r="Z54" s="4"/>
      <c r="AA54" s="4"/>
      <c r="AB54" s="4"/>
      <c r="AC54" s="4"/>
      <c r="AD54" s="4"/>
      <c r="AE54" s="4"/>
      <c r="AF54" s="4"/>
    </row>
    <row r="55" spans="1:32" ht="15.75" customHeight="1">
      <c r="A55" s="4" t="s">
        <v>519</v>
      </c>
      <c r="B55" s="4"/>
      <c r="C55" s="4" t="s">
        <v>1136</v>
      </c>
      <c r="D55" s="11" t="s">
        <v>520</v>
      </c>
      <c r="E55" s="4" t="s">
        <v>1137</v>
      </c>
      <c r="F55" s="4" t="s">
        <v>522</v>
      </c>
      <c r="G55" s="4" t="s">
        <v>73</v>
      </c>
      <c r="H55" s="4" t="s">
        <v>73</v>
      </c>
      <c r="I55" s="4" t="s">
        <v>999</v>
      </c>
      <c r="J55" s="19" t="s">
        <v>1138</v>
      </c>
      <c r="K55" s="4" t="s">
        <v>984</v>
      </c>
      <c r="L55" s="4" t="s">
        <v>1139</v>
      </c>
      <c r="M55" s="4" t="s">
        <v>73</v>
      </c>
      <c r="N55" s="4" t="s">
        <v>681</v>
      </c>
      <c r="O55" s="4"/>
      <c r="P55" s="4"/>
      <c r="Q55" s="4"/>
      <c r="R55" s="4"/>
      <c r="S55" s="4"/>
      <c r="T55" s="4"/>
      <c r="U55" s="4"/>
      <c r="V55" s="4"/>
      <c r="W55" s="4"/>
      <c r="X55" s="4"/>
      <c r="Y55" s="4"/>
      <c r="Z55" s="4"/>
      <c r="AA55" s="4"/>
      <c r="AB55" s="4"/>
      <c r="AC55" s="4"/>
      <c r="AD55" s="4"/>
      <c r="AE55" s="4"/>
      <c r="AF55" s="4"/>
    </row>
    <row r="56" spans="1:32" ht="15.75" customHeight="1">
      <c r="A56" s="4" t="s">
        <v>525</v>
      </c>
      <c r="B56" s="4"/>
      <c r="C56" s="4"/>
      <c r="D56" s="11" t="s">
        <v>526</v>
      </c>
      <c r="E56" s="4" t="s">
        <v>1140</v>
      </c>
      <c r="F56" s="50" t="s">
        <v>528</v>
      </c>
      <c r="G56" s="4" t="s">
        <v>73</v>
      </c>
      <c r="H56" s="4" t="s">
        <v>73</v>
      </c>
      <c r="I56" s="4" t="s">
        <v>999</v>
      </c>
      <c r="J56" s="19" t="s">
        <v>1141</v>
      </c>
      <c r="K56" s="4" t="s">
        <v>1001</v>
      </c>
      <c r="L56" s="4" t="s">
        <v>1107</v>
      </c>
      <c r="M56" s="4" t="s">
        <v>73</v>
      </c>
      <c r="N56" s="4" t="s">
        <v>681</v>
      </c>
      <c r="O56" s="4"/>
      <c r="P56" s="4"/>
      <c r="Q56" s="4"/>
      <c r="R56" s="4"/>
      <c r="S56" s="4"/>
      <c r="T56" s="4"/>
      <c r="U56" s="4"/>
      <c r="V56" s="4"/>
      <c r="W56" s="4"/>
      <c r="X56" s="4"/>
      <c r="Y56" s="4"/>
      <c r="Z56" s="4"/>
      <c r="AA56" s="4"/>
      <c r="AB56" s="4"/>
      <c r="AC56" s="4"/>
      <c r="AD56" s="4"/>
      <c r="AE56" s="4"/>
      <c r="AF56" s="4"/>
    </row>
    <row r="57" spans="1:32" ht="15.75" customHeight="1">
      <c r="A57" s="4" t="s">
        <v>1142</v>
      </c>
      <c r="B57" s="4"/>
      <c r="C57" s="4" t="s">
        <v>1143</v>
      </c>
      <c r="D57" s="11" t="s">
        <v>1144</v>
      </c>
      <c r="E57" s="4" t="s">
        <v>1145</v>
      </c>
      <c r="F57" s="4" t="s">
        <v>1146</v>
      </c>
      <c r="G57" s="4" t="s">
        <v>73</v>
      </c>
      <c r="H57" s="4" t="s">
        <v>73</v>
      </c>
      <c r="I57" s="4" t="s">
        <v>999</v>
      </c>
      <c r="J57" s="19" t="s">
        <v>1147</v>
      </c>
      <c r="K57" s="4" t="s">
        <v>1001</v>
      </c>
      <c r="L57" s="4" t="s">
        <v>1014</v>
      </c>
      <c r="M57" s="4" t="s">
        <v>61</v>
      </c>
      <c r="N57" s="4" t="s">
        <v>590</v>
      </c>
      <c r="O57" s="4"/>
      <c r="P57" s="4"/>
      <c r="Q57" s="4"/>
      <c r="R57" s="4"/>
      <c r="S57" s="4"/>
      <c r="T57" s="4"/>
      <c r="U57" s="4"/>
      <c r="V57" s="4"/>
      <c r="W57" s="4"/>
      <c r="X57" s="4"/>
      <c r="Y57" s="4"/>
      <c r="Z57" s="4"/>
      <c r="AA57" s="4"/>
      <c r="AB57" s="4"/>
      <c r="AC57" s="4"/>
      <c r="AD57" s="4"/>
      <c r="AE57" s="4"/>
      <c r="AF57" s="4"/>
    </row>
    <row r="58" spans="1:32" ht="15.75" customHeight="1">
      <c r="A58" s="4" t="s">
        <v>1148</v>
      </c>
      <c r="B58" s="4"/>
      <c r="C58" s="4"/>
      <c r="D58" s="11" t="s">
        <v>538</v>
      </c>
      <c r="E58" s="4" t="s">
        <v>1149</v>
      </c>
      <c r="F58" s="4" t="s">
        <v>540</v>
      </c>
      <c r="G58" s="4" t="s">
        <v>61</v>
      </c>
      <c r="H58" s="4" t="s">
        <v>73</v>
      </c>
      <c r="I58" s="4" t="s">
        <v>61</v>
      </c>
      <c r="J58" s="19" t="s">
        <v>1150</v>
      </c>
      <c r="K58" s="4" t="s">
        <v>1001</v>
      </c>
      <c r="L58" s="4" t="s">
        <v>1029</v>
      </c>
      <c r="M58" s="4" t="s">
        <v>61</v>
      </c>
      <c r="N58" s="4" t="s">
        <v>570</v>
      </c>
      <c r="O58" s="4"/>
      <c r="P58" s="4"/>
      <c r="Q58" s="4"/>
      <c r="R58" s="4"/>
      <c r="S58" s="4"/>
      <c r="T58" s="4"/>
      <c r="U58" s="4"/>
      <c r="V58" s="4"/>
      <c r="W58" s="4"/>
      <c r="X58" s="4"/>
      <c r="Y58" s="4"/>
      <c r="Z58" s="4"/>
      <c r="AA58" s="4"/>
      <c r="AB58" s="4"/>
      <c r="AC58" s="4"/>
      <c r="AD58" s="4"/>
      <c r="AE58" s="4"/>
      <c r="AF58" s="4"/>
    </row>
    <row r="59" spans="1:32" ht="15.75" customHeight="1">
      <c r="A59" s="3" t="s">
        <v>1151</v>
      </c>
      <c r="B59" s="4"/>
      <c r="C59" s="4"/>
      <c r="D59" s="11" t="s">
        <v>543</v>
      </c>
      <c r="E59" s="4" t="s">
        <v>1152</v>
      </c>
      <c r="F59" s="4" t="s">
        <v>1153</v>
      </c>
      <c r="G59" s="4" t="s">
        <v>61</v>
      </c>
      <c r="H59" s="4" t="s">
        <v>73</v>
      </c>
      <c r="I59" s="4" t="s">
        <v>61</v>
      </c>
      <c r="J59" s="19" t="s">
        <v>1154</v>
      </c>
      <c r="K59" s="4" t="s">
        <v>1001</v>
      </c>
      <c r="L59" s="4" t="s">
        <v>1029</v>
      </c>
      <c r="M59" s="4" t="s">
        <v>61</v>
      </c>
      <c r="N59" s="4" t="s">
        <v>570</v>
      </c>
      <c r="O59" s="4"/>
      <c r="P59" s="4"/>
      <c r="Q59" s="4"/>
      <c r="R59" s="4"/>
      <c r="S59" s="4"/>
      <c r="T59" s="4"/>
      <c r="U59" s="4"/>
      <c r="V59" s="4"/>
      <c r="W59" s="4"/>
      <c r="X59" s="4"/>
      <c r="Y59" s="4"/>
      <c r="Z59" s="4"/>
      <c r="AA59" s="4"/>
      <c r="AB59" s="4"/>
      <c r="AC59" s="4"/>
      <c r="AD59" s="4"/>
      <c r="AE59" s="4"/>
      <c r="AF59" s="4"/>
    </row>
    <row r="60" spans="1:32" ht="15.75" customHeight="1">
      <c r="A60" s="4" t="s">
        <v>547</v>
      </c>
      <c r="B60" s="4"/>
      <c r="C60" s="4"/>
      <c r="D60" s="11" t="s">
        <v>1155</v>
      </c>
      <c r="E60" s="4" t="s">
        <v>1156</v>
      </c>
      <c r="F60" s="4" t="s">
        <v>550</v>
      </c>
      <c r="G60" s="4" t="s">
        <v>61</v>
      </c>
      <c r="H60" s="4" t="s">
        <v>61</v>
      </c>
      <c r="I60" s="4" t="s">
        <v>999</v>
      </c>
      <c r="J60" s="19" t="s">
        <v>1157</v>
      </c>
      <c r="K60" s="4" t="s">
        <v>1158</v>
      </c>
      <c r="L60" s="4" t="s">
        <v>1029</v>
      </c>
      <c r="M60" s="4" t="s">
        <v>61</v>
      </c>
      <c r="N60" s="4" t="s">
        <v>590</v>
      </c>
      <c r="O60" s="4"/>
      <c r="P60" s="4"/>
      <c r="Q60" s="4"/>
      <c r="R60" s="4"/>
      <c r="S60" s="4"/>
      <c r="T60" s="4"/>
      <c r="U60" s="4"/>
      <c r="V60" s="4"/>
      <c r="W60" s="4"/>
      <c r="X60" s="4"/>
      <c r="Y60" s="4"/>
      <c r="Z60" s="4"/>
      <c r="AA60" s="4"/>
      <c r="AB60" s="4"/>
      <c r="AC60" s="4"/>
      <c r="AD60" s="4"/>
      <c r="AE60" s="4"/>
      <c r="AF60" s="4"/>
    </row>
    <row r="61" spans="1:32" ht="15.75" customHeight="1">
      <c r="A61" s="4" t="s">
        <v>721</v>
      </c>
      <c r="B61" s="4"/>
      <c r="C61" s="4"/>
      <c r="D61" s="11" t="s">
        <v>1159</v>
      </c>
      <c r="E61" s="4" t="s">
        <v>1160</v>
      </c>
      <c r="F61" s="4" t="s">
        <v>724</v>
      </c>
      <c r="G61" s="4" t="s">
        <v>61</v>
      </c>
      <c r="H61" s="4" t="s">
        <v>61</v>
      </c>
      <c r="I61" s="4" t="s">
        <v>999</v>
      </c>
      <c r="J61" s="19" t="s">
        <v>1161</v>
      </c>
      <c r="K61" s="4" t="s">
        <v>984</v>
      </c>
      <c r="L61" s="4" t="s">
        <v>1029</v>
      </c>
      <c r="M61" s="4" t="s">
        <v>61</v>
      </c>
      <c r="N61" s="4" t="s">
        <v>590</v>
      </c>
      <c r="O61" s="4"/>
      <c r="P61" s="4"/>
      <c r="Q61" s="4"/>
      <c r="R61" s="4"/>
      <c r="S61" s="4"/>
      <c r="T61" s="4"/>
      <c r="U61" s="4"/>
      <c r="V61" s="4"/>
      <c r="W61" s="4"/>
      <c r="X61" s="4"/>
      <c r="Y61" s="4"/>
      <c r="Z61" s="4"/>
      <c r="AA61" s="4"/>
      <c r="AB61" s="4"/>
      <c r="AC61" s="4"/>
      <c r="AD61" s="4"/>
      <c r="AE61" s="4"/>
      <c r="AF61" s="4"/>
    </row>
    <row r="62" spans="1:32" ht="15.75" customHeight="1">
      <c r="A62" s="4" t="s">
        <v>1162</v>
      </c>
      <c r="B62" s="4"/>
      <c r="C62" s="4"/>
      <c r="D62" s="11" t="s">
        <v>727</v>
      </c>
      <c r="E62" s="4" t="s">
        <v>1163</v>
      </c>
      <c r="F62" s="4" t="s">
        <v>1164</v>
      </c>
      <c r="G62" s="4" t="s">
        <v>73</v>
      </c>
      <c r="H62" s="4" t="s">
        <v>73</v>
      </c>
      <c r="I62" s="4" t="s">
        <v>999</v>
      </c>
      <c r="J62" s="19" t="s">
        <v>1165</v>
      </c>
      <c r="K62" s="4" t="s">
        <v>984</v>
      </c>
      <c r="L62" s="4" t="s">
        <v>1014</v>
      </c>
      <c r="M62" s="4" t="s">
        <v>61</v>
      </c>
      <c r="N62" s="4" t="s">
        <v>590</v>
      </c>
      <c r="O62" s="4"/>
      <c r="P62" s="4"/>
      <c r="Q62" s="4"/>
      <c r="R62" s="4"/>
      <c r="S62" s="4"/>
      <c r="T62" s="4"/>
      <c r="U62" s="4"/>
      <c r="V62" s="4"/>
      <c r="W62" s="4"/>
      <c r="X62" s="4"/>
      <c r="Y62" s="4"/>
      <c r="Z62" s="4"/>
      <c r="AA62" s="4"/>
      <c r="AB62" s="4"/>
      <c r="AC62" s="4"/>
      <c r="AD62" s="4"/>
      <c r="AE62" s="4"/>
      <c r="AF62" s="4"/>
    </row>
    <row r="63" spans="1:32" ht="15.75" customHeight="1">
      <c r="A63" s="4" t="s">
        <v>1166</v>
      </c>
      <c r="B63" s="4"/>
      <c r="C63" s="4"/>
      <c r="D63" s="11" t="s">
        <v>732</v>
      </c>
      <c r="E63" s="4" t="s">
        <v>1167</v>
      </c>
      <c r="F63" s="4" t="s">
        <v>1168</v>
      </c>
      <c r="G63" s="4" t="s">
        <v>61</v>
      </c>
      <c r="H63" s="4" t="s">
        <v>61</v>
      </c>
      <c r="I63" s="4" t="s">
        <v>999</v>
      </c>
      <c r="J63" s="19" t="s">
        <v>1169</v>
      </c>
      <c r="K63" s="4" t="s">
        <v>1001</v>
      </c>
      <c r="L63" s="4" t="s">
        <v>1029</v>
      </c>
      <c r="M63" s="4" t="s">
        <v>61</v>
      </c>
      <c r="N63" s="4" t="s">
        <v>570</v>
      </c>
      <c r="O63" s="4"/>
      <c r="P63" s="4"/>
      <c r="Q63" s="4"/>
      <c r="R63" s="4"/>
      <c r="S63" s="4"/>
      <c r="T63" s="4"/>
      <c r="U63" s="4"/>
      <c r="V63" s="4"/>
      <c r="W63" s="4"/>
      <c r="X63" s="4"/>
      <c r="Y63" s="4"/>
      <c r="Z63" s="4"/>
      <c r="AA63" s="4"/>
      <c r="AB63" s="4"/>
      <c r="AC63" s="4"/>
      <c r="AD63" s="4"/>
      <c r="AE63" s="4"/>
      <c r="AF63" s="4"/>
    </row>
    <row r="64" spans="1:32" ht="15.75" customHeight="1">
      <c r="A64" s="4" t="s">
        <v>736</v>
      </c>
      <c r="B64" s="4"/>
      <c r="C64" s="4"/>
      <c r="D64" s="11" t="s">
        <v>1170</v>
      </c>
      <c r="E64" s="4" t="s">
        <v>1171</v>
      </c>
      <c r="F64" s="4" t="s">
        <v>1172</v>
      </c>
      <c r="G64" s="4" t="s">
        <v>61</v>
      </c>
      <c r="H64" s="4" t="s">
        <v>61</v>
      </c>
      <c r="I64" s="4" t="s">
        <v>999</v>
      </c>
      <c r="J64" s="19" t="s">
        <v>1173</v>
      </c>
      <c r="K64" s="4" t="s">
        <v>1001</v>
      </c>
      <c r="L64" s="4" t="s">
        <v>1029</v>
      </c>
      <c r="M64" s="4" t="s">
        <v>61</v>
      </c>
      <c r="N64" s="4" t="s">
        <v>590</v>
      </c>
      <c r="O64" s="4"/>
      <c r="P64" s="4"/>
      <c r="Q64" s="4"/>
      <c r="R64" s="4"/>
      <c r="S64" s="4"/>
      <c r="T64" s="4"/>
      <c r="U64" s="4"/>
      <c r="V64" s="4"/>
      <c r="W64" s="4"/>
      <c r="X64" s="4"/>
      <c r="Y64" s="4"/>
      <c r="Z64" s="4"/>
      <c r="AA64" s="4"/>
      <c r="AB64" s="4"/>
      <c r="AC64" s="4"/>
      <c r="AD64" s="4"/>
      <c r="AE64" s="4"/>
      <c r="AF64" s="4"/>
    </row>
    <row r="65" spans="1:32" ht="15.75" customHeight="1">
      <c r="A65" s="4" t="s">
        <v>1174</v>
      </c>
      <c r="B65" s="4"/>
      <c r="C65" s="4"/>
      <c r="D65" s="11" t="s">
        <v>742</v>
      </c>
      <c r="E65" s="4" t="s">
        <v>1175</v>
      </c>
      <c r="F65" s="4" t="s">
        <v>1176</v>
      </c>
      <c r="G65" s="4" t="s">
        <v>73</v>
      </c>
      <c r="H65" s="4" t="s">
        <v>73</v>
      </c>
      <c r="I65" s="4" t="s">
        <v>999</v>
      </c>
      <c r="J65" s="19" t="s">
        <v>1177</v>
      </c>
      <c r="K65" s="4" t="s">
        <v>984</v>
      </c>
      <c r="L65" s="4" t="s">
        <v>1107</v>
      </c>
      <c r="M65" s="4" t="s">
        <v>73</v>
      </c>
      <c r="N65" s="4" t="s">
        <v>681</v>
      </c>
      <c r="O65" s="4"/>
      <c r="P65" s="4"/>
      <c r="Q65" s="4"/>
      <c r="R65" s="4"/>
      <c r="S65" s="4"/>
      <c r="T65" s="4"/>
      <c r="U65" s="4"/>
      <c r="V65" s="4"/>
      <c r="W65" s="4"/>
      <c r="X65" s="4"/>
      <c r="Y65" s="4"/>
      <c r="Z65" s="4"/>
      <c r="AA65" s="4"/>
      <c r="AB65" s="4"/>
      <c r="AC65" s="4"/>
      <c r="AD65" s="4"/>
      <c r="AE65" s="4"/>
      <c r="AF65" s="4"/>
    </row>
    <row r="66" spans="1:32" ht="15.75" customHeight="1">
      <c r="A66" s="4" t="s">
        <v>1178</v>
      </c>
      <c r="B66" s="4"/>
      <c r="C66" s="4"/>
      <c r="D66" s="11" t="s">
        <v>748</v>
      </c>
      <c r="E66" s="4" t="s">
        <v>1179</v>
      </c>
      <c r="F66" s="50" t="s">
        <v>750</v>
      </c>
      <c r="G66" s="4" t="s">
        <v>61</v>
      </c>
      <c r="H66" s="4" t="s">
        <v>61</v>
      </c>
      <c r="I66" s="4" t="s">
        <v>61</v>
      </c>
      <c r="J66" s="19" t="s">
        <v>1180</v>
      </c>
      <c r="K66" s="4" t="s">
        <v>1001</v>
      </c>
      <c r="L66" s="4" t="s">
        <v>1029</v>
      </c>
      <c r="M66" s="4" t="s">
        <v>61</v>
      </c>
      <c r="N66" s="4" t="s">
        <v>590</v>
      </c>
      <c r="O66" s="4"/>
      <c r="P66" s="4"/>
      <c r="Q66" s="4"/>
      <c r="R66" s="4"/>
      <c r="S66" s="4"/>
      <c r="T66" s="4"/>
      <c r="U66" s="4"/>
      <c r="V66" s="4"/>
      <c r="W66" s="4"/>
      <c r="X66" s="4"/>
      <c r="Y66" s="4"/>
      <c r="Z66" s="4"/>
      <c r="AA66" s="4"/>
      <c r="AB66" s="4"/>
      <c r="AC66" s="4"/>
      <c r="AD66" s="4"/>
      <c r="AE66" s="4"/>
      <c r="AF66" s="4"/>
    </row>
    <row r="67" spans="1:32" ht="15.75" customHeight="1">
      <c r="A67" s="4" t="s">
        <v>1181</v>
      </c>
      <c r="B67" s="4"/>
      <c r="C67" s="4"/>
      <c r="D67" s="11" t="s">
        <v>753</v>
      </c>
      <c r="E67" s="4" t="s">
        <v>1182</v>
      </c>
      <c r="F67" s="4" t="s">
        <v>1183</v>
      </c>
      <c r="G67" s="4" t="s">
        <v>61</v>
      </c>
      <c r="H67" s="4" t="s">
        <v>61</v>
      </c>
      <c r="I67" s="4" t="s">
        <v>73</v>
      </c>
      <c r="J67" s="19" t="s">
        <v>1184</v>
      </c>
      <c r="K67" s="4" t="s">
        <v>1001</v>
      </c>
      <c r="L67" s="4" t="s">
        <v>1029</v>
      </c>
      <c r="M67" s="4" t="s">
        <v>61</v>
      </c>
      <c r="N67" s="4" t="s">
        <v>570</v>
      </c>
      <c r="O67" s="4"/>
      <c r="P67" s="4"/>
      <c r="Q67" s="4"/>
      <c r="R67" s="4"/>
      <c r="S67" s="4"/>
      <c r="T67" s="4"/>
      <c r="U67" s="4"/>
      <c r="V67" s="4"/>
      <c r="W67" s="4"/>
      <c r="X67" s="4"/>
      <c r="Y67" s="4"/>
      <c r="Z67" s="4"/>
      <c r="AA67" s="4"/>
      <c r="AB67" s="4"/>
      <c r="AC67" s="4"/>
      <c r="AD67" s="4"/>
      <c r="AE67" s="4"/>
      <c r="AF67" s="4"/>
    </row>
    <row r="68" spans="1:32" ht="15.75" customHeight="1">
      <c r="A68" s="4" t="s">
        <v>757</v>
      </c>
      <c r="B68" s="4"/>
      <c r="C68" s="4"/>
      <c r="D68" s="11" t="s">
        <v>1185</v>
      </c>
      <c r="E68" s="4" t="s">
        <v>1186</v>
      </c>
      <c r="F68" s="4" t="s">
        <v>760</v>
      </c>
      <c r="G68" s="4" t="s">
        <v>73</v>
      </c>
      <c r="H68" s="4" t="s">
        <v>61</v>
      </c>
      <c r="I68" s="4" t="s">
        <v>999</v>
      </c>
      <c r="J68" s="19" t="s">
        <v>1187</v>
      </c>
      <c r="K68" s="4" t="s">
        <v>984</v>
      </c>
      <c r="L68" s="4" t="s">
        <v>1107</v>
      </c>
      <c r="M68" s="4" t="s">
        <v>73</v>
      </c>
      <c r="N68" s="4" t="s">
        <v>1188</v>
      </c>
      <c r="O68" s="4"/>
      <c r="P68" s="4"/>
      <c r="Q68" s="4"/>
      <c r="R68" s="4"/>
      <c r="S68" s="4"/>
      <c r="T68" s="4"/>
      <c r="U68" s="4"/>
      <c r="V68" s="4"/>
      <c r="W68" s="4"/>
      <c r="X68" s="4"/>
      <c r="Y68" s="4"/>
      <c r="Z68" s="4"/>
      <c r="AA68" s="4"/>
      <c r="AB68" s="4"/>
      <c r="AC68" s="4"/>
      <c r="AD68" s="4"/>
      <c r="AE68" s="4"/>
      <c r="AF68" s="4"/>
    </row>
    <row r="69" spans="1:32" ht="15.75" customHeight="1">
      <c r="A69" s="4" t="s">
        <v>1189</v>
      </c>
      <c r="B69" s="4"/>
      <c r="C69" s="4"/>
      <c r="D69" s="11" t="s">
        <v>1190</v>
      </c>
      <c r="E69" s="4" t="s">
        <v>1191</v>
      </c>
      <c r="F69" s="4" t="s">
        <v>1192</v>
      </c>
      <c r="G69" s="4" t="s">
        <v>73</v>
      </c>
      <c r="H69" s="4" t="s">
        <v>61</v>
      </c>
      <c r="I69" s="4" t="s">
        <v>999</v>
      </c>
      <c r="J69" s="19" t="s">
        <v>1193</v>
      </c>
      <c r="K69" s="4" t="s">
        <v>1001</v>
      </c>
      <c r="L69" s="4" t="s">
        <v>1107</v>
      </c>
      <c r="M69" s="4"/>
      <c r="N69" s="4" t="s">
        <v>1188</v>
      </c>
      <c r="O69" s="4"/>
      <c r="P69" s="4"/>
      <c r="Q69" s="4"/>
      <c r="R69" s="4"/>
      <c r="S69" s="4"/>
      <c r="T69" s="4"/>
      <c r="U69" s="4"/>
      <c r="V69" s="4"/>
      <c r="W69" s="4"/>
      <c r="X69" s="4"/>
      <c r="Y69" s="4"/>
      <c r="Z69" s="4"/>
      <c r="AA69" s="4"/>
      <c r="AB69" s="4"/>
      <c r="AC69" s="4"/>
      <c r="AD69" s="4"/>
      <c r="AE69" s="4"/>
      <c r="AF69" s="4"/>
    </row>
    <row r="70" spans="1:32" ht="15.75" customHeight="1">
      <c r="A70" s="4" t="s">
        <v>768</v>
      </c>
      <c r="B70" s="52">
        <v>44502</v>
      </c>
      <c r="C70" s="4" t="s">
        <v>1194</v>
      </c>
      <c r="D70" s="11" t="s">
        <v>769</v>
      </c>
      <c r="E70" s="4" t="s">
        <v>1195</v>
      </c>
      <c r="F70" s="4" t="s">
        <v>1196</v>
      </c>
      <c r="G70" s="4" t="s">
        <v>73</v>
      </c>
      <c r="H70" s="4" t="s">
        <v>73</v>
      </c>
      <c r="I70" s="4" t="s">
        <v>999</v>
      </c>
      <c r="J70" s="19" t="s">
        <v>1197</v>
      </c>
      <c r="K70" s="4"/>
      <c r="L70" s="4"/>
      <c r="M70" s="4"/>
      <c r="N70" s="4"/>
      <c r="O70" s="4"/>
      <c r="P70" s="4"/>
      <c r="Q70" s="4"/>
      <c r="R70" s="4"/>
      <c r="S70" s="4"/>
      <c r="T70" s="4"/>
      <c r="U70" s="4"/>
      <c r="V70" s="4"/>
      <c r="W70" s="4"/>
      <c r="X70" s="4"/>
      <c r="Y70" s="4"/>
      <c r="Z70" s="4"/>
      <c r="AA70" s="4"/>
      <c r="AB70" s="4"/>
      <c r="AC70" s="4"/>
      <c r="AD70" s="4"/>
      <c r="AE70" s="4"/>
      <c r="AF70" s="4"/>
    </row>
    <row r="71" spans="1:32" ht="15.75" customHeight="1">
      <c r="A71" s="53" t="s">
        <v>1198</v>
      </c>
      <c r="B71" s="53"/>
      <c r="C71" s="53"/>
      <c r="D71" s="54" t="s">
        <v>774</v>
      </c>
      <c r="E71" s="53" t="s">
        <v>1199</v>
      </c>
      <c r="F71" s="55" t="s">
        <v>1200</v>
      </c>
      <c r="G71" s="53" t="s">
        <v>73</v>
      </c>
      <c r="H71" s="53" t="s">
        <v>73</v>
      </c>
      <c r="I71" s="53" t="s">
        <v>999</v>
      </c>
      <c r="J71" s="56" t="s">
        <v>1201</v>
      </c>
      <c r="K71" s="53" t="s">
        <v>984</v>
      </c>
      <c r="L71" s="53" t="s">
        <v>1202</v>
      </c>
      <c r="M71" s="53" t="s">
        <v>73</v>
      </c>
      <c r="N71" s="53" t="s">
        <v>1188</v>
      </c>
      <c r="O71" s="53"/>
      <c r="P71" s="53"/>
      <c r="Q71" s="53"/>
      <c r="R71" s="53"/>
      <c r="S71" s="53"/>
      <c r="T71" s="53"/>
      <c r="U71" s="53"/>
      <c r="V71" s="53"/>
      <c r="W71" s="53"/>
      <c r="X71" s="53"/>
      <c r="Y71" s="53"/>
      <c r="Z71" s="53"/>
      <c r="AA71" s="53"/>
      <c r="AB71" s="53"/>
      <c r="AC71" s="53"/>
      <c r="AD71" s="53"/>
      <c r="AE71" s="53"/>
      <c r="AF71" s="53"/>
    </row>
    <row r="72" spans="1:32" ht="15.75" customHeight="1">
      <c r="A72" s="4" t="s">
        <v>1203</v>
      </c>
      <c r="B72" s="4"/>
      <c r="C72" s="4"/>
      <c r="D72" s="11" t="s">
        <v>779</v>
      </c>
      <c r="E72" s="4" t="s">
        <v>1204</v>
      </c>
      <c r="F72" s="4" t="s">
        <v>781</v>
      </c>
      <c r="G72" s="4" t="s">
        <v>61</v>
      </c>
      <c r="H72" s="4" t="s">
        <v>61</v>
      </c>
      <c r="I72" s="4" t="s">
        <v>61</v>
      </c>
      <c r="J72" s="19" t="s">
        <v>1205</v>
      </c>
      <c r="K72" s="4" t="s">
        <v>984</v>
      </c>
      <c r="L72" s="4" t="s">
        <v>1029</v>
      </c>
      <c r="M72" s="4"/>
      <c r="N72" s="4" t="s">
        <v>1206</v>
      </c>
      <c r="O72" s="4"/>
      <c r="P72" s="4"/>
      <c r="Q72" s="4"/>
      <c r="R72" s="4"/>
      <c r="S72" s="4"/>
      <c r="T72" s="4"/>
      <c r="U72" s="4"/>
      <c r="V72" s="4"/>
      <c r="W72" s="4"/>
      <c r="X72" s="4"/>
      <c r="Y72" s="4"/>
      <c r="Z72" s="4"/>
      <c r="AA72" s="4"/>
      <c r="AB72" s="4"/>
      <c r="AC72" s="4"/>
      <c r="AD72" s="4"/>
      <c r="AE72" s="4"/>
      <c r="AF72" s="4"/>
    </row>
    <row r="73" spans="1:32" ht="15.75" customHeight="1">
      <c r="A73" s="4" t="s">
        <v>1207</v>
      </c>
      <c r="B73" s="4"/>
      <c r="C73" s="4" t="s">
        <v>1208</v>
      </c>
      <c r="D73" s="11" t="s">
        <v>784</v>
      </c>
      <c r="E73" s="4" t="s">
        <v>1209</v>
      </c>
      <c r="F73" s="4" t="s">
        <v>1210</v>
      </c>
      <c r="G73" s="4" t="s">
        <v>73</v>
      </c>
      <c r="H73" s="4" t="s">
        <v>73</v>
      </c>
      <c r="I73" s="4" t="s">
        <v>999</v>
      </c>
      <c r="J73" s="19" t="s">
        <v>1211</v>
      </c>
      <c r="K73" s="4" t="s">
        <v>1001</v>
      </c>
      <c r="L73" s="4" t="s">
        <v>1212</v>
      </c>
      <c r="M73" s="4"/>
      <c r="N73" s="4" t="s">
        <v>1213</v>
      </c>
      <c r="O73" s="4"/>
      <c r="P73" s="4"/>
      <c r="Q73" s="4"/>
      <c r="R73" s="4"/>
      <c r="S73" s="4"/>
      <c r="T73" s="4"/>
      <c r="U73" s="4"/>
      <c r="V73" s="4"/>
      <c r="W73" s="4"/>
      <c r="X73" s="4"/>
      <c r="Y73" s="4"/>
      <c r="Z73" s="4"/>
      <c r="AA73" s="4"/>
      <c r="AB73" s="4"/>
      <c r="AC73" s="4"/>
      <c r="AD73" s="4"/>
      <c r="AE73" s="4"/>
      <c r="AF73" s="4"/>
    </row>
    <row r="74" spans="1:32" ht="15.75" customHeight="1">
      <c r="A74" s="4" t="s">
        <v>1214</v>
      </c>
      <c r="B74" s="4"/>
      <c r="C74" s="4"/>
      <c r="D74" s="11" t="s">
        <v>789</v>
      </c>
      <c r="E74" s="4" t="s">
        <v>1215</v>
      </c>
      <c r="F74" s="4" t="s">
        <v>1216</v>
      </c>
      <c r="G74" s="4" t="s">
        <v>73</v>
      </c>
      <c r="H74" s="4" t="s">
        <v>73</v>
      </c>
      <c r="I74" s="4" t="s">
        <v>999</v>
      </c>
      <c r="J74" s="19" t="s">
        <v>1217</v>
      </c>
      <c r="K74" s="4" t="s">
        <v>984</v>
      </c>
      <c r="L74" s="4" t="s">
        <v>1014</v>
      </c>
      <c r="M74" s="4"/>
      <c r="N74" s="4" t="s">
        <v>1206</v>
      </c>
      <c r="O74" s="4"/>
      <c r="P74" s="4"/>
      <c r="Q74" s="4"/>
      <c r="R74" s="4"/>
      <c r="S74" s="4"/>
      <c r="T74" s="4"/>
      <c r="U74" s="4"/>
      <c r="V74" s="4"/>
      <c r="W74" s="4"/>
      <c r="X74" s="4"/>
      <c r="Y74" s="4"/>
      <c r="Z74" s="4"/>
      <c r="AA74" s="4"/>
      <c r="AB74" s="4"/>
      <c r="AC74" s="4"/>
      <c r="AD74" s="4"/>
      <c r="AE74" s="4"/>
      <c r="AF74" s="4"/>
    </row>
    <row r="75" spans="1:32" ht="15.75" customHeight="1">
      <c r="A75" s="4" t="s">
        <v>793</v>
      </c>
      <c r="B75" s="4"/>
      <c r="C75" s="4"/>
      <c r="D75" s="11" t="s">
        <v>1218</v>
      </c>
      <c r="E75" s="4" t="s">
        <v>1219</v>
      </c>
      <c r="F75" s="4" t="s">
        <v>1220</v>
      </c>
      <c r="G75" s="4" t="s">
        <v>73</v>
      </c>
      <c r="H75" s="4" t="s">
        <v>73</v>
      </c>
      <c r="I75" s="4" t="s">
        <v>999</v>
      </c>
      <c r="J75" s="19" t="s">
        <v>1221</v>
      </c>
      <c r="K75" s="4" t="s">
        <v>1001</v>
      </c>
      <c r="L75" s="4" t="s">
        <v>1107</v>
      </c>
      <c r="M75" s="4" t="s">
        <v>73</v>
      </c>
      <c r="N75" s="4" t="s">
        <v>1188</v>
      </c>
      <c r="O75" s="4"/>
      <c r="P75" s="4"/>
      <c r="Q75" s="4"/>
      <c r="R75" s="4"/>
      <c r="S75" s="4"/>
      <c r="T75" s="4"/>
      <c r="U75" s="4"/>
      <c r="V75" s="4"/>
      <c r="W75" s="4"/>
      <c r="X75" s="4"/>
      <c r="Y75" s="4"/>
      <c r="Z75" s="4"/>
      <c r="AA75" s="4"/>
      <c r="AB75" s="4"/>
      <c r="AC75" s="4"/>
      <c r="AD75" s="4"/>
      <c r="AE75" s="4"/>
      <c r="AF75" s="4"/>
    </row>
    <row r="76" spans="1:32" ht="15.75" customHeight="1">
      <c r="A76" s="4" t="s">
        <v>1222</v>
      </c>
      <c r="B76" s="4"/>
      <c r="C76" s="4"/>
      <c r="D76" s="11" t="s">
        <v>800</v>
      </c>
      <c r="E76" s="4" t="s">
        <v>1223</v>
      </c>
      <c r="F76" s="4" t="s">
        <v>1224</v>
      </c>
      <c r="G76" s="4" t="s">
        <v>73</v>
      </c>
      <c r="H76" s="4" t="s">
        <v>61</v>
      </c>
      <c r="I76" s="4" t="s">
        <v>999</v>
      </c>
      <c r="J76" s="19" t="s">
        <v>1225</v>
      </c>
      <c r="K76" s="4" t="s">
        <v>984</v>
      </c>
      <c r="L76" s="4" t="s">
        <v>1107</v>
      </c>
      <c r="M76" s="4" t="s">
        <v>73</v>
      </c>
      <c r="N76" s="4" t="s">
        <v>1188</v>
      </c>
      <c r="O76" s="4"/>
      <c r="P76" s="4"/>
      <c r="Q76" s="4"/>
      <c r="R76" s="4"/>
      <c r="S76" s="4"/>
      <c r="T76" s="4"/>
      <c r="U76" s="4"/>
      <c r="V76" s="4"/>
      <c r="W76" s="4"/>
      <c r="X76" s="4"/>
      <c r="Y76" s="4"/>
      <c r="Z76" s="4"/>
      <c r="AA76" s="4"/>
      <c r="AB76" s="4"/>
      <c r="AC76" s="4"/>
      <c r="AD76" s="4"/>
      <c r="AE76" s="4"/>
      <c r="AF76" s="4"/>
    </row>
    <row r="77" spans="1:32" ht="15.75" customHeight="1">
      <c r="A77" s="4" t="s">
        <v>805</v>
      </c>
      <c r="B77" s="4"/>
      <c r="C77" s="4"/>
      <c r="D77" s="11" t="s">
        <v>806</v>
      </c>
      <c r="E77" s="4" t="s">
        <v>1226</v>
      </c>
      <c r="F77" s="4" t="s">
        <v>808</v>
      </c>
      <c r="G77" s="4" t="s">
        <v>61</v>
      </c>
      <c r="H77" s="4" t="s">
        <v>61</v>
      </c>
      <c r="I77" s="4" t="s">
        <v>61</v>
      </c>
      <c r="J77" s="19" t="s">
        <v>1227</v>
      </c>
      <c r="K77" s="4" t="s">
        <v>984</v>
      </c>
      <c r="L77" s="4" t="s">
        <v>1029</v>
      </c>
      <c r="M77" s="4"/>
      <c r="N77" s="4" t="s">
        <v>1206</v>
      </c>
      <c r="O77" s="4"/>
      <c r="P77" s="4"/>
      <c r="Q77" s="4"/>
      <c r="R77" s="4"/>
      <c r="S77" s="4"/>
      <c r="T77" s="4"/>
      <c r="U77" s="4"/>
      <c r="V77" s="4"/>
      <c r="W77" s="4"/>
      <c r="X77" s="4"/>
      <c r="Y77" s="4"/>
      <c r="Z77" s="4"/>
      <c r="AA77" s="4"/>
      <c r="AB77" s="4"/>
      <c r="AC77" s="4"/>
      <c r="AD77" s="4"/>
      <c r="AE77" s="4"/>
      <c r="AF77" s="4"/>
    </row>
    <row r="78" spans="1:32" ht="15.75" customHeight="1">
      <c r="A78" s="4" t="s">
        <v>811</v>
      </c>
      <c r="B78" s="4"/>
      <c r="C78" s="4"/>
      <c r="D78" s="11" t="s">
        <v>812</v>
      </c>
      <c r="E78" s="4" t="s">
        <v>1228</v>
      </c>
      <c r="F78" s="4" t="s">
        <v>614</v>
      </c>
      <c r="G78" s="4" t="s">
        <v>61</v>
      </c>
      <c r="H78" s="4" t="s">
        <v>61</v>
      </c>
      <c r="I78" s="4" t="s">
        <v>73</v>
      </c>
      <c r="J78" s="19" t="s">
        <v>1229</v>
      </c>
      <c r="K78" s="4" t="s">
        <v>1001</v>
      </c>
      <c r="L78" s="4" t="s">
        <v>1029</v>
      </c>
      <c r="M78" s="4"/>
      <c r="N78" s="4" t="s">
        <v>1206</v>
      </c>
      <c r="O78" s="4"/>
      <c r="P78" s="4"/>
      <c r="Q78" s="4"/>
      <c r="R78" s="4"/>
      <c r="S78" s="4"/>
      <c r="T78" s="4"/>
      <c r="U78" s="4"/>
      <c r="V78" s="4"/>
      <c r="W78" s="4"/>
      <c r="X78" s="4"/>
      <c r="Y78" s="4"/>
      <c r="Z78" s="4"/>
      <c r="AA78" s="4"/>
      <c r="AB78" s="4"/>
      <c r="AC78" s="4"/>
      <c r="AD78" s="4"/>
      <c r="AE78" s="4"/>
      <c r="AF78" s="4"/>
    </row>
    <row r="79" spans="1:32" ht="15.75" customHeight="1">
      <c r="A79" s="4" t="s">
        <v>816</v>
      </c>
      <c r="B79" s="4"/>
      <c r="C79" s="4"/>
      <c r="D79" s="11" t="s">
        <v>817</v>
      </c>
      <c r="E79" s="4" t="s">
        <v>1230</v>
      </c>
      <c r="F79" s="4" t="s">
        <v>1231</v>
      </c>
      <c r="G79" s="4" t="s">
        <v>61</v>
      </c>
      <c r="H79" s="4" t="s">
        <v>73</v>
      </c>
      <c r="I79" s="4" t="s">
        <v>61</v>
      </c>
      <c r="J79" s="19" t="s">
        <v>1232</v>
      </c>
      <c r="K79" s="4" t="s">
        <v>1001</v>
      </c>
      <c r="L79" s="4" t="s">
        <v>1029</v>
      </c>
      <c r="M79" s="4"/>
      <c r="N79" s="4" t="s">
        <v>1206</v>
      </c>
      <c r="O79" s="4"/>
      <c r="P79" s="4"/>
      <c r="Q79" s="4"/>
      <c r="R79" s="4"/>
      <c r="S79" s="4"/>
      <c r="T79" s="4"/>
      <c r="U79" s="4"/>
      <c r="V79" s="4"/>
      <c r="W79" s="4"/>
      <c r="X79" s="4"/>
      <c r="Y79" s="4"/>
      <c r="Z79" s="4"/>
      <c r="AA79" s="4"/>
      <c r="AB79" s="4"/>
      <c r="AC79" s="4"/>
      <c r="AD79" s="4"/>
      <c r="AE79" s="4"/>
      <c r="AF79" s="4"/>
    </row>
    <row r="80" spans="1:32" ht="15.75" customHeight="1">
      <c r="A80" s="4" t="s">
        <v>1233</v>
      </c>
      <c r="B80" s="4"/>
      <c r="C80" s="4"/>
      <c r="D80" s="11" t="s">
        <v>822</v>
      </c>
      <c r="E80" s="4" t="s">
        <v>1234</v>
      </c>
      <c r="F80" s="4" t="s">
        <v>1235</v>
      </c>
      <c r="G80" s="4" t="s">
        <v>61</v>
      </c>
      <c r="H80" s="4" t="s">
        <v>61</v>
      </c>
      <c r="I80" s="4" t="s">
        <v>61</v>
      </c>
      <c r="J80" s="19" t="s">
        <v>1236</v>
      </c>
      <c r="K80" s="4" t="s">
        <v>1001</v>
      </c>
      <c r="L80" s="4" t="s">
        <v>1029</v>
      </c>
      <c r="M80" s="4"/>
      <c r="N80" s="4" t="s">
        <v>1206</v>
      </c>
      <c r="O80" s="4"/>
      <c r="P80" s="4"/>
      <c r="Q80" s="4"/>
      <c r="R80" s="4"/>
      <c r="S80" s="4"/>
      <c r="T80" s="4"/>
      <c r="U80" s="4"/>
      <c r="V80" s="4"/>
      <c r="W80" s="4"/>
      <c r="X80" s="4"/>
      <c r="Y80" s="4"/>
      <c r="Z80" s="4"/>
      <c r="AA80" s="4"/>
      <c r="AB80" s="4"/>
      <c r="AC80" s="4"/>
      <c r="AD80" s="4"/>
      <c r="AE80" s="4"/>
      <c r="AF80" s="4"/>
    </row>
    <row r="81" spans="1:32" ht="15.75" customHeight="1">
      <c r="A81" s="4" t="s">
        <v>826</v>
      </c>
      <c r="B81" s="4"/>
      <c r="C81" s="4"/>
      <c r="D81" s="11" t="s">
        <v>1237</v>
      </c>
      <c r="E81" s="4" t="s">
        <v>1238</v>
      </c>
      <c r="F81" s="4" t="s">
        <v>1239</v>
      </c>
      <c r="G81" s="4" t="s">
        <v>61</v>
      </c>
      <c r="H81" s="4" t="s">
        <v>61</v>
      </c>
      <c r="I81" s="4" t="s">
        <v>61</v>
      </c>
      <c r="J81" s="19" t="s">
        <v>1240</v>
      </c>
      <c r="K81" s="4" t="s">
        <v>984</v>
      </c>
      <c r="L81" s="4" t="s">
        <v>1029</v>
      </c>
      <c r="M81" s="4"/>
      <c r="N81" s="4" t="s">
        <v>1206</v>
      </c>
      <c r="O81" s="4"/>
      <c r="P81" s="4"/>
      <c r="Q81" s="4"/>
      <c r="R81" s="4"/>
      <c r="S81" s="4"/>
      <c r="T81" s="4"/>
      <c r="U81" s="4"/>
      <c r="V81" s="4"/>
      <c r="W81" s="4"/>
      <c r="X81" s="4"/>
      <c r="Y81" s="4"/>
      <c r="Z81" s="4"/>
      <c r="AA81" s="4"/>
      <c r="AB81" s="4"/>
      <c r="AC81" s="4"/>
      <c r="AD81" s="4"/>
      <c r="AE81" s="4"/>
      <c r="AF81" s="4"/>
    </row>
    <row r="82" spans="1:32" ht="15.75" customHeight="1">
      <c r="A82" s="4" t="s">
        <v>831</v>
      </c>
      <c r="B82" s="4"/>
      <c r="C82" s="4"/>
      <c r="D82" s="11" t="s">
        <v>832</v>
      </c>
      <c r="E82" s="4" t="s">
        <v>1241</v>
      </c>
      <c r="F82" s="4" t="s">
        <v>1242</v>
      </c>
      <c r="G82" s="4" t="s">
        <v>61</v>
      </c>
      <c r="H82" s="4" t="s">
        <v>73</v>
      </c>
      <c r="I82" s="4" t="s">
        <v>61</v>
      </c>
      <c r="J82" s="19" t="s">
        <v>1243</v>
      </c>
      <c r="K82" s="4" t="s">
        <v>984</v>
      </c>
      <c r="L82" s="4" t="s">
        <v>1029</v>
      </c>
      <c r="M82" s="4"/>
      <c r="N82" s="4" t="s">
        <v>1206</v>
      </c>
      <c r="O82" s="4"/>
      <c r="P82" s="4"/>
      <c r="Q82" s="4"/>
      <c r="R82" s="4"/>
      <c r="S82" s="4"/>
      <c r="T82" s="4"/>
      <c r="U82" s="4"/>
      <c r="V82" s="4"/>
      <c r="W82" s="4"/>
      <c r="X82" s="4"/>
      <c r="Y82" s="4"/>
      <c r="Z82" s="4"/>
      <c r="AA82" s="4"/>
      <c r="AB82" s="4"/>
      <c r="AC82" s="4"/>
      <c r="AD82" s="4"/>
      <c r="AE82" s="4"/>
      <c r="AF82" s="4"/>
    </row>
    <row r="83" spans="1:32" ht="15.75" customHeight="1">
      <c r="A83" s="4" t="s">
        <v>836</v>
      </c>
      <c r="B83" s="4"/>
      <c r="C83" s="4"/>
      <c r="D83" s="11" t="s">
        <v>1244</v>
      </c>
      <c r="E83" s="4" t="s">
        <v>1245</v>
      </c>
      <c r="F83" s="4" t="s">
        <v>1246</v>
      </c>
      <c r="G83" s="4" t="s">
        <v>73</v>
      </c>
      <c r="H83" s="4" t="s">
        <v>61</v>
      </c>
      <c r="I83" s="4" t="s">
        <v>999</v>
      </c>
      <c r="J83" s="19" t="s">
        <v>1247</v>
      </c>
      <c r="K83" s="4" t="s">
        <v>984</v>
      </c>
      <c r="L83" s="4" t="s">
        <v>1014</v>
      </c>
      <c r="M83" s="4"/>
      <c r="N83" s="4" t="s">
        <v>1188</v>
      </c>
      <c r="O83" s="4"/>
      <c r="P83" s="4"/>
      <c r="Q83" s="4"/>
      <c r="R83" s="4"/>
      <c r="S83" s="4"/>
      <c r="T83" s="4"/>
      <c r="U83" s="4"/>
      <c r="V83" s="4"/>
      <c r="W83" s="4"/>
      <c r="X83" s="4"/>
      <c r="Y83" s="4"/>
      <c r="Z83" s="4"/>
      <c r="AA83" s="4"/>
      <c r="AB83" s="4"/>
      <c r="AC83" s="4"/>
      <c r="AD83" s="4"/>
      <c r="AE83" s="4"/>
      <c r="AF83" s="4"/>
    </row>
    <row r="84" spans="1:32" ht="15.75" customHeight="1">
      <c r="A84" s="4" t="s">
        <v>1248</v>
      </c>
      <c r="B84" s="57">
        <v>44404</v>
      </c>
      <c r="C84" s="4"/>
      <c r="D84" s="11" t="s">
        <v>842</v>
      </c>
      <c r="E84" s="4" t="s">
        <v>1249</v>
      </c>
      <c r="F84" s="4" t="s">
        <v>1250</v>
      </c>
      <c r="G84" s="4" t="s">
        <v>61</v>
      </c>
      <c r="H84" s="4" t="s">
        <v>61</v>
      </c>
      <c r="I84" s="4" t="s">
        <v>61</v>
      </c>
      <c r="J84" s="19" t="s">
        <v>1251</v>
      </c>
      <c r="K84" s="4" t="s">
        <v>1001</v>
      </c>
      <c r="L84" s="4" t="s">
        <v>1029</v>
      </c>
      <c r="M84" s="4"/>
      <c r="N84" s="4" t="s">
        <v>1206</v>
      </c>
      <c r="O84" s="4"/>
      <c r="P84" s="4"/>
      <c r="Q84" s="4"/>
      <c r="R84" s="4"/>
      <c r="S84" s="4"/>
      <c r="T84" s="4"/>
      <c r="U84" s="4"/>
      <c r="V84" s="4"/>
      <c r="W84" s="4"/>
      <c r="X84" s="4"/>
      <c r="Y84" s="4"/>
      <c r="Z84" s="4"/>
      <c r="AA84" s="4"/>
      <c r="AB84" s="4"/>
      <c r="AC84" s="4"/>
      <c r="AD84" s="4"/>
      <c r="AE84" s="4"/>
      <c r="AF84" s="4"/>
    </row>
    <row r="85" spans="1:32" ht="15.75" customHeight="1">
      <c r="A85" s="4" t="s">
        <v>846</v>
      </c>
      <c r="B85" s="4"/>
      <c r="C85" s="4"/>
      <c r="D85" s="11" t="s">
        <v>847</v>
      </c>
      <c r="E85" s="4" t="s">
        <v>1252</v>
      </c>
      <c r="F85" s="4" t="s">
        <v>1253</v>
      </c>
      <c r="G85" s="4" t="s">
        <v>73</v>
      </c>
      <c r="H85" s="4" t="s">
        <v>73</v>
      </c>
      <c r="I85" s="4" t="s">
        <v>999</v>
      </c>
      <c r="J85" s="19" t="s">
        <v>1254</v>
      </c>
      <c r="K85" s="4" t="s">
        <v>1001</v>
      </c>
      <c r="L85" s="4" t="s">
        <v>1014</v>
      </c>
      <c r="M85" s="4"/>
      <c r="N85" s="4" t="s">
        <v>1188</v>
      </c>
      <c r="O85" s="4"/>
      <c r="P85" s="4"/>
      <c r="Q85" s="4"/>
      <c r="R85" s="4"/>
      <c r="S85" s="4"/>
      <c r="T85" s="4"/>
      <c r="U85" s="4"/>
      <c r="V85" s="4"/>
      <c r="W85" s="4"/>
      <c r="X85" s="4"/>
      <c r="Y85" s="4"/>
      <c r="Z85" s="4"/>
      <c r="AA85" s="4"/>
      <c r="AB85" s="4"/>
      <c r="AC85" s="4"/>
      <c r="AD85" s="4"/>
      <c r="AE85" s="4"/>
      <c r="AF85" s="4"/>
    </row>
    <row r="86" spans="1:32" ht="15.75" customHeight="1">
      <c r="A86" s="4" t="s">
        <v>1255</v>
      </c>
      <c r="B86" s="4"/>
      <c r="C86" s="4"/>
      <c r="D86" s="11" t="s">
        <v>1256</v>
      </c>
      <c r="E86" s="4" t="s">
        <v>1257</v>
      </c>
      <c r="F86" s="4" t="s">
        <v>1258</v>
      </c>
      <c r="G86" s="4" t="s">
        <v>73</v>
      </c>
      <c r="H86" s="4" t="s">
        <v>61</v>
      </c>
      <c r="I86" s="4" t="s">
        <v>999</v>
      </c>
      <c r="J86" s="19" t="s">
        <v>1259</v>
      </c>
      <c r="K86" s="4" t="s">
        <v>1001</v>
      </c>
      <c r="L86" s="4" t="s">
        <v>1107</v>
      </c>
      <c r="M86" s="4" t="s">
        <v>73</v>
      </c>
      <c r="N86" s="4" t="s">
        <v>1188</v>
      </c>
      <c r="O86" s="4"/>
      <c r="P86" s="4"/>
      <c r="Q86" s="4"/>
      <c r="R86" s="4"/>
      <c r="S86" s="4"/>
      <c r="T86" s="4"/>
      <c r="U86" s="4"/>
      <c r="V86" s="4"/>
      <c r="W86" s="4"/>
      <c r="X86" s="4"/>
      <c r="Y86" s="4"/>
      <c r="Z86" s="4"/>
      <c r="AA86" s="4"/>
      <c r="AB86" s="4"/>
      <c r="AC86" s="4"/>
      <c r="AD86" s="4"/>
      <c r="AE86" s="4"/>
      <c r="AF86" s="4"/>
    </row>
    <row r="87" spans="1:32" ht="15.75" customHeight="1">
      <c r="A87" s="4" t="s">
        <v>1260</v>
      </c>
      <c r="B87" s="4"/>
      <c r="C87" s="4"/>
      <c r="D87" s="11" t="s">
        <v>857</v>
      </c>
      <c r="E87" s="4" t="s">
        <v>1261</v>
      </c>
      <c r="F87" s="4" t="s">
        <v>1262</v>
      </c>
      <c r="G87" s="4" t="s">
        <v>61</v>
      </c>
      <c r="H87" s="4" t="s">
        <v>61</v>
      </c>
      <c r="I87" s="4" t="s">
        <v>61</v>
      </c>
      <c r="J87" s="19" t="s">
        <v>1263</v>
      </c>
      <c r="K87" s="4" t="s">
        <v>984</v>
      </c>
      <c r="L87" s="4" t="s">
        <v>1029</v>
      </c>
      <c r="M87" s="4"/>
      <c r="N87" s="4" t="s">
        <v>1206</v>
      </c>
      <c r="O87" s="4"/>
      <c r="P87" s="4"/>
      <c r="Q87" s="4"/>
      <c r="R87" s="4"/>
      <c r="S87" s="4"/>
      <c r="T87" s="4"/>
      <c r="U87" s="4"/>
      <c r="V87" s="4"/>
      <c r="W87" s="4"/>
      <c r="X87" s="4"/>
      <c r="Y87" s="4"/>
      <c r="Z87" s="4"/>
      <c r="AA87" s="4"/>
      <c r="AB87" s="4"/>
      <c r="AC87" s="4"/>
      <c r="AD87" s="4"/>
      <c r="AE87" s="4"/>
      <c r="AF87" s="4"/>
    </row>
    <row r="88" spans="1:32" ht="15.75" customHeight="1">
      <c r="A88" s="4" t="s">
        <v>861</v>
      </c>
      <c r="B88" s="4"/>
      <c r="C88" s="4"/>
      <c r="D88" s="11" t="s">
        <v>862</v>
      </c>
      <c r="E88" s="4" t="s">
        <v>1264</v>
      </c>
      <c r="F88" s="4" t="s">
        <v>1265</v>
      </c>
      <c r="G88" s="4" t="s">
        <v>61</v>
      </c>
      <c r="H88" s="4" t="s">
        <v>61</v>
      </c>
      <c r="I88" s="4" t="s">
        <v>61</v>
      </c>
      <c r="J88" s="19" t="s">
        <v>1266</v>
      </c>
      <c r="K88" s="4" t="s">
        <v>1001</v>
      </c>
      <c r="L88" s="4" t="s">
        <v>1029</v>
      </c>
      <c r="M88" s="4"/>
      <c r="N88" s="4" t="s">
        <v>1206</v>
      </c>
      <c r="O88" s="4"/>
      <c r="P88" s="4"/>
      <c r="Q88" s="4"/>
      <c r="R88" s="4"/>
      <c r="S88" s="4"/>
      <c r="T88" s="4"/>
      <c r="U88" s="4"/>
      <c r="V88" s="4"/>
      <c r="W88" s="4"/>
      <c r="X88" s="4"/>
      <c r="Y88" s="4"/>
      <c r="Z88" s="4"/>
      <c r="AA88" s="4"/>
      <c r="AB88" s="4"/>
      <c r="AC88" s="4"/>
      <c r="AD88" s="4"/>
      <c r="AE88" s="4"/>
      <c r="AF88" s="4"/>
    </row>
    <row r="89" spans="1:32" ht="15.75" customHeight="1">
      <c r="A89" s="4" t="s">
        <v>1267</v>
      </c>
      <c r="B89" s="4"/>
      <c r="C89" s="4"/>
      <c r="D89" s="11" t="s">
        <v>1268</v>
      </c>
      <c r="E89" s="4" t="s">
        <v>1269</v>
      </c>
      <c r="F89" s="4" t="s">
        <v>1270</v>
      </c>
      <c r="G89" s="4" t="s">
        <v>73</v>
      </c>
      <c r="H89" s="4" t="s">
        <v>61</v>
      </c>
      <c r="I89" s="4" t="s">
        <v>999</v>
      </c>
      <c r="J89" s="19" t="s">
        <v>1271</v>
      </c>
      <c r="K89" s="4" t="s">
        <v>984</v>
      </c>
      <c r="L89" s="4" t="s">
        <v>1107</v>
      </c>
      <c r="M89" s="4" t="s">
        <v>73</v>
      </c>
      <c r="N89" s="4" t="s">
        <v>1188</v>
      </c>
      <c r="O89" s="4"/>
      <c r="P89" s="4"/>
      <c r="Q89" s="4"/>
      <c r="R89" s="4"/>
      <c r="S89" s="4"/>
      <c r="T89" s="4"/>
      <c r="U89" s="4"/>
      <c r="V89" s="4"/>
      <c r="W89" s="4"/>
      <c r="X89" s="4"/>
      <c r="Y89" s="4"/>
      <c r="Z89" s="4"/>
      <c r="AA89" s="4"/>
      <c r="AB89" s="4"/>
      <c r="AC89" s="4"/>
      <c r="AD89" s="4"/>
      <c r="AE89" s="4"/>
      <c r="AF89" s="4"/>
    </row>
    <row r="90" spans="1:32" ht="15.75" customHeight="1">
      <c r="A90" s="4" t="s">
        <v>1272</v>
      </c>
      <c r="B90" s="4"/>
      <c r="C90" s="4" t="s">
        <v>1273</v>
      </c>
      <c r="D90" s="11" t="s">
        <v>872</v>
      </c>
      <c r="E90" s="4" t="s">
        <v>1274</v>
      </c>
      <c r="F90" s="4" t="s">
        <v>1275</v>
      </c>
      <c r="G90" s="4" t="s">
        <v>73</v>
      </c>
      <c r="H90" s="4" t="s">
        <v>73</v>
      </c>
      <c r="I90" s="4" t="s">
        <v>999</v>
      </c>
      <c r="J90" s="19" t="s">
        <v>1276</v>
      </c>
      <c r="K90" s="4" t="s">
        <v>1001</v>
      </c>
      <c r="L90" s="4" t="s">
        <v>1107</v>
      </c>
      <c r="M90" s="4" t="s">
        <v>73</v>
      </c>
      <c r="N90" s="4" t="s">
        <v>1188</v>
      </c>
      <c r="O90" s="4"/>
      <c r="P90" s="4"/>
      <c r="Q90" s="4"/>
      <c r="R90" s="4"/>
      <c r="S90" s="4"/>
      <c r="T90" s="4"/>
      <c r="U90" s="4"/>
      <c r="V90" s="4"/>
      <c r="W90" s="4"/>
      <c r="X90" s="4"/>
      <c r="Y90" s="4"/>
      <c r="Z90" s="4"/>
      <c r="AA90" s="4"/>
      <c r="AB90" s="4"/>
      <c r="AC90" s="4"/>
      <c r="AD90" s="4"/>
      <c r="AE90" s="4"/>
      <c r="AF90" s="4"/>
    </row>
    <row r="91" spans="1:32" ht="15.75" customHeight="1">
      <c r="A91" s="4" t="s">
        <v>1277</v>
      </c>
      <c r="B91" s="4"/>
      <c r="C91" s="4" t="s">
        <v>1278</v>
      </c>
      <c r="D91" s="11" t="s">
        <v>877</v>
      </c>
      <c r="E91" s="4" t="s">
        <v>1279</v>
      </c>
      <c r="F91" s="50" t="s">
        <v>879</v>
      </c>
      <c r="G91" s="4" t="s">
        <v>73</v>
      </c>
      <c r="H91" s="4" t="s">
        <v>73</v>
      </c>
      <c r="I91" s="4" t="s">
        <v>999</v>
      </c>
      <c r="J91" s="19" t="s">
        <v>1280</v>
      </c>
      <c r="K91" s="4" t="s">
        <v>1001</v>
      </c>
      <c r="L91" s="4" t="s">
        <v>1281</v>
      </c>
      <c r="M91" s="4" t="s">
        <v>73</v>
      </c>
      <c r="N91" s="4" t="s">
        <v>1188</v>
      </c>
      <c r="O91" s="4"/>
      <c r="P91" s="4"/>
      <c r="Q91" s="4"/>
      <c r="R91" s="4"/>
      <c r="S91" s="4"/>
      <c r="T91" s="4"/>
      <c r="U91" s="4"/>
      <c r="V91" s="4"/>
      <c r="W91" s="4"/>
      <c r="X91" s="4"/>
      <c r="Y91" s="4"/>
      <c r="Z91" s="4"/>
      <c r="AA91" s="4"/>
      <c r="AB91" s="4"/>
      <c r="AC91" s="4"/>
      <c r="AD91" s="4"/>
      <c r="AE91" s="4"/>
      <c r="AF91" s="4"/>
    </row>
    <row r="92" spans="1:32" ht="15.75" customHeight="1">
      <c r="A92" s="4" t="s">
        <v>881</v>
      </c>
      <c r="B92" s="4"/>
      <c r="C92" s="4"/>
      <c r="D92" s="11" t="s">
        <v>882</v>
      </c>
      <c r="E92" s="4" t="s">
        <v>1282</v>
      </c>
      <c r="F92" s="4" t="s">
        <v>1036</v>
      </c>
      <c r="G92" s="4" t="s">
        <v>61</v>
      </c>
      <c r="H92" s="4" t="s">
        <v>61</v>
      </c>
      <c r="I92" s="4" t="s">
        <v>73</v>
      </c>
      <c r="J92" s="19" t="s">
        <v>1283</v>
      </c>
      <c r="K92" s="4" t="s">
        <v>984</v>
      </c>
      <c r="L92" s="4" t="s">
        <v>1029</v>
      </c>
      <c r="M92" s="4"/>
      <c r="N92" s="4" t="s">
        <v>1206</v>
      </c>
      <c r="O92" s="4"/>
      <c r="P92" s="4"/>
      <c r="Q92" s="4"/>
      <c r="R92" s="4"/>
      <c r="S92" s="4"/>
      <c r="T92" s="4"/>
      <c r="U92" s="4"/>
      <c r="V92" s="4"/>
      <c r="W92" s="4"/>
      <c r="X92" s="4"/>
      <c r="Y92" s="4"/>
      <c r="Z92" s="4"/>
      <c r="AA92" s="4"/>
      <c r="AB92" s="4"/>
      <c r="AC92" s="4"/>
      <c r="AD92" s="4"/>
      <c r="AE92" s="4"/>
      <c r="AF92" s="4"/>
    </row>
    <row r="93" spans="1:32" ht="15.75" customHeight="1">
      <c r="A93" s="4" t="s">
        <v>886</v>
      </c>
      <c r="B93" s="4"/>
      <c r="C93" s="4"/>
      <c r="D93" s="11" t="s">
        <v>887</v>
      </c>
      <c r="E93" s="4" t="s">
        <v>1284</v>
      </c>
      <c r="F93" s="4" t="s">
        <v>889</v>
      </c>
      <c r="G93" s="4" t="s">
        <v>73</v>
      </c>
      <c r="H93" s="4" t="s">
        <v>61</v>
      </c>
      <c r="I93" s="4" t="s">
        <v>999</v>
      </c>
      <c r="J93" s="19" t="s">
        <v>1285</v>
      </c>
      <c r="K93" s="4" t="s">
        <v>984</v>
      </c>
      <c r="L93" s="4" t="s">
        <v>1014</v>
      </c>
      <c r="M93" s="4"/>
      <c r="N93" s="4" t="s">
        <v>1206</v>
      </c>
      <c r="O93" s="4"/>
      <c r="P93" s="4"/>
      <c r="Q93" s="4"/>
      <c r="R93" s="4"/>
      <c r="S93" s="4"/>
      <c r="T93" s="4"/>
      <c r="U93" s="4"/>
      <c r="V93" s="4"/>
      <c r="W93" s="4"/>
      <c r="X93" s="4"/>
      <c r="Y93" s="4"/>
      <c r="Z93" s="4"/>
      <c r="AA93" s="4"/>
      <c r="AB93" s="4"/>
      <c r="AC93" s="4"/>
      <c r="AD93" s="4"/>
      <c r="AE93" s="4"/>
      <c r="AF93" s="4"/>
    </row>
    <row r="94" spans="1:32" ht="15.75" customHeight="1">
      <c r="A94" s="4" t="s">
        <v>1286</v>
      </c>
      <c r="B94" s="4"/>
      <c r="C94" s="4"/>
      <c r="D94" s="11" t="s">
        <v>892</v>
      </c>
      <c r="E94" s="4" t="s">
        <v>1287</v>
      </c>
      <c r="F94" s="4" t="s">
        <v>1288</v>
      </c>
      <c r="G94" s="4" t="s">
        <v>61</v>
      </c>
      <c r="H94" s="4" t="s">
        <v>61</v>
      </c>
      <c r="I94" s="4" t="s">
        <v>73</v>
      </c>
      <c r="J94" s="19" t="s">
        <v>1289</v>
      </c>
      <c r="K94" s="4" t="s">
        <v>1001</v>
      </c>
      <c r="L94" s="4" t="s">
        <v>1029</v>
      </c>
      <c r="M94" s="4"/>
      <c r="N94" s="4" t="s">
        <v>1206</v>
      </c>
      <c r="O94" s="4"/>
      <c r="P94" s="4"/>
      <c r="Q94" s="4"/>
      <c r="R94" s="4"/>
      <c r="S94" s="4"/>
      <c r="T94" s="4"/>
      <c r="U94" s="4"/>
      <c r="V94" s="4"/>
      <c r="W94" s="4"/>
      <c r="X94" s="4"/>
      <c r="Y94" s="4"/>
      <c r="Z94" s="4"/>
      <c r="AA94" s="4"/>
      <c r="AB94" s="4"/>
      <c r="AC94" s="4"/>
      <c r="AD94" s="4"/>
      <c r="AE94" s="4"/>
      <c r="AF94" s="4"/>
    </row>
    <row r="95" spans="1:32" ht="15.75" customHeight="1">
      <c r="A95" s="4" t="s">
        <v>1290</v>
      </c>
      <c r="B95" s="4"/>
      <c r="C95" s="4"/>
      <c r="D95" s="11" t="s">
        <v>897</v>
      </c>
      <c r="E95" s="4" t="s">
        <v>1291</v>
      </c>
      <c r="F95" s="4" t="s">
        <v>899</v>
      </c>
      <c r="G95" s="4" t="s">
        <v>61</v>
      </c>
      <c r="H95" s="4" t="s">
        <v>73</v>
      </c>
      <c r="I95" s="4" t="s">
        <v>61</v>
      </c>
      <c r="J95" s="19" t="s">
        <v>1292</v>
      </c>
      <c r="K95" s="4" t="s">
        <v>1060</v>
      </c>
      <c r="L95" s="4" t="s">
        <v>1029</v>
      </c>
      <c r="M95" s="4"/>
      <c r="N95" s="4" t="s">
        <v>1206</v>
      </c>
      <c r="O95" s="4"/>
      <c r="P95" s="4"/>
      <c r="Q95" s="4"/>
      <c r="R95" s="4"/>
      <c r="S95" s="4"/>
      <c r="T95" s="4"/>
      <c r="U95" s="4"/>
      <c r="V95" s="4"/>
      <c r="W95" s="4"/>
      <c r="X95" s="4"/>
      <c r="Y95" s="4"/>
      <c r="Z95" s="4"/>
      <c r="AA95" s="4"/>
      <c r="AB95" s="4"/>
      <c r="AC95" s="4"/>
      <c r="AD95" s="4"/>
      <c r="AE95" s="4"/>
      <c r="AF95" s="4"/>
    </row>
    <row r="96" spans="1:32" ht="15.75" customHeight="1">
      <c r="A96" s="34" t="s">
        <v>901</v>
      </c>
      <c r="B96" s="4"/>
      <c r="C96" s="4"/>
      <c r="D96" s="11" t="s">
        <v>902</v>
      </c>
      <c r="E96" s="4" t="s">
        <v>1293</v>
      </c>
      <c r="F96" s="4" t="s">
        <v>1294</v>
      </c>
      <c r="G96" s="4" t="s">
        <v>61</v>
      </c>
      <c r="H96" s="4" t="s">
        <v>61</v>
      </c>
      <c r="I96" s="4" t="s">
        <v>61</v>
      </c>
      <c r="J96" s="19" t="s">
        <v>1295</v>
      </c>
      <c r="K96" s="4" t="s">
        <v>984</v>
      </c>
      <c r="L96" s="4" t="s">
        <v>1029</v>
      </c>
      <c r="M96" s="4"/>
      <c r="N96" s="4" t="s">
        <v>1206</v>
      </c>
      <c r="O96" s="4"/>
      <c r="P96" s="4"/>
      <c r="Q96" s="4"/>
      <c r="R96" s="4"/>
      <c r="S96" s="4"/>
      <c r="T96" s="4"/>
      <c r="U96" s="4"/>
      <c r="V96" s="4"/>
      <c r="W96" s="4"/>
      <c r="X96" s="4"/>
      <c r="Y96" s="4"/>
      <c r="Z96" s="4"/>
      <c r="AA96" s="4"/>
      <c r="AB96" s="4"/>
      <c r="AC96" s="4"/>
      <c r="AD96" s="4"/>
      <c r="AE96" s="4"/>
      <c r="AF96" s="4"/>
    </row>
    <row r="97" spans="1:32" ht="15.75" customHeight="1">
      <c r="A97" s="34" t="s">
        <v>906</v>
      </c>
      <c r="B97" s="4"/>
      <c r="C97" s="4"/>
      <c r="D97" s="11" t="s">
        <v>1296</v>
      </c>
      <c r="E97" s="4" t="s">
        <v>1297</v>
      </c>
      <c r="F97" s="50" t="s">
        <v>909</v>
      </c>
      <c r="G97" s="4" t="s">
        <v>73</v>
      </c>
      <c r="H97" s="4" t="s">
        <v>73</v>
      </c>
      <c r="I97" s="4" t="s">
        <v>999</v>
      </c>
      <c r="J97" s="19" t="s">
        <v>1298</v>
      </c>
      <c r="K97" s="4" t="s">
        <v>984</v>
      </c>
      <c r="L97" s="4" t="s">
        <v>1107</v>
      </c>
      <c r="M97" s="4" t="s">
        <v>73</v>
      </c>
      <c r="N97" s="4" t="s">
        <v>1188</v>
      </c>
      <c r="O97" s="4"/>
      <c r="P97" s="4"/>
      <c r="Q97" s="4"/>
      <c r="R97" s="4"/>
      <c r="S97" s="4"/>
      <c r="T97" s="4"/>
      <c r="U97" s="4"/>
      <c r="V97" s="4"/>
      <c r="W97" s="4"/>
      <c r="X97" s="4"/>
      <c r="Y97" s="4"/>
      <c r="Z97" s="4"/>
      <c r="AA97" s="4"/>
      <c r="AB97" s="4"/>
      <c r="AC97" s="4"/>
      <c r="AD97" s="4"/>
      <c r="AE97" s="4"/>
      <c r="AF97" s="4"/>
    </row>
    <row r="98" spans="1:32" ht="15.75" customHeight="1">
      <c r="A98" s="34" t="s">
        <v>911</v>
      </c>
      <c r="B98" s="4"/>
      <c r="C98" s="4"/>
      <c r="D98" s="11" t="s">
        <v>912</v>
      </c>
      <c r="E98" s="4" t="s">
        <v>1299</v>
      </c>
      <c r="F98" s="50" t="s">
        <v>914</v>
      </c>
      <c r="G98" s="4" t="s">
        <v>61</v>
      </c>
      <c r="H98" s="4" t="s">
        <v>61</v>
      </c>
      <c r="I98" s="4" t="s">
        <v>73</v>
      </c>
      <c r="J98" s="19" t="s">
        <v>1300</v>
      </c>
      <c r="K98" s="4" t="s">
        <v>1021</v>
      </c>
      <c r="L98" s="4" t="s">
        <v>1029</v>
      </c>
      <c r="M98" s="4" t="s">
        <v>61</v>
      </c>
      <c r="N98" s="4" t="s">
        <v>1206</v>
      </c>
      <c r="O98" s="4"/>
      <c r="P98" s="4"/>
      <c r="Q98" s="4"/>
      <c r="R98" s="4"/>
      <c r="S98" s="4"/>
      <c r="T98" s="4"/>
      <c r="U98" s="4"/>
      <c r="V98" s="4"/>
      <c r="W98" s="4"/>
      <c r="X98" s="4"/>
      <c r="Y98" s="4"/>
      <c r="Z98" s="4"/>
      <c r="AA98" s="4"/>
      <c r="AB98" s="4"/>
      <c r="AC98" s="4"/>
      <c r="AD98" s="4"/>
      <c r="AE98" s="4"/>
      <c r="AF98" s="4"/>
    </row>
    <row r="99" spans="1:32" ht="15.75" customHeight="1">
      <c r="A99" s="34" t="s">
        <v>916</v>
      </c>
      <c r="B99" s="4"/>
      <c r="C99" s="4"/>
      <c r="D99" s="11" t="s">
        <v>1301</v>
      </c>
      <c r="E99" s="4" t="s">
        <v>1302</v>
      </c>
      <c r="F99" s="4" t="s">
        <v>919</v>
      </c>
      <c r="G99" s="4" t="s">
        <v>61</v>
      </c>
      <c r="H99" s="4" t="s">
        <v>61</v>
      </c>
      <c r="I99" s="4" t="s">
        <v>73</v>
      </c>
      <c r="J99" s="19" t="s">
        <v>1303</v>
      </c>
      <c r="K99" s="4" t="s">
        <v>1001</v>
      </c>
      <c r="L99" s="4" t="s">
        <v>1029</v>
      </c>
      <c r="M99" s="4" t="s">
        <v>61</v>
      </c>
      <c r="N99" s="4" t="s">
        <v>1206</v>
      </c>
      <c r="O99" s="4"/>
      <c r="P99" s="4"/>
      <c r="Q99" s="4"/>
      <c r="R99" s="4"/>
      <c r="S99" s="4"/>
      <c r="T99" s="4"/>
      <c r="U99" s="4"/>
      <c r="V99" s="4"/>
      <c r="W99" s="4"/>
      <c r="X99" s="4"/>
      <c r="Y99" s="4"/>
      <c r="Z99" s="4"/>
      <c r="AA99" s="4"/>
      <c r="AB99" s="4"/>
      <c r="AC99" s="4"/>
      <c r="AD99" s="4"/>
      <c r="AE99" s="4"/>
      <c r="AF99" s="4"/>
    </row>
    <row r="100" spans="1:32" ht="15.75" customHeight="1">
      <c r="A100" s="34" t="s">
        <v>921</v>
      </c>
      <c r="B100" s="4"/>
      <c r="C100" s="4"/>
      <c r="D100" s="11" t="s">
        <v>1304</v>
      </c>
      <c r="E100" s="4" t="s">
        <v>1305</v>
      </c>
      <c r="F100" s="50" t="s">
        <v>1306</v>
      </c>
      <c r="G100" s="4" t="s">
        <v>61</v>
      </c>
      <c r="H100" s="4" t="s">
        <v>73</v>
      </c>
      <c r="I100" s="4" t="s">
        <v>61</v>
      </c>
      <c r="J100" s="19" t="s">
        <v>1307</v>
      </c>
      <c r="K100" s="4" t="s">
        <v>1001</v>
      </c>
      <c r="L100" s="4" t="s">
        <v>1029</v>
      </c>
      <c r="M100" s="4" t="s">
        <v>61</v>
      </c>
      <c r="N100" s="4" t="s">
        <v>1206</v>
      </c>
      <c r="O100" s="4"/>
      <c r="P100" s="4"/>
      <c r="Q100" s="4"/>
      <c r="R100" s="4"/>
      <c r="S100" s="4"/>
      <c r="T100" s="4"/>
      <c r="U100" s="4"/>
      <c r="V100" s="4"/>
      <c r="W100" s="4"/>
      <c r="X100" s="4"/>
      <c r="Y100" s="4"/>
      <c r="Z100" s="4"/>
      <c r="AA100" s="4"/>
      <c r="AB100" s="4"/>
      <c r="AC100" s="4"/>
      <c r="AD100" s="4"/>
      <c r="AE100" s="4"/>
      <c r="AF100" s="4"/>
    </row>
    <row r="101" spans="1:32" ht="15.75" customHeight="1">
      <c r="A101" s="34" t="s">
        <v>1308</v>
      </c>
      <c r="B101" s="4"/>
      <c r="C101" s="4"/>
      <c r="D101" s="11" t="s">
        <v>1309</v>
      </c>
      <c r="E101" s="4" t="s">
        <v>1310</v>
      </c>
      <c r="F101" s="50" t="s">
        <v>1311</v>
      </c>
      <c r="G101" s="4" t="s">
        <v>61</v>
      </c>
      <c r="H101" s="4" t="s">
        <v>61</v>
      </c>
      <c r="I101" s="4" t="s">
        <v>73</v>
      </c>
      <c r="J101" s="19" t="s">
        <v>1312</v>
      </c>
      <c r="K101" s="4" t="s">
        <v>1060</v>
      </c>
      <c r="L101" s="4" t="s">
        <v>1029</v>
      </c>
      <c r="M101" s="4" t="s">
        <v>61</v>
      </c>
      <c r="N101" s="4" t="s">
        <v>1206</v>
      </c>
      <c r="O101" s="4"/>
      <c r="P101" s="4"/>
      <c r="Q101" s="4"/>
      <c r="R101" s="4"/>
      <c r="S101" s="4"/>
      <c r="T101" s="4"/>
      <c r="U101" s="4"/>
      <c r="V101" s="4"/>
      <c r="W101" s="4"/>
      <c r="X101" s="4"/>
      <c r="Y101" s="4"/>
      <c r="Z101" s="4"/>
      <c r="AA101" s="4"/>
      <c r="AB101" s="4"/>
      <c r="AC101" s="4"/>
      <c r="AD101" s="4"/>
      <c r="AE101" s="4"/>
      <c r="AF101" s="4"/>
    </row>
    <row r="102" spans="1:32" ht="15.75" customHeight="1">
      <c r="A102" s="39" t="s">
        <v>932</v>
      </c>
      <c r="B102" s="4"/>
      <c r="C102" s="4"/>
      <c r="D102" s="11" t="s">
        <v>933</v>
      </c>
      <c r="E102" s="4" t="s">
        <v>1313</v>
      </c>
      <c r="F102" s="4" t="s">
        <v>1314</v>
      </c>
      <c r="G102" s="4" t="s">
        <v>61</v>
      </c>
      <c r="H102" s="4" t="s">
        <v>61</v>
      </c>
      <c r="I102" s="4" t="s">
        <v>73</v>
      </c>
      <c r="J102" s="19" t="s">
        <v>1315</v>
      </c>
      <c r="K102" s="4" t="s">
        <v>1001</v>
      </c>
      <c r="L102" s="4" t="s">
        <v>1029</v>
      </c>
      <c r="M102" s="4" t="s">
        <v>61</v>
      </c>
      <c r="N102" s="4" t="s">
        <v>1206</v>
      </c>
      <c r="O102" s="4"/>
      <c r="P102" s="4"/>
      <c r="Q102" s="4"/>
      <c r="R102" s="4"/>
      <c r="S102" s="4"/>
      <c r="T102" s="4"/>
      <c r="U102" s="4"/>
      <c r="V102" s="4"/>
      <c r="W102" s="4"/>
      <c r="X102" s="4"/>
      <c r="Y102" s="4"/>
      <c r="Z102" s="4"/>
      <c r="AA102" s="4"/>
      <c r="AB102" s="4"/>
      <c r="AC102" s="4"/>
      <c r="AD102" s="4"/>
      <c r="AE102" s="4"/>
      <c r="AF102" s="4"/>
    </row>
    <row r="103" spans="1:32" ht="15.75" customHeight="1">
      <c r="A103" s="34" t="s">
        <v>937</v>
      </c>
      <c r="B103" s="4"/>
      <c r="C103" s="4"/>
      <c r="D103" s="11" t="s">
        <v>1316</v>
      </c>
      <c r="E103" s="4" t="s">
        <v>1317</v>
      </c>
      <c r="F103" s="50" t="s">
        <v>940</v>
      </c>
      <c r="G103" s="4" t="s">
        <v>61</v>
      </c>
      <c r="H103" s="4" t="s">
        <v>61</v>
      </c>
      <c r="I103" s="4" t="s">
        <v>73</v>
      </c>
      <c r="J103" s="19" t="s">
        <v>1318</v>
      </c>
      <c r="K103" s="4" t="s">
        <v>1001</v>
      </c>
      <c r="L103" s="4" t="s">
        <v>1029</v>
      </c>
      <c r="M103" s="4" t="s">
        <v>61</v>
      </c>
      <c r="N103" s="4" t="s">
        <v>1206</v>
      </c>
      <c r="O103" s="4"/>
      <c r="P103" s="4"/>
      <c r="Q103" s="4"/>
      <c r="R103" s="4"/>
      <c r="S103" s="4"/>
      <c r="T103" s="4"/>
      <c r="U103" s="4"/>
      <c r="V103" s="4"/>
      <c r="W103" s="4"/>
      <c r="X103" s="4"/>
      <c r="Y103" s="4"/>
      <c r="Z103" s="4"/>
      <c r="AA103" s="4"/>
      <c r="AB103" s="4"/>
      <c r="AC103" s="4"/>
      <c r="AD103" s="4"/>
      <c r="AE103" s="4"/>
      <c r="AF103" s="4"/>
    </row>
    <row r="104" spans="1:32" ht="15.75" customHeight="1">
      <c r="A104" s="34" t="s">
        <v>942</v>
      </c>
      <c r="B104" s="4"/>
      <c r="C104" s="4"/>
      <c r="D104" s="11" t="s">
        <v>1319</v>
      </c>
      <c r="E104" s="4" t="s">
        <v>1320</v>
      </c>
      <c r="F104" s="4" t="s">
        <v>1321</v>
      </c>
      <c r="G104" s="4" t="s">
        <v>61</v>
      </c>
      <c r="H104" s="4" t="s">
        <v>73</v>
      </c>
      <c r="I104" s="4" t="s">
        <v>61</v>
      </c>
      <c r="J104" s="19" t="s">
        <v>1322</v>
      </c>
      <c r="K104" s="4" t="s">
        <v>1021</v>
      </c>
      <c r="L104" s="4" t="s">
        <v>1029</v>
      </c>
      <c r="M104" s="4" t="s">
        <v>61</v>
      </c>
      <c r="N104" s="4" t="s">
        <v>1206</v>
      </c>
      <c r="O104" s="4"/>
      <c r="P104" s="4"/>
      <c r="Q104" s="4"/>
      <c r="R104" s="4"/>
      <c r="S104" s="4"/>
      <c r="T104" s="4"/>
      <c r="U104" s="4"/>
      <c r="V104" s="4"/>
      <c r="W104" s="4"/>
      <c r="X104" s="4"/>
      <c r="Y104" s="4"/>
      <c r="Z104" s="4"/>
      <c r="AA104" s="4"/>
      <c r="AB104" s="4"/>
      <c r="AC104" s="4"/>
      <c r="AD104" s="4"/>
      <c r="AE104" s="4"/>
      <c r="AF104" s="4"/>
    </row>
    <row r="105" spans="1:32" ht="15.75" customHeight="1">
      <c r="A105" s="34" t="s">
        <v>947</v>
      </c>
      <c r="B105" s="4"/>
      <c r="C105" s="4"/>
      <c r="D105" s="11" t="s">
        <v>1323</v>
      </c>
      <c r="E105" s="4" t="s">
        <v>1324</v>
      </c>
      <c r="F105" s="4" t="s">
        <v>1325</v>
      </c>
      <c r="G105" s="4" t="s">
        <v>61</v>
      </c>
      <c r="H105" s="4" t="s">
        <v>73</v>
      </c>
      <c r="I105" s="4" t="s">
        <v>61</v>
      </c>
      <c r="J105" s="19" t="s">
        <v>1326</v>
      </c>
      <c r="K105" s="4" t="s">
        <v>1021</v>
      </c>
      <c r="L105" s="4" t="s">
        <v>1029</v>
      </c>
      <c r="M105" s="4" t="s">
        <v>61</v>
      </c>
      <c r="N105" s="4" t="s">
        <v>1206</v>
      </c>
      <c r="O105" s="4"/>
      <c r="P105" s="4"/>
      <c r="Q105" s="4"/>
      <c r="R105" s="4"/>
      <c r="S105" s="4"/>
      <c r="T105" s="4"/>
      <c r="U105" s="4"/>
      <c r="V105" s="4"/>
      <c r="W105" s="4"/>
      <c r="X105" s="4"/>
      <c r="Y105" s="4"/>
      <c r="Z105" s="4"/>
      <c r="AA105" s="4"/>
      <c r="AB105" s="4"/>
      <c r="AC105" s="4"/>
      <c r="AD105" s="4"/>
      <c r="AE105" s="4"/>
      <c r="AF105" s="4"/>
    </row>
    <row r="106" spans="1:32" ht="15.75" customHeight="1">
      <c r="A106" s="34" t="s">
        <v>952</v>
      </c>
      <c r="B106" s="4"/>
      <c r="C106" s="4"/>
      <c r="D106" s="11" t="s">
        <v>1327</v>
      </c>
      <c r="E106" s="4" t="s">
        <v>1328</v>
      </c>
      <c r="F106" s="4" t="s">
        <v>1329</v>
      </c>
      <c r="G106" s="4" t="s">
        <v>73</v>
      </c>
      <c r="H106" s="4" t="s">
        <v>73</v>
      </c>
      <c r="I106" s="4" t="s">
        <v>73</v>
      </c>
      <c r="J106" s="19" t="s">
        <v>1330</v>
      </c>
      <c r="K106" s="4" t="s">
        <v>1001</v>
      </c>
      <c r="L106" s="4" t="s">
        <v>1139</v>
      </c>
      <c r="M106" s="4" t="s">
        <v>73</v>
      </c>
      <c r="N106" s="4" t="s">
        <v>1188</v>
      </c>
      <c r="O106" s="4"/>
      <c r="P106" s="4"/>
      <c r="Q106" s="4"/>
      <c r="R106" s="4"/>
      <c r="S106" s="4"/>
      <c r="T106" s="4"/>
      <c r="U106" s="4"/>
      <c r="V106" s="4"/>
      <c r="W106" s="4"/>
      <c r="X106" s="4"/>
      <c r="Y106" s="4"/>
      <c r="Z106" s="4"/>
      <c r="AA106" s="4"/>
      <c r="AB106" s="4"/>
      <c r="AC106" s="4"/>
      <c r="AD106" s="4"/>
      <c r="AE106" s="4"/>
      <c r="AF106" s="4"/>
    </row>
    <row r="107" spans="1:32" ht="15.75" customHeight="1">
      <c r="A107" s="34" t="s">
        <v>957</v>
      </c>
      <c r="B107" s="4"/>
      <c r="C107" s="4"/>
      <c r="D107" s="11" t="s">
        <v>1331</v>
      </c>
      <c r="E107" s="4" t="s">
        <v>1332</v>
      </c>
      <c r="F107" s="4" t="s">
        <v>1333</v>
      </c>
      <c r="G107" s="4" t="s">
        <v>73</v>
      </c>
      <c r="H107" s="4" t="s">
        <v>61</v>
      </c>
      <c r="I107" s="4" t="s">
        <v>999</v>
      </c>
      <c r="J107" s="19" t="s">
        <v>1334</v>
      </c>
      <c r="K107" s="4" t="s">
        <v>984</v>
      </c>
      <c r="L107" s="4" t="s">
        <v>1014</v>
      </c>
      <c r="M107" s="4" t="s">
        <v>61</v>
      </c>
      <c r="N107" s="4" t="s">
        <v>1206</v>
      </c>
      <c r="O107" s="4"/>
      <c r="P107" s="4"/>
      <c r="Q107" s="4"/>
      <c r="R107" s="4"/>
      <c r="S107" s="4"/>
      <c r="T107" s="4"/>
      <c r="U107" s="4"/>
      <c r="V107" s="4"/>
      <c r="W107" s="4"/>
      <c r="X107" s="4"/>
      <c r="Y107" s="4"/>
      <c r="Z107" s="4"/>
      <c r="AA107" s="4"/>
      <c r="AB107" s="4"/>
      <c r="AC107" s="4"/>
      <c r="AD107" s="4"/>
      <c r="AE107" s="4"/>
      <c r="AF107" s="4"/>
    </row>
    <row r="108" spans="1:32" ht="15.75" customHeight="1">
      <c r="A108" s="34" t="s">
        <v>961</v>
      </c>
      <c r="B108" s="4"/>
      <c r="C108" s="4"/>
      <c r="D108" s="11" t="s">
        <v>962</v>
      </c>
      <c r="E108" s="4" t="s">
        <v>1335</v>
      </c>
      <c r="F108" s="4" t="s">
        <v>1336</v>
      </c>
      <c r="G108" s="4" t="s">
        <v>73</v>
      </c>
      <c r="H108" s="4" t="s">
        <v>61</v>
      </c>
      <c r="I108" s="4" t="s">
        <v>999</v>
      </c>
      <c r="J108" s="19" t="s">
        <v>1337</v>
      </c>
      <c r="K108" s="4" t="s">
        <v>984</v>
      </c>
      <c r="L108" s="4" t="s">
        <v>1107</v>
      </c>
      <c r="M108" s="4" t="s">
        <v>73</v>
      </c>
      <c r="N108" s="4" t="s">
        <v>565</v>
      </c>
      <c r="O108" s="4"/>
      <c r="P108" s="4"/>
      <c r="Q108" s="4"/>
      <c r="R108" s="4"/>
      <c r="S108" s="4"/>
      <c r="T108" s="4"/>
      <c r="U108" s="4"/>
      <c r="V108" s="4"/>
      <c r="W108" s="4"/>
      <c r="X108" s="4"/>
      <c r="Y108" s="4"/>
      <c r="Z108" s="4"/>
      <c r="AA108" s="4"/>
      <c r="AB108" s="4"/>
      <c r="AC108" s="4"/>
      <c r="AD108" s="4"/>
      <c r="AE108" s="4"/>
      <c r="AF108" s="4"/>
    </row>
    <row r="109" spans="1:32" ht="15.75" customHeight="1">
      <c r="A109" s="4"/>
      <c r="B109" s="4"/>
      <c r="C109" s="4"/>
      <c r="D109" s="4"/>
      <c r="E109" s="4"/>
      <c r="F109" s="4"/>
      <c r="G109" s="4">
        <f>COUNTIF(G2:G108,"Yes")</f>
        <v>60</v>
      </c>
      <c r="H109" s="4"/>
      <c r="I109" s="4"/>
      <c r="J109" s="19"/>
      <c r="K109" s="4"/>
      <c r="L109" s="4"/>
      <c r="M109" s="4"/>
      <c r="N109" s="4"/>
      <c r="O109" s="4"/>
      <c r="P109" s="4"/>
      <c r="Q109" s="4"/>
      <c r="R109" s="4"/>
      <c r="S109" s="4"/>
      <c r="T109" s="4"/>
      <c r="U109" s="4"/>
      <c r="V109" s="4"/>
      <c r="W109" s="4"/>
      <c r="X109" s="4"/>
      <c r="Y109" s="4"/>
      <c r="Z109" s="4"/>
      <c r="AA109" s="4"/>
      <c r="AB109" s="4"/>
      <c r="AC109" s="4"/>
      <c r="AD109" s="4"/>
      <c r="AE109" s="4"/>
      <c r="AF109" s="4"/>
    </row>
    <row r="110" spans="1:32" ht="15.75" customHeight="1">
      <c r="A110" s="4"/>
      <c r="B110" s="4"/>
      <c r="C110" s="4"/>
      <c r="D110" s="4"/>
      <c r="E110" s="4"/>
      <c r="F110" s="4"/>
      <c r="G110" s="4">
        <f>COUNTA(G3:G108)</f>
        <v>105</v>
      </c>
      <c r="H110" s="4"/>
      <c r="I110" s="4"/>
      <c r="J110" s="19"/>
      <c r="K110" s="4"/>
      <c r="L110" s="4"/>
      <c r="M110" s="4"/>
      <c r="N110" s="4"/>
      <c r="O110" s="4"/>
      <c r="P110" s="4"/>
      <c r="Q110" s="4"/>
      <c r="R110" s="4"/>
      <c r="S110" s="4"/>
      <c r="T110" s="4"/>
      <c r="U110" s="4"/>
      <c r="V110" s="4"/>
      <c r="W110" s="4"/>
      <c r="X110" s="4"/>
      <c r="Y110" s="4"/>
      <c r="Z110" s="4"/>
      <c r="AA110" s="4"/>
      <c r="AB110" s="4"/>
      <c r="AC110" s="4"/>
      <c r="AD110" s="4"/>
      <c r="AE110" s="4"/>
      <c r="AF110" s="4"/>
    </row>
    <row r="111" spans="1:32" ht="15.75" customHeight="1">
      <c r="A111" s="4"/>
      <c r="B111" s="4"/>
      <c r="C111" s="4"/>
      <c r="D111" s="4"/>
      <c r="E111" s="4"/>
      <c r="F111" s="4"/>
      <c r="G111" s="58">
        <f>G109/G110</f>
        <v>0.5714285714285714</v>
      </c>
      <c r="H111" s="4"/>
      <c r="I111" s="4"/>
      <c r="J111" s="19"/>
      <c r="K111" s="4"/>
      <c r="L111" s="4"/>
      <c r="M111" s="4"/>
      <c r="N111" s="4"/>
      <c r="O111" s="4"/>
      <c r="P111" s="4"/>
      <c r="Q111" s="4"/>
      <c r="R111" s="4"/>
      <c r="S111" s="4"/>
      <c r="T111" s="4"/>
      <c r="U111" s="4"/>
      <c r="V111" s="4"/>
      <c r="W111" s="4"/>
      <c r="X111" s="4"/>
      <c r="Y111" s="4"/>
      <c r="Z111" s="4"/>
      <c r="AA111" s="4"/>
      <c r="AB111" s="4"/>
      <c r="AC111" s="4"/>
      <c r="AD111" s="4"/>
      <c r="AE111" s="4"/>
      <c r="AF111" s="4"/>
    </row>
    <row r="112" spans="1:32" ht="15.75" customHeight="1">
      <c r="A112" s="4"/>
      <c r="B112" s="4"/>
      <c r="C112" s="4"/>
      <c r="D112" s="4"/>
      <c r="E112" s="4"/>
      <c r="F112" s="4"/>
      <c r="G112" s="4"/>
      <c r="H112" s="4"/>
      <c r="I112" s="4"/>
      <c r="J112" s="19"/>
      <c r="K112" s="4"/>
      <c r="L112" s="4"/>
      <c r="M112" s="4"/>
      <c r="N112" s="4"/>
      <c r="O112" s="4"/>
      <c r="P112" s="4"/>
      <c r="Q112" s="4"/>
      <c r="R112" s="4"/>
      <c r="S112" s="4"/>
      <c r="T112" s="4"/>
      <c r="U112" s="4"/>
      <c r="V112" s="4"/>
      <c r="W112" s="4"/>
      <c r="X112" s="4"/>
      <c r="Y112" s="4"/>
      <c r="Z112" s="4"/>
      <c r="AA112" s="4"/>
      <c r="AB112" s="4"/>
      <c r="AC112" s="4"/>
      <c r="AD112" s="4"/>
      <c r="AE112" s="4"/>
      <c r="AF112" s="4"/>
    </row>
    <row r="113" spans="1:32" ht="15.75" customHeight="1">
      <c r="A113" s="4"/>
      <c r="B113" s="4"/>
      <c r="C113" s="4"/>
      <c r="D113" s="4"/>
      <c r="E113" s="4"/>
      <c r="F113" s="4"/>
      <c r="G113" s="4"/>
      <c r="H113" s="4"/>
      <c r="I113" s="4"/>
      <c r="J113" s="19"/>
      <c r="K113" s="4"/>
      <c r="L113" s="4"/>
      <c r="M113" s="4"/>
      <c r="N113" s="4"/>
      <c r="O113" s="4"/>
      <c r="P113" s="4"/>
      <c r="Q113" s="4"/>
      <c r="R113" s="4"/>
      <c r="S113" s="4"/>
      <c r="T113" s="4"/>
      <c r="U113" s="4"/>
      <c r="V113" s="4"/>
      <c r="W113" s="4"/>
      <c r="X113" s="4"/>
      <c r="Y113" s="4"/>
      <c r="Z113" s="4"/>
      <c r="AA113" s="4"/>
      <c r="AB113" s="4"/>
      <c r="AC113" s="4"/>
      <c r="AD113" s="4"/>
      <c r="AE113" s="4"/>
      <c r="AF113" s="4"/>
    </row>
    <row r="114" spans="1:32" ht="15.75" customHeight="1">
      <c r="A114" s="4"/>
      <c r="B114" s="4"/>
      <c r="C114" s="4"/>
      <c r="D114" s="4"/>
      <c r="E114" s="4"/>
      <c r="F114" s="4"/>
      <c r="G114" s="4"/>
      <c r="H114" s="4"/>
      <c r="I114" s="4"/>
      <c r="J114" s="19"/>
      <c r="K114" s="4"/>
      <c r="L114" s="4"/>
      <c r="M114" s="4"/>
      <c r="N114" s="4"/>
      <c r="O114" s="4"/>
      <c r="P114" s="4"/>
      <c r="Q114" s="4"/>
      <c r="R114" s="4"/>
      <c r="S114" s="4"/>
      <c r="T114" s="4"/>
      <c r="U114" s="4"/>
      <c r="V114" s="4"/>
      <c r="W114" s="4"/>
      <c r="X114" s="4"/>
      <c r="Y114" s="4"/>
      <c r="Z114" s="4"/>
      <c r="AA114" s="4"/>
      <c r="AB114" s="4"/>
      <c r="AC114" s="4"/>
      <c r="AD114" s="4"/>
      <c r="AE114" s="4"/>
      <c r="AF114" s="4"/>
    </row>
    <row r="115" spans="1:32" ht="15.75" customHeight="1">
      <c r="A115" s="4"/>
      <c r="B115" s="4"/>
      <c r="C115" s="4"/>
      <c r="D115" s="4"/>
      <c r="E115" s="4"/>
      <c r="F115" s="4"/>
      <c r="G115" s="4"/>
      <c r="H115" s="4"/>
      <c r="I115" s="4"/>
      <c r="J115" s="19"/>
      <c r="K115" s="4"/>
      <c r="L115" s="4"/>
      <c r="M115" s="4"/>
      <c r="N115" s="4"/>
      <c r="O115" s="4"/>
      <c r="P115" s="4"/>
      <c r="Q115" s="4"/>
      <c r="R115" s="4"/>
      <c r="S115" s="4"/>
      <c r="T115" s="4"/>
      <c r="U115" s="4"/>
      <c r="V115" s="4"/>
      <c r="W115" s="4"/>
      <c r="X115" s="4"/>
      <c r="Y115" s="4"/>
      <c r="Z115" s="4"/>
      <c r="AA115" s="4"/>
      <c r="AB115" s="4"/>
      <c r="AC115" s="4"/>
      <c r="AD115" s="4"/>
      <c r="AE115" s="4"/>
      <c r="AF115" s="4"/>
    </row>
    <row r="116" spans="1:32" ht="15.75" customHeight="1">
      <c r="A116" s="4"/>
      <c r="B116" s="4"/>
      <c r="C116" s="4"/>
      <c r="D116" s="4"/>
      <c r="E116" s="4"/>
      <c r="F116" s="4"/>
      <c r="G116" s="4"/>
      <c r="H116" s="4"/>
      <c r="I116" s="4"/>
      <c r="J116" s="19"/>
      <c r="K116" s="4"/>
      <c r="L116" s="4"/>
      <c r="M116" s="4"/>
      <c r="N116" s="4"/>
      <c r="O116" s="4"/>
      <c r="P116" s="4"/>
      <c r="Q116" s="4"/>
      <c r="R116" s="4"/>
      <c r="S116" s="4"/>
      <c r="T116" s="4"/>
      <c r="U116" s="4"/>
      <c r="V116" s="4"/>
      <c r="W116" s="4"/>
      <c r="X116" s="4"/>
      <c r="Y116" s="4"/>
      <c r="Z116" s="4"/>
      <c r="AA116" s="4"/>
      <c r="AB116" s="4"/>
      <c r="AC116" s="4"/>
      <c r="AD116" s="4"/>
      <c r="AE116" s="4"/>
      <c r="AF116" s="4"/>
    </row>
    <row r="117" spans="1:32" ht="15.75" customHeight="1">
      <c r="A117" s="4"/>
      <c r="B117" s="4"/>
      <c r="C117" s="4"/>
      <c r="D117" s="4"/>
      <c r="E117" s="4"/>
      <c r="F117" s="4"/>
      <c r="G117" s="4"/>
      <c r="H117" s="4"/>
      <c r="I117" s="4"/>
      <c r="J117" s="19"/>
      <c r="K117" s="4"/>
      <c r="L117" s="4"/>
      <c r="M117" s="4"/>
      <c r="N117" s="4"/>
      <c r="O117" s="4"/>
      <c r="P117" s="4"/>
      <c r="Q117" s="4"/>
      <c r="R117" s="4"/>
      <c r="S117" s="4"/>
      <c r="T117" s="4"/>
      <c r="U117" s="4"/>
      <c r="V117" s="4"/>
      <c r="W117" s="4"/>
      <c r="X117" s="4"/>
      <c r="Y117" s="4"/>
      <c r="Z117" s="4"/>
      <c r="AA117" s="4"/>
      <c r="AB117" s="4"/>
      <c r="AC117" s="4"/>
      <c r="AD117" s="4"/>
      <c r="AE117" s="4"/>
      <c r="AF117" s="4"/>
    </row>
    <row r="118" spans="1:32" ht="15.75" customHeight="1">
      <c r="A118" s="4"/>
      <c r="B118" s="4"/>
      <c r="C118" s="4"/>
      <c r="D118" s="4"/>
      <c r="E118" s="4"/>
      <c r="F118" s="4"/>
      <c r="G118" s="4"/>
      <c r="H118" s="4"/>
      <c r="I118" s="4"/>
      <c r="J118" s="19"/>
      <c r="K118" s="4"/>
      <c r="L118" s="4"/>
      <c r="M118" s="4"/>
      <c r="N118" s="4"/>
      <c r="O118" s="4"/>
      <c r="P118" s="4"/>
      <c r="Q118" s="4"/>
      <c r="R118" s="4"/>
      <c r="S118" s="4"/>
      <c r="T118" s="4"/>
      <c r="U118" s="4"/>
      <c r="V118" s="4"/>
      <c r="W118" s="4"/>
      <c r="X118" s="4"/>
      <c r="Y118" s="4"/>
      <c r="Z118" s="4"/>
      <c r="AA118" s="4"/>
      <c r="AB118" s="4"/>
      <c r="AC118" s="4"/>
      <c r="AD118" s="4"/>
      <c r="AE118" s="4"/>
      <c r="AF118" s="4"/>
    </row>
    <row r="119" spans="1:32" ht="15.75" customHeight="1">
      <c r="A119" s="4"/>
      <c r="B119" s="4"/>
      <c r="C119" s="4"/>
      <c r="D119" s="4"/>
      <c r="E119" s="4"/>
      <c r="F119" s="4"/>
      <c r="G119" s="4"/>
      <c r="H119" s="4"/>
      <c r="I119" s="4"/>
      <c r="J119" s="19"/>
      <c r="K119" s="4"/>
      <c r="L119" s="4"/>
      <c r="M119" s="4"/>
      <c r="N119" s="4"/>
      <c r="O119" s="4"/>
      <c r="P119" s="4"/>
      <c r="Q119" s="4"/>
      <c r="R119" s="4"/>
      <c r="S119" s="4"/>
      <c r="T119" s="4"/>
      <c r="U119" s="4"/>
      <c r="V119" s="4"/>
      <c r="W119" s="4"/>
      <c r="X119" s="4"/>
      <c r="Y119" s="4"/>
      <c r="Z119" s="4"/>
      <c r="AA119" s="4"/>
      <c r="AB119" s="4"/>
      <c r="AC119" s="4"/>
      <c r="AD119" s="4"/>
      <c r="AE119" s="4"/>
      <c r="AF119" s="4"/>
    </row>
    <row r="120" spans="1:32" ht="15.75" customHeight="1">
      <c r="A120" s="4"/>
      <c r="B120" s="4"/>
      <c r="C120" s="4"/>
      <c r="D120" s="4"/>
      <c r="E120" s="4"/>
      <c r="F120" s="4"/>
      <c r="G120" s="4"/>
      <c r="H120" s="4"/>
      <c r="I120" s="4"/>
      <c r="J120" s="19"/>
      <c r="K120" s="4"/>
      <c r="L120" s="4"/>
      <c r="M120" s="4"/>
      <c r="N120" s="4"/>
      <c r="O120" s="4"/>
      <c r="P120" s="4"/>
      <c r="Q120" s="4"/>
      <c r="R120" s="4"/>
      <c r="S120" s="4"/>
      <c r="T120" s="4"/>
      <c r="U120" s="4"/>
      <c r="V120" s="4"/>
      <c r="W120" s="4"/>
      <c r="X120" s="4"/>
      <c r="Y120" s="4"/>
      <c r="Z120" s="4"/>
      <c r="AA120" s="4"/>
      <c r="AB120" s="4"/>
      <c r="AC120" s="4"/>
      <c r="AD120" s="4"/>
      <c r="AE120" s="4"/>
      <c r="AF120" s="4"/>
    </row>
    <row r="121" spans="1:32" ht="15.75" customHeight="1">
      <c r="A121" s="4"/>
      <c r="B121" s="4"/>
      <c r="C121" s="4"/>
      <c r="D121" s="4"/>
      <c r="E121" s="4"/>
      <c r="F121" s="4"/>
      <c r="G121" s="4"/>
      <c r="H121" s="4"/>
      <c r="I121" s="4"/>
      <c r="J121" s="19"/>
      <c r="K121" s="4"/>
      <c r="L121" s="4"/>
      <c r="M121" s="4"/>
      <c r="N121" s="4"/>
      <c r="O121" s="4"/>
      <c r="P121" s="4"/>
      <c r="Q121" s="4"/>
      <c r="R121" s="4"/>
      <c r="S121" s="4"/>
      <c r="T121" s="4"/>
      <c r="U121" s="4"/>
      <c r="V121" s="4"/>
      <c r="W121" s="4"/>
      <c r="X121" s="4"/>
      <c r="Y121" s="4"/>
      <c r="Z121" s="4"/>
      <c r="AA121" s="4"/>
      <c r="AB121" s="4"/>
      <c r="AC121" s="4"/>
      <c r="AD121" s="4"/>
      <c r="AE121" s="4"/>
      <c r="AF121" s="4"/>
    </row>
    <row r="122" spans="1:32" ht="15.75" customHeight="1">
      <c r="A122" s="4"/>
      <c r="B122" s="4"/>
      <c r="C122" s="4"/>
      <c r="D122" s="4"/>
      <c r="E122" s="4"/>
      <c r="F122" s="4"/>
      <c r="G122" s="4"/>
      <c r="H122" s="4"/>
      <c r="I122" s="4"/>
      <c r="J122" s="19"/>
      <c r="K122" s="4"/>
      <c r="L122" s="4"/>
      <c r="M122" s="4"/>
      <c r="N122" s="4"/>
      <c r="O122" s="4"/>
      <c r="P122" s="4"/>
      <c r="Q122" s="4"/>
      <c r="R122" s="4"/>
      <c r="S122" s="4"/>
      <c r="T122" s="4"/>
      <c r="U122" s="4"/>
      <c r="V122" s="4"/>
      <c r="W122" s="4"/>
      <c r="X122" s="4"/>
      <c r="Y122" s="4"/>
      <c r="Z122" s="4"/>
      <c r="AA122" s="4"/>
      <c r="AB122" s="4"/>
      <c r="AC122" s="4"/>
      <c r="AD122" s="4"/>
      <c r="AE122" s="4"/>
      <c r="AF122" s="4"/>
    </row>
    <row r="123" spans="1:32" ht="15.75" customHeight="1">
      <c r="A123" s="4"/>
      <c r="B123" s="4"/>
      <c r="C123" s="4"/>
      <c r="D123" s="4"/>
      <c r="E123" s="4"/>
      <c r="F123" s="4"/>
      <c r="G123" s="4"/>
      <c r="H123" s="4"/>
      <c r="I123" s="4"/>
      <c r="J123" s="19"/>
      <c r="K123" s="4"/>
      <c r="L123" s="4"/>
      <c r="M123" s="4"/>
      <c r="N123" s="4"/>
      <c r="O123" s="4"/>
      <c r="P123" s="4"/>
      <c r="Q123" s="4"/>
      <c r="R123" s="4"/>
      <c r="S123" s="4"/>
      <c r="T123" s="4"/>
      <c r="U123" s="4"/>
      <c r="V123" s="4"/>
      <c r="W123" s="4"/>
      <c r="X123" s="4"/>
      <c r="Y123" s="4"/>
      <c r="Z123" s="4"/>
      <c r="AA123" s="4"/>
      <c r="AB123" s="4"/>
      <c r="AC123" s="4"/>
      <c r="AD123" s="4"/>
      <c r="AE123" s="4"/>
      <c r="AF123" s="4"/>
    </row>
    <row r="124" spans="1:32" ht="15.75" customHeight="1">
      <c r="A124" s="4"/>
      <c r="B124" s="4"/>
      <c r="C124" s="4"/>
      <c r="D124" s="4"/>
      <c r="E124" s="4"/>
      <c r="F124" s="4"/>
      <c r="G124" s="4"/>
      <c r="H124" s="4"/>
      <c r="I124" s="4"/>
      <c r="J124" s="19"/>
      <c r="K124" s="4"/>
      <c r="L124" s="4"/>
      <c r="M124" s="4"/>
      <c r="N124" s="4"/>
      <c r="O124" s="4"/>
      <c r="P124" s="4"/>
      <c r="Q124" s="4"/>
      <c r="R124" s="4"/>
      <c r="S124" s="4"/>
      <c r="T124" s="4"/>
      <c r="U124" s="4"/>
      <c r="V124" s="4"/>
      <c r="W124" s="4"/>
      <c r="X124" s="4"/>
      <c r="Y124" s="4"/>
      <c r="Z124" s="4"/>
      <c r="AA124" s="4"/>
      <c r="AB124" s="4"/>
      <c r="AC124" s="4"/>
      <c r="AD124" s="4"/>
      <c r="AE124" s="4"/>
      <c r="AF124" s="4"/>
    </row>
    <row r="125" spans="1:32" ht="15.75" customHeight="1">
      <c r="A125" s="4"/>
      <c r="B125" s="4"/>
      <c r="C125" s="4"/>
      <c r="D125" s="4"/>
      <c r="E125" s="4"/>
      <c r="F125" s="4"/>
      <c r="G125" s="4"/>
      <c r="H125" s="4"/>
      <c r="I125" s="4"/>
      <c r="J125" s="19"/>
      <c r="K125" s="4"/>
      <c r="L125" s="4"/>
      <c r="M125" s="4"/>
      <c r="N125" s="4"/>
      <c r="O125" s="4"/>
      <c r="P125" s="4"/>
      <c r="Q125" s="4"/>
      <c r="R125" s="4"/>
      <c r="S125" s="4"/>
      <c r="T125" s="4"/>
      <c r="U125" s="4"/>
      <c r="V125" s="4"/>
      <c r="W125" s="4"/>
      <c r="X125" s="4"/>
      <c r="Y125" s="4"/>
      <c r="Z125" s="4"/>
      <c r="AA125" s="4"/>
      <c r="AB125" s="4"/>
      <c r="AC125" s="4"/>
      <c r="AD125" s="4"/>
      <c r="AE125" s="4"/>
      <c r="AF125" s="4"/>
    </row>
    <row r="126" spans="1:32" ht="15.75" customHeight="1">
      <c r="A126" s="4"/>
      <c r="B126" s="4"/>
      <c r="C126" s="4"/>
      <c r="D126" s="4"/>
      <c r="E126" s="4"/>
      <c r="F126" s="4"/>
      <c r="G126" s="4"/>
      <c r="H126" s="4"/>
      <c r="I126" s="4"/>
      <c r="J126" s="19"/>
      <c r="K126" s="4"/>
      <c r="L126" s="4"/>
      <c r="M126" s="4"/>
      <c r="N126" s="4"/>
      <c r="O126" s="4"/>
      <c r="P126" s="4"/>
      <c r="Q126" s="4"/>
      <c r="R126" s="4"/>
      <c r="S126" s="4"/>
      <c r="T126" s="4"/>
      <c r="U126" s="4"/>
      <c r="V126" s="4"/>
      <c r="W126" s="4"/>
      <c r="X126" s="4"/>
      <c r="Y126" s="4"/>
      <c r="Z126" s="4"/>
      <c r="AA126" s="4"/>
      <c r="AB126" s="4"/>
      <c r="AC126" s="4"/>
      <c r="AD126" s="4"/>
      <c r="AE126" s="4"/>
      <c r="AF126" s="4"/>
    </row>
    <row r="127" spans="1:32" ht="15.75" customHeight="1">
      <c r="A127" s="4"/>
      <c r="B127" s="4"/>
      <c r="C127" s="4"/>
      <c r="D127" s="4"/>
      <c r="E127" s="4"/>
      <c r="F127" s="4"/>
      <c r="G127" s="4"/>
      <c r="H127" s="4"/>
      <c r="I127" s="4"/>
      <c r="J127" s="19"/>
      <c r="K127" s="4"/>
      <c r="L127" s="4"/>
      <c r="M127" s="4"/>
      <c r="N127" s="4"/>
      <c r="O127" s="4"/>
      <c r="P127" s="4"/>
      <c r="Q127" s="4"/>
      <c r="R127" s="4"/>
      <c r="S127" s="4"/>
      <c r="T127" s="4"/>
      <c r="U127" s="4"/>
      <c r="V127" s="4"/>
      <c r="W127" s="4"/>
      <c r="X127" s="4"/>
      <c r="Y127" s="4"/>
      <c r="Z127" s="4"/>
      <c r="AA127" s="4"/>
      <c r="AB127" s="4"/>
      <c r="AC127" s="4"/>
      <c r="AD127" s="4"/>
      <c r="AE127" s="4"/>
      <c r="AF127" s="4"/>
    </row>
    <row r="128" spans="1:32" ht="15.75" customHeight="1">
      <c r="A128" s="4"/>
      <c r="B128" s="4"/>
      <c r="C128" s="4"/>
      <c r="D128" s="4"/>
      <c r="E128" s="4"/>
      <c r="F128" s="4"/>
      <c r="G128" s="4"/>
      <c r="H128" s="4"/>
      <c r="I128" s="4"/>
      <c r="J128" s="19"/>
      <c r="K128" s="4"/>
      <c r="L128" s="4"/>
      <c r="M128" s="4"/>
      <c r="N128" s="4"/>
      <c r="O128" s="4"/>
      <c r="P128" s="4"/>
      <c r="Q128" s="4"/>
      <c r="R128" s="4"/>
      <c r="S128" s="4"/>
      <c r="T128" s="4"/>
      <c r="U128" s="4"/>
      <c r="V128" s="4"/>
      <c r="W128" s="4"/>
      <c r="X128" s="4"/>
      <c r="Y128" s="4"/>
      <c r="Z128" s="4"/>
      <c r="AA128" s="4"/>
      <c r="AB128" s="4"/>
      <c r="AC128" s="4"/>
      <c r="AD128" s="4"/>
      <c r="AE128" s="4"/>
      <c r="AF128" s="4"/>
    </row>
    <row r="129" spans="1:32" ht="15.75" customHeight="1">
      <c r="A129" s="4"/>
      <c r="B129" s="4"/>
      <c r="C129" s="4"/>
      <c r="D129" s="4"/>
      <c r="E129" s="4"/>
      <c r="F129" s="4"/>
      <c r="G129" s="4"/>
      <c r="H129" s="4"/>
      <c r="I129" s="4"/>
      <c r="J129" s="19"/>
      <c r="K129" s="4"/>
      <c r="L129" s="4"/>
      <c r="M129" s="4"/>
      <c r="N129" s="4"/>
      <c r="O129" s="4"/>
      <c r="P129" s="4"/>
      <c r="Q129" s="4"/>
      <c r="R129" s="4"/>
      <c r="S129" s="4"/>
      <c r="T129" s="4"/>
      <c r="U129" s="4"/>
      <c r="V129" s="4"/>
      <c r="W129" s="4"/>
      <c r="X129" s="4"/>
      <c r="Y129" s="4"/>
      <c r="Z129" s="4"/>
      <c r="AA129" s="4"/>
      <c r="AB129" s="4"/>
      <c r="AC129" s="4"/>
      <c r="AD129" s="4"/>
      <c r="AE129" s="4"/>
      <c r="AF129" s="4"/>
    </row>
    <row r="130" spans="1:32" ht="15.75" customHeight="1">
      <c r="A130" s="4"/>
      <c r="B130" s="4"/>
      <c r="C130" s="4"/>
      <c r="D130" s="4"/>
      <c r="E130" s="4"/>
      <c r="F130" s="4"/>
      <c r="G130" s="4"/>
      <c r="H130" s="4"/>
      <c r="I130" s="4"/>
      <c r="J130" s="19"/>
      <c r="K130" s="4"/>
      <c r="L130" s="4"/>
      <c r="M130" s="4"/>
      <c r="N130" s="4"/>
      <c r="O130" s="4"/>
      <c r="P130" s="4"/>
      <c r="Q130" s="4"/>
      <c r="R130" s="4"/>
      <c r="S130" s="4"/>
      <c r="T130" s="4"/>
      <c r="U130" s="4"/>
      <c r="V130" s="4"/>
      <c r="W130" s="4"/>
      <c r="X130" s="4"/>
      <c r="Y130" s="4"/>
      <c r="Z130" s="4"/>
      <c r="AA130" s="4"/>
      <c r="AB130" s="4"/>
      <c r="AC130" s="4"/>
      <c r="AD130" s="4"/>
      <c r="AE130" s="4"/>
      <c r="AF130" s="4"/>
    </row>
    <row r="131" spans="1:32" ht="15.75" customHeight="1">
      <c r="A131" s="4"/>
      <c r="B131" s="4"/>
      <c r="C131" s="4"/>
      <c r="D131" s="4"/>
      <c r="E131" s="4"/>
      <c r="F131" s="4"/>
      <c r="G131" s="4"/>
      <c r="H131" s="4"/>
      <c r="I131" s="4"/>
      <c r="J131" s="19"/>
      <c r="K131" s="4"/>
      <c r="L131" s="4"/>
      <c r="M131" s="4"/>
      <c r="N131" s="4"/>
      <c r="O131" s="4"/>
      <c r="P131" s="4"/>
      <c r="Q131" s="4"/>
      <c r="R131" s="4"/>
      <c r="S131" s="4"/>
      <c r="T131" s="4"/>
      <c r="U131" s="4"/>
      <c r="V131" s="4"/>
      <c r="W131" s="4"/>
      <c r="X131" s="4"/>
      <c r="Y131" s="4"/>
      <c r="Z131" s="4"/>
      <c r="AA131" s="4"/>
      <c r="AB131" s="4"/>
      <c r="AC131" s="4"/>
      <c r="AD131" s="4"/>
      <c r="AE131" s="4"/>
      <c r="AF131" s="4"/>
    </row>
    <row r="132" spans="1:32" ht="15.75" customHeight="1">
      <c r="A132" s="4"/>
      <c r="B132" s="4"/>
      <c r="C132" s="4"/>
      <c r="D132" s="4"/>
      <c r="E132" s="4"/>
      <c r="F132" s="4"/>
      <c r="G132" s="4"/>
      <c r="H132" s="4"/>
      <c r="I132" s="4"/>
      <c r="J132" s="19"/>
      <c r="K132" s="4"/>
      <c r="L132" s="4"/>
      <c r="M132" s="4"/>
      <c r="N132" s="4"/>
      <c r="O132" s="4"/>
      <c r="P132" s="4"/>
      <c r="Q132" s="4"/>
      <c r="R132" s="4"/>
      <c r="S132" s="4"/>
      <c r="T132" s="4"/>
      <c r="U132" s="4"/>
      <c r="V132" s="4"/>
      <c r="W132" s="4"/>
      <c r="X132" s="4"/>
      <c r="Y132" s="4"/>
      <c r="Z132" s="4"/>
      <c r="AA132" s="4"/>
      <c r="AB132" s="4"/>
      <c r="AC132" s="4"/>
      <c r="AD132" s="4"/>
      <c r="AE132" s="4"/>
      <c r="AF132" s="4"/>
    </row>
    <row r="133" spans="1:32" ht="15.75" customHeight="1">
      <c r="A133" s="4"/>
      <c r="B133" s="4"/>
      <c r="C133" s="4"/>
      <c r="D133" s="4"/>
      <c r="E133" s="4"/>
      <c r="F133" s="4"/>
      <c r="G133" s="4"/>
      <c r="H133" s="4"/>
      <c r="I133" s="4"/>
      <c r="J133" s="19"/>
      <c r="K133" s="4"/>
      <c r="L133" s="4"/>
      <c r="M133" s="4"/>
      <c r="N133" s="4"/>
      <c r="O133" s="4"/>
      <c r="P133" s="4"/>
      <c r="Q133" s="4"/>
      <c r="R133" s="4"/>
      <c r="S133" s="4"/>
      <c r="T133" s="4"/>
      <c r="U133" s="4"/>
      <c r="V133" s="4"/>
      <c r="W133" s="4"/>
      <c r="X133" s="4"/>
      <c r="Y133" s="4"/>
      <c r="Z133" s="4"/>
      <c r="AA133" s="4"/>
      <c r="AB133" s="4"/>
      <c r="AC133" s="4"/>
      <c r="AD133" s="4"/>
      <c r="AE133" s="4"/>
      <c r="AF133" s="4"/>
    </row>
    <row r="134" spans="1:32" ht="15.75" customHeight="1">
      <c r="A134" s="4"/>
      <c r="B134" s="4"/>
      <c r="C134" s="4"/>
      <c r="D134" s="4"/>
      <c r="E134" s="4"/>
      <c r="F134" s="4"/>
      <c r="G134" s="4"/>
      <c r="H134" s="4"/>
      <c r="I134" s="4"/>
      <c r="J134" s="19"/>
      <c r="K134" s="4"/>
      <c r="L134" s="4"/>
      <c r="M134" s="4"/>
      <c r="N134" s="4"/>
      <c r="O134" s="4"/>
      <c r="P134" s="4"/>
      <c r="Q134" s="4"/>
      <c r="R134" s="4"/>
      <c r="S134" s="4"/>
      <c r="T134" s="4"/>
      <c r="U134" s="4"/>
      <c r="V134" s="4"/>
      <c r="W134" s="4"/>
      <c r="X134" s="4"/>
      <c r="Y134" s="4"/>
      <c r="Z134" s="4"/>
      <c r="AA134" s="4"/>
      <c r="AB134" s="4"/>
      <c r="AC134" s="4"/>
      <c r="AD134" s="4"/>
      <c r="AE134" s="4"/>
      <c r="AF134" s="4"/>
    </row>
    <row r="135" spans="1:32" ht="15.75" customHeight="1">
      <c r="A135" s="4"/>
      <c r="B135" s="4"/>
      <c r="C135" s="4"/>
      <c r="D135" s="4"/>
      <c r="E135" s="4"/>
      <c r="F135" s="4"/>
      <c r="G135" s="4"/>
      <c r="H135" s="4"/>
      <c r="I135" s="4"/>
      <c r="J135" s="19"/>
      <c r="K135" s="4"/>
      <c r="L135" s="4"/>
      <c r="M135" s="4"/>
      <c r="N135" s="4"/>
      <c r="O135" s="4"/>
      <c r="P135" s="4"/>
      <c r="Q135" s="4"/>
      <c r="R135" s="4"/>
      <c r="S135" s="4"/>
      <c r="T135" s="4"/>
      <c r="U135" s="4"/>
      <c r="V135" s="4"/>
      <c r="W135" s="4"/>
      <c r="X135" s="4"/>
      <c r="Y135" s="4"/>
      <c r="Z135" s="4"/>
      <c r="AA135" s="4"/>
      <c r="AB135" s="4"/>
      <c r="AC135" s="4"/>
      <c r="AD135" s="4"/>
      <c r="AE135" s="4"/>
      <c r="AF135" s="4"/>
    </row>
    <row r="136" spans="1:32" ht="15.75" customHeight="1">
      <c r="A136" s="4"/>
      <c r="B136" s="4"/>
      <c r="C136" s="4"/>
      <c r="D136" s="4"/>
      <c r="E136" s="4"/>
      <c r="F136" s="4"/>
      <c r="G136" s="4"/>
      <c r="H136" s="4"/>
      <c r="I136" s="4"/>
      <c r="J136" s="19"/>
      <c r="K136" s="4"/>
      <c r="L136" s="4"/>
      <c r="M136" s="4"/>
      <c r="N136" s="4"/>
      <c r="O136" s="4"/>
      <c r="P136" s="4"/>
      <c r="Q136" s="4"/>
      <c r="R136" s="4"/>
      <c r="S136" s="4"/>
      <c r="T136" s="4"/>
      <c r="U136" s="4"/>
      <c r="V136" s="4"/>
      <c r="W136" s="4"/>
      <c r="X136" s="4"/>
      <c r="Y136" s="4"/>
      <c r="Z136" s="4"/>
      <c r="AA136" s="4"/>
      <c r="AB136" s="4"/>
      <c r="AC136" s="4"/>
      <c r="AD136" s="4"/>
      <c r="AE136" s="4"/>
      <c r="AF136" s="4"/>
    </row>
    <row r="137" spans="1:32" ht="15.75" customHeight="1">
      <c r="A137" s="4"/>
      <c r="B137" s="4"/>
      <c r="C137" s="4"/>
      <c r="D137" s="4"/>
      <c r="E137" s="4"/>
      <c r="F137" s="4"/>
      <c r="G137" s="4"/>
      <c r="H137" s="4"/>
      <c r="I137" s="4"/>
      <c r="J137" s="19"/>
      <c r="K137" s="4"/>
      <c r="L137" s="4"/>
      <c r="M137" s="4"/>
      <c r="N137" s="4"/>
      <c r="O137" s="4"/>
      <c r="P137" s="4"/>
      <c r="Q137" s="4"/>
      <c r="R137" s="4"/>
      <c r="S137" s="4"/>
      <c r="T137" s="4"/>
      <c r="U137" s="4"/>
      <c r="V137" s="4"/>
      <c r="W137" s="4"/>
      <c r="X137" s="4"/>
      <c r="Y137" s="4"/>
      <c r="Z137" s="4"/>
      <c r="AA137" s="4"/>
      <c r="AB137" s="4"/>
      <c r="AC137" s="4"/>
      <c r="AD137" s="4"/>
      <c r="AE137" s="4"/>
      <c r="AF137" s="4"/>
    </row>
    <row r="138" spans="1:32" ht="15.75" customHeight="1">
      <c r="A138" s="4"/>
      <c r="B138" s="4"/>
      <c r="C138" s="4"/>
      <c r="D138" s="4"/>
      <c r="E138" s="4"/>
      <c r="F138" s="4"/>
      <c r="G138" s="4"/>
      <c r="H138" s="4"/>
      <c r="I138" s="4"/>
      <c r="J138" s="19"/>
      <c r="K138" s="4"/>
      <c r="L138" s="4"/>
      <c r="M138" s="4"/>
      <c r="N138" s="4"/>
      <c r="O138" s="4"/>
      <c r="P138" s="4"/>
      <c r="Q138" s="4"/>
      <c r="R138" s="4"/>
      <c r="S138" s="4"/>
      <c r="T138" s="4"/>
      <c r="U138" s="4"/>
      <c r="V138" s="4"/>
      <c r="W138" s="4"/>
      <c r="X138" s="4"/>
      <c r="Y138" s="4"/>
      <c r="Z138" s="4"/>
      <c r="AA138" s="4"/>
      <c r="AB138" s="4"/>
      <c r="AC138" s="4"/>
      <c r="AD138" s="4"/>
      <c r="AE138" s="4"/>
      <c r="AF138" s="4"/>
    </row>
    <row r="139" spans="1:32" ht="15.75" customHeight="1">
      <c r="A139" s="4"/>
      <c r="B139" s="4"/>
      <c r="C139" s="4"/>
      <c r="D139" s="4"/>
      <c r="E139" s="4"/>
      <c r="F139" s="4"/>
      <c r="G139" s="4"/>
      <c r="H139" s="4"/>
      <c r="I139" s="4"/>
      <c r="J139" s="19"/>
      <c r="K139" s="4"/>
      <c r="L139" s="4"/>
      <c r="M139" s="4"/>
      <c r="N139" s="4"/>
      <c r="O139" s="4"/>
      <c r="P139" s="4"/>
      <c r="Q139" s="4"/>
      <c r="R139" s="4"/>
      <c r="S139" s="4"/>
      <c r="T139" s="4"/>
      <c r="U139" s="4"/>
      <c r="V139" s="4"/>
      <c r="W139" s="4"/>
      <c r="X139" s="4"/>
      <c r="Y139" s="4"/>
      <c r="Z139" s="4"/>
      <c r="AA139" s="4"/>
      <c r="AB139" s="4"/>
      <c r="AC139" s="4"/>
      <c r="AD139" s="4"/>
      <c r="AE139" s="4"/>
      <c r="AF139" s="4"/>
    </row>
    <row r="140" spans="1:32" ht="15.75" customHeight="1">
      <c r="A140" s="4"/>
      <c r="B140" s="4"/>
      <c r="C140" s="4"/>
      <c r="D140" s="4"/>
      <c r="E140" s="4"/>
      <c r="F140" s="4"/>
      <c r="G140" s="4"/>
      <c r="H140" s="4"/>
      <c r="I140" s="4"/>
      <c r="J140" s="19"/>
      <c r="K140" s="4"/>
      <c r="L140" s="4"/>
      <c r="M140" s="4"/>
      <c r="N140" s="4"/>
      <c r="O140" s="4"/>
      <c r="P140" s="4"/>
      <c r="Q140" s="4"/>
      <c r="R140" s="4"/>
      <c r="S140" s="4"/>
      <c r="T140" s="4"/>
      <c r="U140" s="4"/>
      <c r="V140" s="4"/>
      <c r="W140" s="4"/>
      <c r="X140" s="4"/>
      <c r="Y140" s="4"/>
      <c r="Z140" s="4"/>
      <c r="AA140" s="4"/>
      <c r="AB140" s="4"/>
      <c r="AC140" s="4"/>
      <c r="AD140" s="4"/>
      <c r="AE140" s="4"/>
      <c r="AF140" s="4"/>
    </row>
    <row r="141" spans="1:32" ht="15.75" customHeight="1">
      <c r="A141" s="4"/>
      <c r="B141" s="4"/>
      <c r="C141" s="4"/>
      <c r="D141" s="4"/>
      <c r="E141" s="4"/>
      <c r="F141" s="4"/>
      <c r="G141" s="4"/>
      <c r="H141" s="4"/>
      <c r="I141" s="4"/>
      <c r="J141" s="19"/>
      <c r="K141" s="4"/>
      <c r="L141" s="4"/>
      <c r="M141" s="4"/>
      <c r="N141" s="4"/>
      <c r="O141" s="4"/>
      <c r="P141" s="4"/>
      <c r="Q141" s="4"/>
      <c r="R141" s="4"/>
      <c r="S141" s="4"/>
      <c r="T141" s="4"/>
      <c r="U141" s="4"/>
      <c r="V141" s="4"/>
      <c r="W141" s="4"/>
      <c r="X141" s="4"/>
      <c r="Y141" s="4"/>
      <c r="Z141" s="4"/>
      <c r="AA141" s="4"/>
      <c r="AB141" s="4"/>
      <c r="AC141" s="4"/>
      <c r="AD141" s="4"/>
      <c r="AE141" s="4"/>
      <c r="AF141" s="4"/>
    </row>
    <row r="142" spans="1:32" ht="15.75" customHeight="1">
      <c r="A142" s="4"/>
      <c r="B142" s="4"/>
      <c r="C142" s="4"/>
      <c r="D142" s="4"/>
      <c r="E142" s="4"/>
      <c r="F142" s="4"/>
      <c r="G142" s="4"/>
      <c r="H142" s="4"/>
      <c r="I142" s="4"/>
      <c r="J142" s="19"/>
      <c r="K142" s="4"/>
      <c r="L142" s="4"/>
      <c r="M142" s="4"/>
      <c r="N142" s="4"/>
      <c r="O142" s="4"/>
      <c r="P142" s="4"/>
      <c r="Q142" s="4"/>
      <c r="R142" s="4"/>
      <c r="S142" s="4"/>
      <c r="T142" s="4"/>
      <c r="U142" s="4"/>
      <c r="V142" s="4"/>
      <c r="W142" s="4"/>
      <c r="X142" s="4"/>
      <c r="Y142" s="4"/>
      <c r="Z142" s="4"/>
      <c r="AA142" s="4"/>
      <c r="AB142" s="4"/>
      <c r="AC142" s="4"/>
      <c r="AD142" s="4"/>
      <c r="AE142" s="4"/>
      <c r="AF142" s="4"/>
    </row>
    <row r="143" spans="1:32" ht="15.75" customHeight="1">
      <c r="A143" s="4"/>
      <c r="B143" s="4"/>
      <c r="C143" s="4"/>
      <c r="D143" s="4"/>
      <c r="E143" s="4"/>
      <c r="F143" s="4"/>
      <c r="G143" s="4"/>
      <c r="H143" s="4"/>
      <c r="I143" s="4"/>
      <c r="J143" s="19"/>
      <c r="K143" s="4"/>
      <c r="L143" s="4"/>
      <c r="M143" s="4"/>
      <c r="N143" s="4"/>
      <c r="O143" s="4"/>
      <c r="P143" s="4"/>
      <c r="Q143" s="4"/>
      <c r="R143" s="4"/>
      <c r="S143" s="4"/>
      <c r="T143" s="4"/>
      <c r="U143" s="4"/>
      <c r="V143" s="4"/>
      <c r="W143" s="4"/>
      <c r="X143" s="4"/>
      <c r="Y143" s="4"/>
      <c r="Z143" s="4"/>
      <c r="AA143" s="4"/>
      <c r="AB143" s="4"/>
      <c r="AC143" s="4"/>
      <c r="AD143" s="4"/>
      <c r="AE143" s="4"/>
      <c r="AF143" s="4"/>
    </row>
    <row r="144" spans="1:32" ht="15.75" customHeight="1">
      <c r="A144" s="4"/>
      <c r="B144" s="4"/>
      <c r="C144" s="4"/>
      <c r="D144" s="4"/>
      <c r="E144" s="4"/>
      <c r="F144" s="4"/>
      <c r="G144" s="4"/>
      <c r="H144" s="4"/>
      <c r="I144" s="4"/>
      <c r="J144" s="19"/>
      <c r="K144" s="4"/>
      <c r="L144" s="4"/>
      <c r="M144" s="4"/>
      <c r="N144" s="4"/>
      <c r="O144" s="4"/>
      <c r="P144" s="4"/>
      <c r="Q144" s="4"/>
      <c r="R144" s="4"/>
      <c r="S144" s="4"/>
      <c r="T144" s="4"/>
      <c r="U144" s="4"/>
      <c r="V144" s="4"/>
      <c r="W144" s="4"/>
      <c r="X144" s="4"/>
      <c r="Y144" s="4"/>
      <c r="Z144" s="4"/>
      <c r="AA144" s="4"/>
      <c r="AB144" s="4"/>
      <c r="AC144" s="4"/>
      <c r="AD144" s="4"/>
      <c r="AE144" s="4"/>
      <c r="AF144" s="4"/>
    </row>
    <row r="145" spans="1:32" ht="15.75" customHeight="1">
      <c r="A145" s="4"/>
      <c r="B145" s="4"/>
      <c r="C145" s="4"/>
      <c r="D145" s="4"/>
      <c r="E145" s="4"/>
      <c r="F145" s="4"/>
      <c r="G145" s="4"/>
      <c r="H145" s="4"/>
      <c r="I145" s="4"/>
      <c r="J145" s="19"/>
      <c r="K145" s="4"/>
      <c r="L145" s="4"/>
      <c r="M145" s="4"/>
      <c r="N145" s="4"/>
      <c r="O145" s="4"/>
      <c r="P145" s="4"/>
      <c r="Q145" s="4"/>
      <c r="R145" s="4"/>
      <c r="S145" s="4"/>
      <c r="T145" s="4"/>
      <c r="U145" s="4"/>
      <c r="V145" s="4"/>
      <c r="W145" s="4"/>
      <c r="X145" s="4"/>
      <c r="Y145" s="4"/>
      <c r="Z145" s="4"/>
      <c r="AA145" s="4"/>
      <c r="AB145" s="4"/>
      <c r="AC145" s="4"/>
      <c r="AD145" s="4"/>
      <c r="AE145" s="4"/>
      <c r="AF145" s="4"/>
    </row>
    <row r="146" spans="1:32" ht="15.75" customHeight="1">
      <c r="A146" s="4"/>
      <c r="B146" s="4"/>
      <c r="C146" s="4"/>
      <c r="D146" s="4"/>
      <c r="E146" s="4"/>
      <c r="F146" s="4"/>
      <c r="G146" s="4"/>
      <c r="H146" s="4"/>
      <c r="I146" s="4"/>
      <c r="J146" s="19"/>
      <c r="K146" s="4"/>
      <c r="L146" s="4"/>
      <c r="M146" s="4"/>
      <c r="N146" s="4"/>
      <c r="O146" s="4"/>
      <c r="P146" s="4"/>
      <c r="Q146" s="4"/>
      <c r="R146" s="4"/>
      <c r="S146" s="4"/>
      <c r="T146" s="4"/>
      <c r="U146" s="4"/>
      <c r="V146" s="4"/>
      <c r="W146" s="4"/>
      <c r="X146" s="4"/>
      <c r="Y146" s="4"/>
      <c r="Z146" s="4"/>
      <c r="AA146" s="4"/>
      <c r="AB146" s="4"/>
      <c r="AC146" s="4"/>
      <c r="AD146" s="4"/>
      <c r="AE146" s="4"/>
      <c r="AF146" s="4"/>
    </row>
    <row r="147" spans="1:32" ht="15.75" customHeight="1">
      <c r="A147" s="4"/>
      <c r="B147" s="4"/>
      <c r="C147" s="4"/>
      <c r="D147" s="4"/>
      <c r="E147" s="4"/>
      <c r="F147" s="4"/>
      <c r="G147" s="4"/>
      <c r="H147" s="4"/>
      <c r="I147" s="4"/>
      <c r="J147" s="19"/>
      <c r="K147" s="4"/>
      <c r="L147" s="4"/>
      <c r="M147" s="4"/>
      <c r="N147" s="4"/>
      <c r="O147" s="4"/>
      <c r="P147" s="4"/>
      <c r="Q147" s="4"/>
      <c r="R147" s="4"/>
      <c r="S147" s="4"/>
      <c r="T147" s="4"/>
      <c r="U147" s="4"/>
      <c r="V147" s="4"/>
      <c r="W147" s="4"/>
      <c r="X147" s="4"/>
      <c r="Y147" s="4"/>
      <c r="Z147" s="4"/>
      <c r="AA147" s="4"/>
      <c r="AB147" s="4"/>
      <c r="AC147" s="4"/>
      <c r="AD147" s="4"/>
      <c r="AE147" s="4"/>
      <c r="AF147" s="4"/>
    </row>
    <row r="148" spans="1:32" ht="15.75" customHeight="1">
      <c r="A148" s="4"/>
      <c r="B148" s="4"/>
      <c r="C148" s="4"/>
      <c r="D148" s="4"/>
      <c r="E148" s="4"/>
      <c r="F148" s="4"/>
      <c r="G148" s="4"/>
      <c r="H148" s="4"/>
      <c r="I148" s="4"/>
      <c r="J148" s="19"/>
      <c r="K148" s="4"/>
      <c r="L148" s="4"/>
      <c r="M148" s="4"/>
      <c r="N148" s="4"/>
      <c r="O148" s="4"/>
      <c r="P148" s="4"/>
      <c r="Q148" s="4"/>
      <c r="R148" s="4"/>
      <c r="S148" s="4"/>
      <c r="T148" s="4"/>
      <c r="U148" s="4"/>
      <c r="V148" s="4"/>
      <c r="W148" s="4"/>
      <c r="X148" s="4"/>
      <c r="Y148" s="4"/>
      <c r="Z148" s="4"/>
      <c r="AA148" s="4"/>
      <c r="AB148" s="4"/>
      <c r="AC148" s="4"/>
      <c r="AD148" s="4"/>
      <c r="AE148" s="4"/>
      <c r="AF148" s="4"/>
    </row>
    <row r="149" spans="1:32" ht="15.75" customHeight="1">
      <c r="A149" s="4"/>
      <c r="B149" s="4"/>
      <c r="C149" s="4"/>
      <c r="D149" s="4"/>
      <c r="E149" s="4"/>
      <c r="F149" s="4"/>
      <c r="G149" s="4"/>
      <c r="H149" s="4"/>
      <c r="I149" s="4"/>
      <c r="J149" s="19"/>
      <c r="K149" s="4"/>
      <c r="L149" s="4"/>
      <c r="M149" s="4"/>
      <c r="N149" s="4"/>
      <c r="O149" s="4"/>
      <c r="P149" s="4"/>
      <c r="Q149" s="4"/>
      <c r="R149" s="4"/>
      <c r="S149" s="4"/>
      <c r="T149" s="4"/>
      <c r="U149" s="4"/>
      <c r="V149" s="4"/>
      <c r="W149" s="4"/>
      <c r="X149" s="4"/>
      <c r="Y149" s="4"/>
      <c r="Z149" s="4"/>
      <c r="AA149" s="4"/>
      <c r="AB149" s="4"/>
      <c r="AC149" s="4"/>
      <c r="AD149" s="4"/>
      <c r="AE149" s="4"/>
      <c r="AF149" s="4"/>
    </row>
    <row r="150" spans="1:32" ht="15.75" customHeight="1">
      <c r="A150" s="4"/>
      <c r="B150" s="4"/>
      <c r="C150" s="4"/>
      <c r="D150" s="4"/>
      <c r="E150" s="4"/>
      <c r="F150" s="4"/>
      <c r="G150" s="4"/>
      <c r="H150" s="4"/>
      <c r="I150" s="4"/>
      <c r="J150" s="19"/>
      <c r="K150" s="4"/>
      <c r="L150" s="4"/>
      <c r="M150" s="4"/>
      <c r="N150" s="4"/>
      <c r="O150" s="4"/>
      <c r="P150" s="4"/>
      <c r="Q150" s="4"/>
      <c r="R150" s="4"/>
      <c r="S150" s="4"/>
      <c r="T150" s="4"/>
      <c r="U150" s="4"/>
      <c r="V150" s="4"/>
      <c r="W150" s="4"/>
      <c r="X150" s="4"/>
      <c r="Y150" s="4"/>
      <c r="Z150" s="4"/>
      <c r="AA150" s="4"/>
      <c r="AB150" s="4"/>
      <c r="AC150" s="4"/>
      <c r="AD150" s="4"/>
      <c r="AE150" s="4"/>
      <c r="AF150" s="4"/>
    </row>
    <row r="151" spans="1:32" ht="15.75" customHeight="1">
      <c r="A151" s="4"/>
      <c r="B151" s="4"/>
      <c r="C151" s="4"/>
      <c r="D151" s="4"/>
      <c r="E151" s="4"/>
      <c r="F151" s="4"/>
      <c r="G151" s="4"/>
      <c r="H151" s="4"/>
      <c r="I151" s="4"/>
      <c r="J151" s="19"/>
      <c r="K151" s="4"/>
      <c r="L151" s="4"/>
      <c r="M151" s="4"/>
      <c r="N151" s="4"/>
      <c r="O151" s="4"/>
      <c r="P151" s="4"/>
      <c r="Q151" s="4"/>
      <c r="R151" s="4"/>
      <c r="S151" s="4"/>
      <c r="T151" s="4"/>
      <c r="U151" s="4"/>
      <c r="V151" s="4"/>
      <c r="W151" s="4"/>
      <c r="X151" s="4"/>
      <c r="Y151" s="4"/>
      <c r="Z151" s="4"/>
      <c r="AA151" s="4"/>
      <c r="AB151" s="4"/>
      <c r="AC151" s="4"/>
      <c r="AD151" s="4"/>
      <c r="AE151" s="4"/>
      <c r="AF151" s="4"/>
    </row>
    <row r="152" spans="1:32" ht="15.75" customHeight="1">
      <c r="A152" s="4"/>
      <c r="B152" s="4"/>
      <c r="C152" s="4"/>
      <c r="D152" s="4"/>
      <c r="E152" s="4"/>
      <c r="F152" s="4"/>
      <c r="G152" s="4"/>
      <c r="H152" s="4"/>
      <c r="I152" s="4"/>
      <c r="J152" s="19"/>
      <c r="K152" s="4"/>
      <c r="L152" s="4"/>
      <c r="M152" s="4"/>
      <c r="N152" s="4"/>
      <c r="O152" s="4"/>
      <c r="P152" s="4"/>
      <c r="Q152" s="4"/>
      <c r="R152" s="4"/>
      <c r="S152" s="4"/>
      <c r="T152" s="4"/>
      <c r="U152" s="4"/>
      <c r="V152" s="4"/>
      <c r="W152" s="4"/>
      <c r="X152" s="4"/>
      <c r="Y152" s="4"/>
      <c r="Z152" s="4"/>
      <c r="AA152" s="4"/>
      <c r="AB152" s="4"/>
      <c r="AC152" s="4"/>
      <c r="AD152" s="4"/>
      <c r="AE152" s="4"/>
      <c r="AF152" s="4"/>
    </row>
    <row r="153" spans="1:32" ht="15.75" customHeight="1">
      <c r="A153" s="4"/>
      <c r="B153" s="4"/>
      <c r="C153" s="4"/>
      <c r="D153" s="4"/>
      <c r="E153" s="4"/>
      <c r="F153" s="4"/>
      <c r="G153" s="4"/>
      <c r="H153" s="4"/>
      <c r="I153" s="4"/>
      <c r="J153" s="19"/>
      <c r="K153" s="4"/>
      <c r="L153" s="4"/>
      <c r="M153" s="4"/>
      <c r="N153" s="4"/>
      <c r="O153" s="4"/>
      <c r="P153" s="4"/>
      <c r="Q153" s="4"/>
      <c r="R153" s="4"/>
      <c r="S153" s="4"/>
      <c r="T153" s="4"/>
      <c r="U153" s="4"/>
      <c r="V153" s="4"/>
      <c r="W153" s="4"/>
      <c r="X153" s="4"/>
      <c r="Y153" s="4"/>
      <c r="Z153" s="4"/>
      <c r="AA153" s="4"/>
      <c r="AB153" s="4"/>
      <c r="AC153" s="4"/>
      <c r="AD153" s="4"/>
      <c r="AE153" s="4"/>
      <c r="AF153" s="4"/>
    </row>
    <row r="154" spans="1:32" ht="15.75" customHeight="1">
      <c r="A154" s="4"/>
      <c r="B154" s="4"/>
      <c r="C154" s="4"/>
      <c r="D154" s="4"/>
      <c r="E154" s="4"/>
      <c r="F154" s="4"/>
      <c r="G154" s="4"/>
      <c r="H154" s="4"/>
      <c r="I154" s="4"/>
      <c r="J154" s="19"/>
      <c r="K154" s="4"/>
      <c r="L154" s="4"/>
      <c r="M154" s="4"/>
      <c r="N154" s="4"/>
      <c r="O154" s="4"/>
      <c r="P154" s="4"/>
      <c r="Q154" s="4"/>
      <c r="R154" s="4"/>
      <c r="S154" s="4"/>
      <c r="T154" s="4"/>
      <c r="U154" s="4"/>
      <c r="V154" s="4"/>
      <c r="W154" s="4"/>
      <c r="X154" s="4"/>
      <c r="Y154" s="4"/>
      <c r="Z154" s="4"/>
      <c r="AA154" s="4"/>
      <c r="AB154" s="4"/>
      <c r="AC154" s="4"/>
      <c r="AD154" s="4"/>
      <c r="AE154" s="4"/>
      <c r="AF154" s="4"/>
    </row>
    <row r="155" spans="1:32" ht="15.75" customHeight="1">
      <c r="A155" s="4"/>
      <c r="B155" s="4"/>
      <c r="C155" s="4"/>
      <c r="D155" s="4"/>
      <c r="E155" s="4"/>
      <c r="F155" s="4"/>
      <c r="G155" s="4"/>
      <c r="H155" s="4"/>
      <c r="I155" s="4"/>
      <c r="J155" s="19"/>
      <c r="K155" s="4"/>
      <c r="L155" s="4"/>
      <c r="M155" s="4"/>
      <c r="N155" s="4"/>
      <c r="O155" s="4"/>
      <c r="P155" s="4"/>
      <c r="Q155" s="4"/>
      <c r="R155" s="4"/>
      <c r="S155" s="4"/>
      <c r="T155" s="4"/>
      <c r="U155" s="4"/>
      <c r="V155" s="4"/>
      <c r="W155" s="4"/>
      <c r="X155" s="4"/>
      <c r="Y155" s="4"/>
      <c r="Z155" s="4"/>
      <c r="AA155" s="4"/>
      <c r="AB155" s="4"/>
      <c r="AC155" s="4"/>
      <c r="AD155" s="4"/>
      <c r="AE155" s="4"/>
      <c r="AF155" s="4"/>
    </row>
    <row r="156" spans="1:32" ht="15.75" customHeight="1">
      <c r="A156" s="4"/>
      <c r="B156" s="4"/>
      <c r="C156" s="4"/>
      <c r="D156" s="4"/>
      <c r="E156" s="4"/>
      <c r="F156" s="4"/>
      <c r="G156" s="4"/>
      <c r="H156" s="4"/>
      <c r="I156" s="4"/>
      <c r="J156" s="19"/>
      <c r="K156" s="4"/>
      <c r="L156" s="4"/>
      <c r="M156" s="4"/>
      <c r="N156" s="4"/>
      <c r="O156" s="4"/>
      <c r="P156" s="4"/>
      <c r="Q156" s="4"/>
      <c r="R156" s="4"/>
      <c r="S156" s="4"/>
      <c r="T156" s="4"/>
      <c r="U156" s="4"/>
      <c r="V156" s="4"/>
      <c r="W156" s="4"/>
      <c r="X156" s="4"/>
      <c r="Y156" s="4"/>
      <c r="Z156" s="4"/>
      <c r="AA156" s="4"/>
      <c r="AB156" s="4"/>
      <c r="AC156" s="4"/>
      <c r="AD156" s="4"/>
      <c r="AE156" s="4"/>
      <c r="AF156" s="4"/>
    </row>
    <row r="157" spans="1:32" ht="15.75" customHeight="1">
      <c r="A157" s="4"/>
      <c r="B157" s="4"/>
      <c r="C157" s="4"/>
      <c r="D157" s="4"/>
      <c r="E157" s="4"/>
      <c r="F157" s="4"/>
      <c r="G157" s="4"/>
      <c r="H157" s="4"/>
      <c r="I157" s="4"/>
      <c r="J157" s="19"/>
      <c r="K157" s="4"/>
      <c r="L157" s="4"/>
      <c r="M157" s="4"/>
      <c r="N157" s="4"/>
      <c r="O157" s="4"/>
      <c r="P157" s="4"/>
      <c r="Q157" s="4"/>
      <c r="R157" s="4"/>
      <c r="S157" s="4"/>
      <c r="T157" s="4"/>
      <c r="U157" s="4"/>
      <c r="V157" s="4"/>
      <c r="W157" s="4"/>
      <c r="X157" s="4"/>
      <c r="Y157" s="4"/>
      <c r="Z157" s="4"/>
      <c r="AA157" s="4"/>
      <c r="AB157" s="4"/>
      <c r="AC157" s="4"/>
      <c r="AD157" s="4"/>
      <c r="AE157" s="4"/>
      <c r="AF157" s="4"/>
    </row>
    <row r="158" spans="1:32" ht="15.75" customHeight="1">
      <c r="A158" s="4"/>
      <c r="B158" s="4"/>
      <c r="C158" s="4"/>
      <c r="D158" s="4"/>
      <c r="E158" s="4"/>
      <c r="F158" s="4"/>
      <c r="G158" s="4"/>
      <c r="H158" s="4"/>
      <c r="I158" s="4"/>
      <c r="J158" s="19"/>
      <c r="K158" s="4"/>
      <c r="L158" s="4"/>
      <c r="M158" s="4"/>
      <c r="N158" s="4"/>
      <c r="O158" s="4"/>
      <c r="P158" s="4"/>
      <c r="Q158" s="4"/>
      <c r="R158" s="4"/>
      <c r="S158" s="4"/>
      <c r="T158" s="4"/>
      <c r="U158" s="4"/>
      <c r="V158" s="4"/>
      <c r="W158" s="4"/>
      <c r="X158" s="4"/>
      <c r="Y158" s="4"/>
      <c r="Z158" s="4"/>
      <c r="AA158" s="4"/>
      <c r="AB158" s="4"/>
      <c r="AC158" s="4"/>
      <c r="AD158" s="4"/>
      <c r="AE158" s="4"/>
      <c r="AF158" s="4"/>
    </row>
    <row r="159" spans="1:32" ht="15.75" customHeight="1">
      <c r="A159" s="4"/>
      <c r="B159" s="4"/>
      <c r="C159" s="4"/>
      <c r="D159" s="4"/>
      <c r="E159" s="4"/>
      <c r="F159" s="4"/>
      <c r="G159" s="4"/>
      <c r="H159" s="4"/>
      <c r="I159" s="4"/>
      <c r="J159" s="19"/>
      <c r="K159" s="4"/>
      <c r="L159" s="4"/>
      <c r="M159" s="4"/>
      <c r="N159" s="4"/>
      <c r="O159" s="4"/>
      <c r="P159" s="4"/>
      <c r="Q159" s="4"/>
      <c r="R159" s="4"/>
      <c r="S159" s="4"/>
      <c r="T159" s="4"/>
      <c r="U159" s="4"/>
      <c r="V159" s="4"/>
      <c r="W159" s="4"/>
      <c r="X159" s="4"/>
      <c r="Y159" s="4"/>
      <c r="Z159" s="4"/>
      <c r="AA159" s="4"/>
      <c r="AB159" s="4"/>
      <c r="AC159" s="4"/>
      <c r="AD159" s="4"/>
      <c r="AE159" s="4"/>
      <c r="AF159" s="4"/>
    </row>
    <row r="160" spans="1:32" ht="15.75" customHeight="1">
      <c r="A160" s="4"/>
      <c r="B160" s="4"/>
      <c r="C160" s="4"/>
      <c r="D160" s="4"/>
      <c r="E160" s="4"/>
      <c r="F160" s="4"/>
      <c r="G160" s="4"/>
      <c r="H160" s="4"/>
      <c r="I160" s="4"/>
      <c r="J160" s="19"/>
      <c r="K160" s="4"/>
      <c r="L160" s="4"/>
      <c r="M160" s="4"/>
      <c r="N160" s="4"/>
      <c r="O160" s="4"/>
      <c r="P160" s="4"/>
      <c r="Q160" s="4"/>
      <c r="R160" s="4"/>
      <c r="S160" s="4"/>
      <c r="T160" s="4"/>
      <c r="U160" s="4"/>
      <c r="V160" s="4"/>
      <c r="W160" s="4"/>
      <c r="X160" s="4"/>
      <c r="Y160" s="4"/>
      <c r="Z160" s="4"/>
      <c r="AA160" s="4"/>
      <c r="AB160" s="4"/>
      <c r="AC160" s="4"/>
      <c r="AD160" s="4"/>
      <c r="AE160" s="4"/>
      <c r="AF160" s="4"/>
    </row>
    <row r="161" spans="1:32" ht="15.75" customHeight="1">
      <c r="A161" s="4"/>
      <c r="B161" s="4"/>
      <c r="C161" s="4"/>
      <c r="D161" s="4"/>
      <c r="E161" s="4"/>
      <c r="F161" s="4"/>
      <c r="G161" s="4"/>
      <c r="H161" s="4"/>
      <c r="I161" s="4"/>
      <c r="J161" s="19"/>
      <c r="K161" s="4"/>
      <c r="L161" s="4"/>
      <c r="M161" s="4"/>
      <c r="N161" s="4"/>
      <c r="O161" s="4"/>
      <c r="P161" s="4"/>
      <c r="Q161" s="4"/>
      <c r="R161" s="4"/>
      <c r="S161" s="4"/>
      <c r="T161" s="4"/>
      <c r="U161" s="4"/>
      <c r="V161" s="4"/>
      <c r="W161" s="4"/>
      <c r="X161" s="4"/>
      <c r="Y161" s="4"/>
      <c r="Z161" s="4"/>
      <c r="AA161" s="4"/>
      <c r="AB161" s="4"/>
      <c r="AC161" s="4"/>
      <c r="AD161" s="4"/>
      <c r="AE161" s="4"/>
      <c r="AF161" s="4"/>
    </row>
    <row r="162" spans="1:32" ht="15.75" customHeight="1">
      <c r="A162" s="4"/>
      <c r="B162" s="4"/>
      <c r="C162" s="4"/>
      <c r="D162" s="4"/>
      <c r="E162" s="4"/>
      <c r="F162" s="4"/>
      <c r="G162" s="4"/>
      <c r="H162" s="4"/>
      <c r="I162" s="4"/>
      <c r="J162" s="19"/>
      <c r="K162" s="4"/>
      <c r="L162" s="4"/>
      <c r="M162" s="4"/>
      <c r="N162" s="4"/>
      <c r="O162" s="4"/>
      <c r="P162" s="4"/>
      <c r="Q162" s="4"/>
      <c r="R162" s="4"/>
      <c r="S162" s="4"/>
      <c r="T162" s="4"/>
      <c r="U162" s="4"/>
      <c r="V162" s="4"/>
      <c r="W162" s="4"/>
      <c r="X162" s="4"/>
      <c r="Y162" s="4"/>
      <c r="Z162" s="4"/>
      <c r="AA162" s="4"/>
      <c r="AB162" s="4"/>
      <c r="AC162" s="4"/>
      <c r="AD162" s="4"/>
      <c r="AE162" s="4"/>
      <c r="AF162" s="4"/>
    </row>
    <row r="163" spans="1:32" ht="15.75" customHeight="1">
      <c r="A163" s="4"/>
      <c r="B163" s="4"/>
      <c r="C163" s="4"/>
      <c r="D163" s="4"/>
      <c r="E163" s="4"/>
      <c r="F163" s="4"/>
      <c r="G163" s="4"/>
      <c r="H163" s="4"/>
      <c r="I163" s="4"/>
      <c r="J163" s="19"/>
      <c r="K163" s="4"/>
      <c r="L163" s="4"/>
      <c r="M163" s="4"/>
      <c r="N163" s="4"/>
      <c r="O163" s="4"/>
      <c r="P163" s="4"/>
      <c r="Q163" s="4"/>
      <c r="R163" s="4"/>
      <c r="S163" s="4"/>
      <c r="T163" s="4"/>
      <c r="U163" s="4"/>
      <c r="V163" s="4"/>
      <c r="W163" s="4"/>
      <c r="X163" s="4"/>
      <c r="Y163" s="4"/>
      <c r="Z163" s="4"/>
      <c r="AA163" s="4"/>
      <c r="AB163" s="4"/>
      <c r="AC163" s="4"/>
      <c r="AD163" s="4"/>
      <c r="AE163" s="4"/>
      <c r="AF163" s="4"/>
    </row>
    <row r="164" spans="1:32" ht="15.75" customHeight="1">
      <c r="A164" s="4"/>
      <c r="B164" s="4"/>
      <c r="C164" s="4"/>
      <c r="D164" s="4"/>
      <c r="E164" s="4"/>
      <c r="F164" s="4"/>
      <c r="G164" s="4"/>
      <c r="H164" s="4"/>
      <c r="I164" s="4"/>
      <c r="J164" s="19"/>
      <c r="K164" s="4"/>
      <c r="L164" s="4"/>
      <c r="M164" s="4"/>
      <c r="N164" s="4"/>
      <c r="O164" s="4"/>
      <c r="P164" s="4"/>
      <c r="Q164" s="4"/>
      <c r="R164" s="4"/>
      <c r="S164" s="4"/>
      <c r="T164" s="4"/>
      <c r="U164" s="4"/>
      <c r="V164" s="4"/>
      <c r="W164" s="4"/>
      <c r="X164" s="4"/>
      <c r="Y164" s="4"/>
      <c r="Z164" s="4"/>
      <c r="AA164" s="4"/>
      <c r="AB164" s="4"/>
      <c r="AC164" s="4"/>
      <c r="AD164" s="4"/>
      <c r="AE164" s="4"/>
      <c r="AF164" s="4"/>
    </row>
    <row r="165" spans="1:32" ht="15.75" customHeight="1">
      <c r="A165" s="4"/>
      <c r="B165" s="4"/>
      <c r="C165" s="4"/>
      <c r="D165" s="4"/>
      <c r="E165" s="4"/>
      <c r="F165" s="4"/>
      <c r="G165" s="4"/>
      <c r="H165" s="4"/>
      <c r="I165" s="4"/>
      <c r="J165" s="19"/>
      <c r="K165" s="4"/>
      <c r="L165" s="4"/>
      <c r="M165" s="4"/>
      <c r="N165" s="4"/>
      <c r="O165" s="4"/>
      <c r="P165" s="4"/>
      <c r="Q165" s="4"/>
      <c r="R165" s="4"/>
      <c r="S165" s="4"/>
      <c r="T165" s="4"/>
      <c r="U165" s="4"/>
      <c r="V165" s="4"/>
      <c r="W165" s="4"/>
      <c r="X165" s="4"/>
      <c r="Y165" s="4"/>
      <c r="Z165" s="4"/>
      <c r="AA165" s="4"/>
      <c r="AB165" s="4"/>
      <c r="AC165" s="4"/>
      <c r="AD165" s="4"/>
      <c r="AE165" s="4"/>
      <c r="AF165" s="4"/>
    </row>
    <row r="166" spans="1:32" ht="15.75" customHeight="1">
      <c r="A166" s="4"/>
      <c r="B166" s="4"/>
      <c r="C166" s="4"/>
      <c r="D166" s="4"/>
      <c r="E166" s="4"/>
      <c r="F166" s="4"/>
      <c r="G166" s="4"/>
      <c r="H166" s="4"/>
      <c r="I166" s="4"/>
      <c r="J166" s="19"/>
      <c r="K166" s="4"/>
      <c r="L166" s="4"/>
      <c r="M166" s="4"/>
      <c r="N166" s="4"/>
      <c r="O166" s="4"/>
      <c r="P166" s="4"/>
      <c r="Q166" s="4"/>
      <c r="R166" s="4"/>
      <c r="S166" s="4"/>
      <c r="T166" s="4"/>
      <c r="U166" s="4"/>
      <c r="V166" s="4"/>
      <c r="W166" s="4"/>
      <c r="X166" s="4"/>
      <c r="Y166" s="4"/>
      <c r="Z166" s="4"/>
      <c r="AA166" s="4"/>
      <c r="AB166" s="4"/>
      <c r="AC166" s="4"/>
      <c r="AD166" s="4"/>
      <c r="AE166" s="4"/>
      <c r="AF166" s="4"/>
    </row>
    <row r="167" spans="1:32" ht="15.75" customHeight="1">
      <c r="A167" s="4"/>
      <c r="B167" s="4"/>
      <c r="C167" s="4"/>
      <c r="D167" s="4"/>
      <c r="E167" s="4"/>
      <c r="F167" s="4"/>
      <c r="G167" s="4"/>
      <c r="H167" s="4"/>
      <c r="I167" s="4"/>
      <c r="J167" s="19"/>
      <c r="K167" s="4"/>
      <c r="L167" s="4"/>
      <c r="M167" s="4"/>
      <c r="N167" s="4"/>
      <c r="O167" s="4"/>
      <c r="P167" s="4"/>
      <c r="Q167" s="4"/>
      <c r="R167" s="4"/>
      <c r="S167" s="4"/>
      <c r="T167" s="4"/>
      <c r="U167" s="4"/>
      <c r="V167" s="4"/>
      <c r="W167" s="4"/>
      <c r="X167" s="4"/>
      <c r="Y167" s="4"/>
      <c r="Z167" s="4"/>
      <c r="AA167" s="4"/>
      <c r="AB167" s="4"/>
      <c r="AC167" s="4"/>
      <c r="AD167" s="4"/>
      <c r="AE167" s="4"/>
      <c r="AF167" s="4"/>
    </row>
    <row r="168" spans="1:32" ht="15.75" customHeight="1">
      <c r="A168" s="4"/>
      <c r="B168" s="4"/>
      <c r="C168" s="4"/>
      <c r="D168" s="4"/>
      <c r="E168" s="4"/>
      <c r="F168" s="4"/>
      <c r="G168" s="4"/>
      <c r="H168" s="4"/>
      <c r="I168" s="4"/>
      <c r="J168" s="19"/>
      <c r="K168" s="4"/>
      <c r="L168" s="4"/>
      <c r="M168" s="4"/>
      <c r="N168" s="4"/>
      <c r="O168" s="4"/>
      <c r="P168" s="4"/>
      <c r="Q168" s="4"/>
      <c r="R168" s="4"/>
      <c r="S168" s="4"/>
      <c r="T168" s="4"/>
      <c r="U168" s="4"/>
      <c r="V168" s="4"/>
      <c r="W168" s="4"/>
      <c r="X168" s="4"/>
      <c r="Y168" s="4"/>
      <c r="Z168" s="4"/>
      <c r="AA168" s="4"/>
      <c r="AB168" s="4"/>
      <c r="AC168" s="4"/>
      <c r="AD168" s="4"/>
      <c r="AE168" s="4"/>
      <c r="AF168" s="4"/>
    </row>
    <row r="169" spans="1:32" ht="15.75" customHeight="1">
      <c r="A169" s="4"/>
      <c r="B169" s="4"/>
      <c r="C169" s="4"/>
      <c r="D169" s="4"/>
      <c r="E169" s="4"/>
      <c r="F169" s="4"/>
      <c r="G169" s="4"/>
      <c r="H169" s="4"/>
      <c r="I169" s="4"/>
      <c r="J169" s="19"/>
      <c r="K169" s="4"/>
      <c r="L169" s="4"/>
      <c r="M169" s="4"/>
      <c r="N169" s="4"/>
      <c r="O169" s="4"/>
      <c r="P169" s="4"/>
      <c r="Q169" s="4"/>
      <c r="R169" s="4"/>
      <c r="S169" s="4"/>
      <c r="T169" s="4"/>
      <c r="U169" s="4"/>
      <c r="V169" s="4"/>
      <c r="W169" s="4"/>
      <c r="X169" s="4"/>
      <c r="Y169" s="4"/>
      <c r="Z169" s="4"/>
      <c r="AA169" s="4"/>
      <c r="AB169" s="4"/>
      <c r="AC169" s="4"/>
      <c r="AD169" s="4"/>
      <c r="AE169" s="4"/>
      <c r="AF169" s="4"/>
    </row>
    <row r="170" spans="1:32" ht="15.75" customHeight="1">
      <c r="A170" s="4"/>
      <c r="B170" s="4"/>
      <c r="C170" s="4"/>
      <c r="D170" s="4"/>
      <c r="E170" s="4"/>
      <c r="F170" s="4"/>
      <c r="G170" s="4"/>
      <c r="H170" s="4"/>
      <c r="I170" s="4"/>
      <c r="J170" s="19"/>
      <c r="K170" s="4"/>
      <c r="L170" s="4"/>
      <c r="M170" s="4"/>
      <c r="N170" s="4"/>
      <c r="O170" s="4"/>
      <c r="P170" s="4"/>
      <c r="Q170" s="4"/>
      <c r="R170" s="4"/>
      <c r="S170" s="4"/>
      <c r="T170" s="4"/>
      <c r="U170" s="4"/>
      <c r="V170" s="4"/>
      <c r="W170" s="4"/>
      <c r="X170" s="4"/>
      <c r="Y170" s="4"/>
      <c r="Z170" s="4"/>
      <c r="AA170" s="4"/>
      <c r="AB170" s="4"/>
      <c r="AC170" s="4"/>
      <c r="AD170" s="4"/>
      <c r="AE170" s="4"/>
      <c r="AF170" s="4"/>
    </row>
    <row r="171" spans="1:32" ht="15.75" customHeight="1">
      <c r="A171" s="4"/>
      <c r="B171" s="4"/>
      <c r="C171" s="4"/>
      <c r="D171" s="4"/>
      <c r="E171" s="4"/>
      <c r="F171" s="4"/>
      <c r="G171" s="4"/>
      <c r="H171" s="4"/>
      <c r="I171" s="4"/>
      <c r="J171" s="19"/>
      <c r="K171" s="4"/>
      <c r="L171" s="4"/>
      <c r="M171" s="4"/>
      <c r="N171" s="4"/>
      <c r="O171" s="4"/>
      <c r="P171" s="4"/>
      <c r="Q171" s="4"/>
      <c r="R171" s="4"/>
      <c r="S171" s="4"/>
      <c r="T171" s="4"/>
      <c r="U171" s="4"/>
      <c r="V171" s="4"/>
      <c r="W171" s="4"/>
      <c r="X171" s="4"/>
      <c r="Y171" s="4"/>
      <c r="Z171" s="4"/>
      <c r="AA171" s="4"/>
      <c r="AB171" s="4"/>
      <c r="AC171" s="4"/>
      <c r="AD171" s="4"/>
      <c r="AE171" s="4"/>
      <c r="AF171" s="4"/>
    </row>
    <row r="172" spans="1:32" ht="15.75" customHeight="1">
      <c r="A172" s="4"/>
      <c r="B172" s="4"/>
      <c r="C172" s="4"/>
      <c r="D172" s="4"/>
      <c r="E172" s="4"/>
      <c r="F172" s="4"/>
      <c r="G172" s="4"/>
      <c r="H172" s="4"/>
      <c r="I172" s="4"/>
      <c r="J172" s="19"/>
      <c r="K172" s="4"/>
      <c r="L172" s="4"/>
      <c r="M172" s="4"/>
      <c r="N172" s="4"/>
      <c r="O172" s="4"/>
      <c r="P172" s="4"/>
      <c r="Q172" s="4"/>
      <c r="R172" s="4"/>
      <c r="S172" s="4"/>
      <c r="T172" s="4"/>
      <c r="U172" s="4"/>
      <c r="V172" s="4"/>
      <c r="W172" s="4"/>
      <c r="X172" s="4"/>
      <c r="Y172" s="4"/>
      <c r="Z172" s="4"/>
      <c r="AA172" s="4"/>
      <c r="AB172" s="4"/>
      <c r="AC172" s="4"/>
      <c r="AD172" s="4"/>
      <c r="AE172" s="4"/>
      <c r="AF172" s="4"/>
    </row>
    <row r="173" spans="1:32" ht="15.75" customHeight="1">
      <c r="A173" s="4"/>
      <c r="B173" s="4"/>
      <c r="C173" s="4"/>
      <c r="D173" s="4"/>
      <c r="E173" s="4"/>
      <c r="F173" s="4"/>
      <c r="G173" s="4"/>
      <c r="H173" s="4"/>
      <c r="I173" s="4"/>
      <c r="J173" s="19"/>
      <c r="K173" s="4"/>
      <c r="L173" s="4"/>
      <c r="M173" s="4"/>
      <c r="N173" s="4"/>
      <c r="O173" s="4"/>
      <c r="P173" s="4"/>
      <c r="Q173" s="4"/>
      <c r="R173" s="4"/>
      <c r="S173" s="4"/>
      <c r="T173" s="4"/>
      <c r="U173" s="4"/>
      <c r="V173" s="4"/>
      <c r="W173" s="4"/>
      <c r="X173" s="4"/>
      <c r="Y173" s="4"/>
      <c r="Z173" s="4"/>
      <c r="AA173" s="4"/>
      <c r="AB173" s="4"/>
      <c r="AC173" s="4"/>
      <c r="AD173" s="4"/>
      <c r="AE173" s="4"/>
      <c r="AF173" s="4"/>
    </row>
    <row r="174" spans="1:32" ht="15.75" customHeight="1">
      <c r="A174" s="4"/>
      <c r="B174" s="4"/>
      <c r="C174" s="4"/>
      <c r="D174" s="4"/>
      <c r="E174" s="4"/>
      <c r="F174" s="4"/>
      <c r="G174" s="4"/>
      <c r="H174" s="4"/>
      <c r="I174" s="4"/>
      <c r="J174" s="19"/>
      <c r="K174" s="4"/>
      <c r="L174" s="4"/>
      <c r="M174" s="4"/>
      <c r="N174" s="4"/>
      <c r="O174" s="4"/>
      <c r="P174" s="4"/>
      <c r="Q174" s="4"/>
      <c r="R174" s="4"/>
      <c r="S174" s="4"/>
      <c r="T174" s="4"/>
      <c r="U174" s="4"/>
      <c r="V174" s="4"/>
      <c r="W174" s="4"/>
      <c r="X174" s="4"/>
      <c r="Y174" s="4"/>
      <c r="Z174" s="4"/>
      <c r="AA174" s="4"/>
      <c r="AB174" s="4"/>
      <c r="AC174" s="4"/>
      <c r="AD174" s="4"/>
      <c r="AE174" s="4"/>
      <c r="AF174" s="4"/>
    </row>
    <row r="175" spans="1:32" ht="15.75" customHeight="1">
      <c r="A175" s="4"/>
      <c r="B175" s="4"/>
      <c r="C175" s="4"/>
      <c r="D175" s="4"/>
      <c r="E175" s="4"/>
      <c r="F175" s="4"/>
      <c r="G175" s="4"/>
      <c r="H175" s="4"/>
      <c r="I175" s="4"/>
      <c r="J175" s="19"/>
      <c r="K175" s="4"/>
      <c r="L175" s="4"/>
      <c r="M175" s="4"/>
      <c r="N175" s="4"/>
      <c r="O175" s="4"/>
      <c r="P175" s="4"/>
      <c r="Q175" s="4"/>
      <c r="R175" s="4"/>
      <c r="S175" s="4"/>
      <c r="T175" s="4"/>
      <c r="U175" s="4"/>
      <c r="V175" s="4"/>
      <c r="W175" s="4"/>
      <c r="X175" s="4"/>
      <c r="Y175" s="4"/>
      <c r="Z175" s="4"/>
      <c r="AA175" s="4"/>
      <c r="AB175" s="4"/>
      <c r="AC175" s="4"/>
      <c r="AD175" s="4"/>
      <c r="AE175" s="4"/>
      <c r="AF175" s="4"/>
    </row>
    <row r="176" spans="1:32" ht="15.75" customHeight="1">
      <c r="A176" s="4"/>
      <c r="B176" s="4"/>
      <c r="C176" s="4"/>
      <c r="D176" s="4"/>
      <c r="E176" s="4"/>
      <c r="F176" s="4"/>
      <c r="G176" s="4"/>
      <c r="H176" s="4"/>
      <c r="I176" s="4"/>
      <c r="J176" s="19"/>
      <c r="K176" s="4"/>
      <c r="L176" s="4"/>
      <c r="M176" s="4"/>
      <c r="N176" s="4"/>
      <c r="O176" s="4"/>
      <c r="P176" s="4"/>
      <c r="Q176" s="4"/>
      <c r="R176" s="4"/>
      <c r="S176" s="4"/>
      <c r="T176" s="4"/>
      <c r="U176" s="4"/>
      <c r="V176" s="4"/>
      <c r="W176" s="4"/>
      <c r="X176" s="4"/>
      <c r="Y176" s="4"/>
      <c r="Z176" s="4"/>
      <c r="AA176" s="4"/>
      <c r="AB176" s="4"/>
      <c r="AC176" s="4"/>
      <c r="AD176" s="4"/>
      <c r="AE176" s="4"/>
      <c r="AF176" s="4"/>
    </row>
    <row r="177" spans="1:32" ht="15.75" customHeight="1">
      <c r="A177" s="4"/>
      <c r="B177" s="4"/>
      <c r="C177" s="4"/>
      <c r="D177" s="4"/>
      <c r="E177" s="4"/>
      <c r="F177" s="4"/>
      <c r="G177" s="4"/>
      <c r="H177" s="4"/>
      <c r="I177" s="4"/>
      <c r="J177" s="19"/>
      <c r="K177" s="4"/>
      <c r="L177" s="4"/>
      <c r="M177" s="4"/>
      <c r="N177" s="4"/>
      <c r="O177" s="4"/>
      <c r="P177" s="4"/>
      <c r="Q177" s="4"/>
      <c r="R177" s="4"/>
      <c r="S177" s="4"/>
      <c r="T177" s="4"/>
      <c r="U177" s="4"/>
      <c r="V177" s="4"/>
      <c r="W177" s="4"/>
      <c r="X177" s="4"/>
      <c r="Y177" s="4"/>
      <c r="Z177" s="4"/>
      <c r="AA177" s="4"/>
      <c r="AB177" s="4"/>
      <c r="AC177" s="4"/>
      <c r="AD177" s="4"/>
      <c r="AE177" s="4"/>
      <c r="AF177" s="4"/>
    </row>
    <row r="178" spans="1:32" ht="15.75" customHeight="1">
      <c r="A178" s="4"/>
      <c r="B178" s="4"/>
      <c r="C178" s="4"/>
      <c r="D178" s="4"/>
      <c r="E178" s="4"/>
      <c r="F178" s="4"/>
      <c r="G178" s="4"/>
      <c r="H178" s="4"/>
      <c r="I178" s="4"/>
      <c r="J178" s="19"/>
      <c r="K178" s="4"/>
      <c r="L178" s="4"/>
      <c r="M178" s="4"/>
      <c r="N178" s="4"/>
      <c r="O178" s="4"/>
      <c r="P178" s="4"/>
      <c r="Q178" s="4"/>
      <c r="R178" s="4"/>
      <c r="S178" s="4"/>
      <c r="T178" s="4"/>
      <c r="U178" s="4"/>
      <c r="V178" s="4"/>
      <c r="W178" s="4"/>
      <c r="X178" s="4"/>
      <c r="Y178" s="4"/>
      <c r="Z178" s="4"/>
      <c r="AA178" s="4"/>
      <c r="AB178" s="4"/>
      <c r="AC178" s="4"/>
      <c r="AD178" s="4"/>
      <c r="AE178" s="4"/>
      <c r="AF178" s="4"/>
    </row>
    <row r="179" spans="1:32" ht="15.75" customHeight="1">
      <c r="A179" s="4"/>
      <c r="B179" s="4"/>
      <c r="C179" s="4"/>
      <c r="D179" s="4"/>
      <c r="E179" s="4"/>
      <c r="F179" s="4"/>
      <c r="G179" s="4"/>
      <c r="H179" s="4"/>
      <c r="I179" s="4"/>
      <c r="J179" s="19"/>
      <c r="K179" s="4"/>
      <c r="L179" s="4"/>
      <c r="M179" s="4"/>
      <c r="N179" s="4"/>
      <c r="O179" s="4"/>
      <c r="P179" s="4"/>
      <c r="Q179" s="4"/>
      <c r="R179" s="4"/>
      <c r="S179" s="4"/>
      <c r="T179" s="4"/>
      <c r="U179" s="4"/>
      <c r="V179" s="4"/>
      <c r="W179" s="4"/>
      <c r="X179" s="4"/>
      <c r="Y179" s="4"/>
      <c r="Z179" s="4"/>
      <c r="AA179" s="4"/>
      <c r="AB179" s="4"/>
      <c r="AC179" s="4"/>
      <c r="AD179" s="4"/>
      <c r="AE179" s="4"/>
      <c r="AF179" s="4"/>
    </row>
    <row r="180" spans="1:32" ht="15.75" customHeight="1">
      <c r="A180" s="4"/>
      <c r="B180" s="4"/>
      <c r="C180" s="4"/>
      <c r="D180" s="4"/>
      <c r="E180" s="4"/>
      <c r="F180" s="4"/>
      <c r="G180" s="4"/>
      <c r="H180" s="4"/>
      <c r="I180" s="4"/>
      <c r="J180" s="19"/>
      <c r="K180" s="4"/>
      <c r="L180" s="4"/>
      <c r="M180" s="4"/>
      <c r="N180" s="4"/>
      <c r="O180" s="4"/>
      <c r="P180" s="4"/>
      <c r="Q180" s="4"/>
      <c r="R180" s="4"/>
      <c r="S180" s="4"/>
      <c r="T180" s="4"/>
      <c r="U180" s="4"/>
      <c r="V180" s="4"/>
      <c r="W180" s="4"/>
      <c r="X180" s="4"/>
      <c r="Y180" s="4"/>
      <c r="Z180" s="4"/>
      <c r="AA180" s="4"/>
      <c r="AB180" s="4"/>
      <c r="AC180" s="4"/>
      <c r="AD180" s="4"/>
      <c r="AE180" s="4"/>
      <c r="AF180" s="4"/>
    </row>
    <row r="181" spans="1:32" ht="15.75" customHeight="1">
      <c r="A181" s="4"/>
      <c r="B181" s="4"/>
      <c r="C181" s="4"/>
      <c r="D181" s="4"/>
      <c r="E181" s="4"/>
      <c r="F181" s="4"/>
      <c r="G181" s="4"/>
      <c r="H181" s="4"/>
      <c r="I181" s="4"/>
      <c r="J181" s="19"/>
      <c r="K181" s="4"/>
      <c r="L181" s="4"/>
      <c r="M181" s="4"/>
      <c r="N181" s="4"/>
      <c r="O181" s="4"/>
      <c r="P181" s="4"/>
      <c r="Q181" s="4"/>
      <c r="R181" s="4"/>
      <c r="S181" s="4"/>
      <c r="T181" s="4"/>
      <c r="U181" s="4"/>
      <c r="V181" s="4"/>
      <c r="W181" s="4"/>
      <c r="X181" s="4"/>
      <c r="Y181" s="4"/>
      <c r="Z181" s="4"/>
      <c r="AA181" s="4"/>
      <c r="AB181" s="4"/>
      <c r="AC181" s="4"/>
      <c r="AD181" s="4"/>
      <c r="AE181" s="4"/>
      <c r="AF181" s="4"/>
    </row>
    <row r="182" spans="1:32" ht="15.75" customHeight="1">
      <c r="A182" s="4"/>
      <c r="B182" s="4"/>
      <c r="C182" s="4"/>
      <c r="D182" s="4"/>
      <c r="E182" s="4"/>
      <c r="F182" s="4"/>
      <c r="G182" s="4"/>
      <c r="H182" s="4"/>
      <c r="I182" s="4"/>
      <c r="J182" s="19"/>
      <c r="K182" s="4"/>
      <c r="L182" s="4"/>
      <c r="M182" s="4"/>
      <c r="N182" s="4"/>
      <c r="O182" s="4"/>
      <c r="P182" s="4"/>
      <c r="Q182" s="4"/>
      <c r="R182" s="4"/>
      <c r="S182" s="4"/>
      <c r="T182" s="4"/>
      <c r="U182" s="4"/>
      <c r="V182" s="4"/>
      <c r="W182" s="4"/>
      <c r="X182" s="4"/>
      <c r="Y182" s="4"/>
      <c r="Z182" s="4"/>
      <c r="AA182" s="4"/>
      <c r="AB182" s="4"/>
      <c r="AC182" s="4"/>
      <c r="AD182" s="4"/>
      <c r="AE182" s="4"/>
      <c r="AF182" s="4"/>
    </row>
    <row r="183" spans="1:32" ht="15.75" customHeight="1">
      <c r="A183" s="4"/>
      <c r="B183" s="4"/>
      <c r="C183" s="4"/>
      <c r="D183" s="4"/>
      <c r="E183" s="4"/>
      <c r="F183" s="4"/>
      <c r="G183" s="4"/>
      <c r="H183" s="4"/>
      <c r="I183" s="4"/>
      <c r="J183" s="19"/>
      <c r="K183" s="4"/>
      <c r="L183" s="4"/>
      <c r="M183" s="4"/>
      <c r="N183" s="4"/>
      <c r="O183" s="4"/>
      <c r="P183" s="4"/>
      <c r="Q183" s="4"/>
      <c r="R183" s="4"/>
      <c r="S183" s="4"/>
      <c r="T183" s="4"/>
      <c r="U183" s="4"/>
      <c r="V183" s="4"/>
      <c r="W183" s="4"/>
      <c r="X183" s="4"/>
      <c r="Y183" s="4"/>
      <c r="Z183" s="4"/>
      <c r="AA183" s="4"/>
      <c r="AB183" s="4"/>
      <c r="AC183" s="4"/>
      <c r="AD183" s="4"/>
      <c r="AE183" s="4"/>
      <c r="AF183" s="4"/>
    </row>
    <row r="184" spans="1:32" ht="15.75" customHeight="1">
      <c r="A184" s="4"/>
      <c r="B184" s="4"/>
      <c r="C184" s="4"/>
      <c r="D184" s="4"/>
      <c r="E184" s="4"/>
      <c r="F184" s="4"/>
      <c r="G184" s="4"/>
      <c r="H184" s="4"/>
      <c r="I184" s="4"/>
      <c r="J184" s="19"/>
      <c r="K184" s="4"/>
      <c r="L184" s="4"/>
      <c r="M184" s="4"/>
      <c r="N184" s="4"/>
      <c r="O184" s="4"/>
      <c r="P184" s="4"/>
      <c r="Q184" s="4"/>
      <c r="R184" s="4"/>
      <c r="S184" s="4"/>
      <c r="T184" s="4"/>
      <c r="U184" s="4"/>
      <c r="V184" s="4"/>
      <c r="W184" s="4"/>
      <c r="X184" s="4"/>
      <c r="Y184" s="4"/>
      <c r="Z184" s="4"/>
      <c r="AA184" s="4"/>
      <c r="AB184" s="4"/>
      <c r="AC184" s="4"/>
      <c r="AD184" s="4"/>
      <c r="AE184" s="4"/>
      <c r="AF184" s="4"/>
    </row>
    <row r="185" spans="1:32" ht="15.75" customHeight="1">
      <c r="A185" s="4"/>
      <c r="B185" s="4"/>
      <c r="C185" s="4"/>
      <c r="D185" s="4"/>
      <c r="E185" s="4"/>
      <c r="F185" s="4"/>
      <c r="G185" s="4"/>
      <c r="H185" s="4"/>
      <c r="I185" s="4"/>
      <c r="J185" s="19"/>
      <c r="K185" s="4"/>
      <c r="L185" s="4"/>
      <c r="M185" s="4"/>
      <c r="N185" s="4"/>
      <c r="O185" s="4"/>
      <c r="P185" s="4"/>
      <c r="Q185" s="4"/>
      <c r="R185" s="4"/>
      <c r="S185" s="4"/>
      <c r="T185" s="4"/>
      <c r="U185" s="4"/>
      <c r="V185" s="4"/>
      <c r="W185" s="4"/>
      <c r="X185" s="4"/>
      <c r="Y185" s="4"/>
      <c r="Z185" s="4"/>
      <c r="AA185" s="4"/>
      <c r="AB185" s="4"/>
      <c r="AC185" s="4"/>
      <c r="AD185" s="4"/>
      <c r="AE185" s="4"/>
      <c r="AF185" s="4"/>
    </row>
    <row r="186" spans="1:32" ht="15.75" customHeight="1">
      <c r="A186" s="4"/>
      <c r="B186" s="4"/>
      <c r="C186" s="4"/>
      <c r="D186" s="4"/>
      <c r="E186" s="4"/>
      <c r="F186" s="4"/>
      <c r="G186" s="4"/>
      <c r="H186" s="4"/>
      <c r="I186" s="4"/>
      <c r="J186" s="19"/>
      <c r="K186" s="4"/>
      <c r="L186" s="4"/>
      <c r="M186" s="4"/>
      <c r="N186" s="4"/>
      <c r="O186" s="4"/>
      <c r="P186" s="4"/>
      <c r="Q186" s="4"/>
      <c r="R186" s="4"/>
      <c r="S186" s="4"/>
      <c r="T186" s="4"/>
      <c r="U186" s="4"/>
      <c r="V186" s="4"/>
      <c r="W186" s="4"/>
      <c r="X186" s="4"/>
      <c r="Y186" s="4"/>
      <c r="Z186" s="4"/>
      <c r="AA186" s="4"/>
      <c r="AB186" s="4"/>
      <c r="AC186" s="4"/>
      <c r="AD186" s="4"/>
      <c r="AE186" s="4"/>
      <c r="AF186" s="4"/>
    </row>
    <row r="187" spans="1:32" ht="15.75" customHeight="1">
      <c r="A187" s="4"/>
      <c r="B187" s="4"/>
      <c r="C187" s="4"/>
      <c r="D187" s="4"/>
      <c r="E187" s="4"/>
      <c r="F187" s="4"/>
      <c r="G187" s="4"/>
      <c r="H187" s="4"/>
      <c r="I187" s="4"/>
      <c r="J187" s="19"/>
      <c r="K187" s="4"/>
      <c r="L187" s="4"/>
      <c r="M187" s="4"/>
      <c r="N187" s="4"/>
      <c r="O187" s="4"/>
      <c r="P187" s="4"/>
      <c r="Q187" s="4"/>
      <c r="R187" s="4"/>
      <c r="S187" s="4"/>
      <c r="T187" s="4"/>
      <c r="U187" s="4"/>
      <c r="V187" s="4"/>
      <c r="W187" s="4"/>
      <c r="X187" s="4"/>
      <c r="Y187" s="4"/>
      <c r="Z187" s="4"/>
      <c r="AA187" s="4"/>
      <c r="AB187" s="4"/>
      <c r="AC187" s="4"/>
      <c r="AD187" s="4"/>
      <c r="AE187" s="4"/>
      <c r="AF187" s="4"/>
    </row>
    <row r="188" spans="1:32" ht="15.75" customHeight="1">
      <c r="A188" s="4"/>
      <c r="B188" s="4"/>
      <c r="C188" s="4"/>
      <c r="D188" s="4"/>
      <c r="E188" s="4"/>
      <c r="F188" s="4"/>
      <c r="G188" s="4"/>
      <c r="H188" s="4"/>
      <c r="I188" s="4"/>
      <c r="J188" s="19"/>
      <c r="K188" s="4"/>
      <c r="L188" s="4"/>
      <c r="M188" s="4"/>
      <c r="N188" s="4"/>
      <c r="O188" s="4"/>
      <c r="P188" s="4"/>
      <c r="Q188" s="4"/>
      <c r="R188" s="4"/>
      <c r="S188" s="4"/>
      <c r="T188" s="4"/>
      <c r="U188" s="4"/>
      <c r="V188" s="4"/>
      <c r="W188" s="4"/>
      <c r="X188" s="4"/>
      <c r="Y188" s="4"/>
      <c r="Z188" s="4"/>
      <c r="AA188" s="4"/>
      <c r="AB188" s="4"/>
      <c r="AC188" s="4"/>
      <c r="AD188" s="4"/>
      <c r="AE188" s="4"/>
      <c r="AF188" s="4"/>
    </row>
    <row r="189" spans="1:32" ht="15.75" customHeight="1">
      <c r="A189" s="4"/>
      <c r="B189" s="4"/>
      <c r="C189" s="4"/>
      <c r="D189" s="4"/>
      <c r="E189" s="4"/>
      <c r="F189" s="4"/>
      <c r="G189" s="4"/>
      <c r="H189" s="4"/>
      <c r="I189" s="4"/>
      <c r="J189" s="19"/>
      <c r="K189" s="4"/>
      <c r="L189" s="4"/>
      <c r="M189" s="4"/>
      <c r="N189" s="4"/>
      <c r="O189" s="4"/>
      <c r="P189" s="4"/>
      <c r="Q189" s="4"/>
      <c r="R189" s="4"/>
      <c r="S189" s="4"/>
      <c r="T189" s="4"/>
      <c r="U189" s="4"/>
      <c r="V189" s="4"/>
      <c r="W189" s="4"/>
      <c r="X189" s="4"/>
      <c r="Y189" s="4"/>
      <c r="Z189" s="4"/>
      <c r="AA189" s="4"/>
      <c r="AB189" s="4"/>
      <c r="AC189" s="4"/>
      <c r="AD189" s="4"/>
      <c r="AE189" s="4"/>
      <c r="AF189" s="4"/>
    </row>
    <row r="190" spans="1:32" ht="15.75" customHeight="1">
      <c r="A190" s="4"/>
      <c r="B190" s="4"/>
      <c r="C190" s="4"/>
      <c r="D190" s="4"/>
      <c r="E190" s="4"/>
      <c r="F190" s="4"/>
      <c r="G190" s="4"/>
      <c r="H190" s="4"/>
      <c r="I190" s="4"/>
      <c r="J190" s="19"/>
      <c r="K190" s="4"/>
      <c r="L190" s="4"/>
      <c r="M190" s="4"/>
      <c r="N190" s="4"/>
      <c r="O190" s="4"/>
      <c r="P190" s="4"/>
      <c r="Q190" s="4"/>
      <c r="R190" s="4"/>
      <c r="S190" s="4"/>
      <c r="T190" s="4"/>
      <c r="U190" s="4"/>
      <c r="V190" s="4"/>
      <c r="W190" s="4"/>
      <c r="X190" s="4"/>
      <c r="Y190" s="4"/>
      <c r="Z190" s="4"/>
      <c r="AA190" s="4"/>
      <c r="AB190" s="4"/>
      <c r="AC190" s="4"/>
      <c r="AD190" s="4"/>
      <c r="AE190" s="4"/>
      <c r="AF190" s="4"/>
    </row>
    <row r="191" spans="1:32" ht="15.75" customHeight="1">
      <c r="A191" s="4"/>
      <c r="B191" s="4"/>
      <c r="C191" s="4"/>
      <c r="D191" s="4"/>
      <c r="E191" s="4"/>
      <c r="F191" s="4"/>
      <c r="G191" s="4"/>
      <c r="H191" s="4"/>
      <c r="I191" s="4"/>
      <c r="J191" s="19"/>
      <c r="K191" s="4"/>
      <c r="L191" s="4"/>
      <c r="M191" s="4"/>
      <c r="N191" s="4"/>
      <c r="O191" s="4"/>
      <c r="P191" s="4"/>
      <c r="Q191" s="4"/>
      <c r="R191" s="4"/>
      <c r="S191" s="4"/>
      <c r="T191" s="4"/>
      <c r="U191" s="4"/>
      <c r="V191" s="4"/>
      <c r="W191" s="4"/>
      <c r="X191" s="4"/>
      <c r="Y191" s="4"/>
      <c r="Z191" s="4"/>
      <c r="AA191" s="4"/>
      <c r="AB191" s="4"/>
      <c r="AC191" s="4"/>
      <c r="AD191" s="4"/>
      <c r="AE191" s="4"/>
      <c r="AF191" s="4"/>
    </row>
    <row r="192" spans="1:32" ht="15.75" customHeight="1">
      <c r="A192" s="4"/>
      <c r="B192" s="4"/>
      <c r="C192" s="4"/>
      <c r="D192" s="4"/>
      <c r="E192" s="4"/>
      <c r="F192" s="4"/>
      <c r="G192" s="4"/>
      <c r="H192" s="4"/>
      <c r="I192" s="4"/>
      <c r="J192" s="19"/>
      <c r="K192" s="4"/>
      <c r="L192" s="4"/>
      <c r="M192" s="4"/>
      <c r="N192" s="4"/>
      <c r="O192" s="4"/>
      <c r="P192" s="4"/>
      <c r="Q192" s="4"/>
      <c r="R192" s="4"/>
      <c r="S192" s="4"/>
      <c r="T192" s="4"/>
      <c r="U192" s="4"/>
      <c r="V192" s="4"/>
      <c r="W192" s="4"/>
      <c r="X192" s="4"/>
      <c r="Y192" s="4"/>
      <c r="Z192" s="4"/>
      <c r="AA192" s="4"/>
      <c r="AB192" s="4"/>
      <c r="AC192" s="4"/>
      <c r="AD192" s="4"/>
      <c r="AE192" s="4"/>
      <c r="AF192" s="4"/>
    </row>
    <row r="193" spans="1:32" ht="15.75" customHeight="1">
      <c r="A193" s="4"/>
      <c r="B193" s="4"/>
      <c r="C193" s="4"/>
      <c r="D193" s="4"/>
      <c r="E193" s="4"/>
      <c r="F193" s="4"/>
      <c r="G193" s="4"/>
      <c r="H193" s="4"/>
      <c r="I193" s="4"/>
      <c r="J193" s="19"/>
      <c r="K193" s="4"/>
      <c r="L193" s="4"/>
      <c r="M193" s="4"/>
      <c r="N193" s="4"/>
      <c r="O193" s="4"/>
      <c r="P193" s="4"/>
      <c r="Q193" s="4"/>
      <c r="R193" s="4"/>
      <c r="S193" s="4"/>
      <c r="T193" s="4"/>
      <c r="U193" s="4"/>
      <c r="V193" s="4"/>
      <c r="W193" s="4"/>
      <c r="X193" s="4"/>
      <c r="Y193" s="4"/>
      <c r="Z193" s="4"/>
      <c r="AA193" s="4"/>
      <c r="AB193" s="4"/>
      <c r="AC193" s="4"/>
      <c r="AD193" s="4"/>
      <c r="AE193" s="4"/>
      <c r="AF193" s="4"/>
    </row>
    <row r="194" spans="1:32" ht="15.75" customHeight="1">
      <c r="A194" s="4"/>
      <c r="B194" s="4"/>
      <c r="C194" s="4"/>
      <c r="D194" s="4"/>
      <c r="E194" s="4"/>
      <c r="F194" s="4"/>
      <c r="G194" s="4"/>
      <c r="H194" s="4"/>
      <c r="I194" s="4"/>
      <c r="J194" s="19"/>
      <c r="K194" s="4"/>
      <c r="L194" s="4"/>
      <c r="M194" s="4"/>
      <c r="N194" s="4"/>
      <c r="O194" s="4"/>
      <c r="P194" s="4"/>
      <c r="Q194" s="4"/>
      <c r="R194" s="4"/>
      <c r="S194" s="4"/>
      <c r="T194" s="4"/>
      <c r="U194" s="4"/>
      <c r="V194" s="4"/>
      <c r="W194" s="4"/>
      <c r="X194" s="4"/>
      <c r="Y194" s="4"/>
      <c r="Z194" s="4"/>
      <c r="AA194" s="4"/>
      <c r="AB194" s="4"/>
      <c r="AC194" s="4"/>
      <c r="AD194" s="4"/>
      <c r="AE194" s="4"/>
      <c r="AF194" s="4"/>
    </row>
    <row r="195" spans="1:32" ht="15.75" customHeight="1">
      <c r="A195" s="4"/>
      <c r="B195" s="4"/>
      <c r="C195" s="4"/>
      <c r="D195" s="4"/>
      <c r="E195" s="4"/>
      <c r="F195" s="4"/>
      <c r="G195" s="4"/>
      <c r="H195" s="4"/>
      <c r="I195" s="4"/>
      <c r="J195" s="19"/>
      <c r="K195" s="4"/>
      <c r="L195" s="4"/>
      <c r="M195" s="4"/>
      <c r="N195" s="4"/>
      <c r="O195" s="4"/>
      <c r="P195" s="4"/>
      <c r="Q195" s="4"/>
      <c r="R195" s="4"/>
      <c r="S195" s="4"/>
      <c r="T195" s="4"/>
      <c r="U195" s="4"/>
      <c r="V195" s="4"/>
      <c r="W195" s="4"/>
      <c r="X195" s="4"/>
      <c r="Y195" s="4"/>
      <c r="Z195" s="4"/>
      <c r="AA195" s="4"/>
      <c r="AB195" s="4"/>
      <c r="AC195" s="4"/>
      <c r="AD195" s="4"/>
      <c r="AE195" s="4"/>
      <c r="AF195" s="4"/>
    </row>
    <row r="196" spans="1:32" ht="15.75" customHeight="1">
      <c r="A196" s="4"/>
      <c r="B196" s="4"/>
      <c r="C196" s="4"/>
      <c r="D196" s="4"/>
      <c r="E196" s="4"/>
      <c r="F196" s="4"/>
      <c r="G196" s="4"/>
      <c r="H196" s="4"/>
      <c r="I196" s="4"/>
      <c r="J196" s="19"/>
      <c r="K196" s="4"/>
      <c r="L196" s="4"/>
      <c r="M196" s="4"/>
      <c r="N196" s="4"/>
      <c r="O196" s="4"/>
      <c r="P196" s="4"/>
      <c r="Q196" s="4"/>
      <c r="R196" s="4"/>
      <c r="S196" s="4"/>
      <c r="T196" s="4"/>
      <c r="U196" s="4"/>
      <c r="V196" s="4"/>
      <c r="W196" s="4"/>
      <c r="X196" s="4"/>
      <c r="Y196" s="4"/>
      <c r="Z196" s="4"/>
      <c r="AA196" s="4"/>
      <c r="AB196" s="4"/>
      <c r="AC196" s="4"/>
      <c r="AD196" s="4"/>
      <c r="AE196" s="4"/>
      <c r="AF196" s="4"/>
    </row>
    <row r="197" spans="1:32" ht="15.75" customHeight="1">
      <c r="A197" s="4"/>
      <c r="B197" s="4"/>
      <c r="C197" s="4"/>
      <c r="D197" s="4"/>
      <c r="E197" s="4"/>
      <c r="F197" s="4"/>
      <c r="G197" s="4"/>
      <c r="H197" s="4"/>
      <c r="I197" s="4"/>
      <c r="J197" s="19"/>
      <c r="K197" s="4"/>
      <c r="L197" s="4"/>
      <c r="M197" s="4"/>
      <c r="N197" s="4"/>
      <c r="O197" s="4"/>
      <c r="P197" s="4"/>
      <c r="Q197" s="4"/>
      <c r="R197" s="4"/>
      <c r="S197" s="4"/>
      <c r="T197" s="4"/>
      <c r="U197" s="4"/>
      <c r="V197" s="4"/>
      <c r="W197" s="4"/>
      <c r="X197" s="4"/>
      <c r="Y197" s="4"/>
      <c r="Z197" s="4"/>
      <c r="AA197" s="4"/>
      <c r="AB197" s="4"/>
      <c r="AC197" s="4"/>
      <c r="AD197" s="4"/>
      <c r="AE197" s="4"/>
      <c r="AF197" s="4"/>
    </row>
    <row r="198" spans="1:32" ht="15.75" customHeight="1">
      <c r="A198" s="4"/>
      <c r="B198" s="4"/>
      <c r="C198" s="4"/>
      <c r="D198" s="4"/>
      <c r="E198" s="4"/>
      <c r="F198" s="4"/>
      <c r="G198" s="4"/>
      <c r="H198" s="4"/>
      <c r="I198" s="4"/>
      <c r="J198" s="19"/>
      <c r="K198" s="4"/>
      <c r="L198" s="4"/>
      <c r="M198" s="4"/>
      <c r="N198" s="4"/>
      <c r="O198" s="4"/>
      <c r="P198" s="4"/>
      <c r="Q198" s="4"/>
      <c r="R198" s="4"/>
      <c r="S198" s="4"/>
      <c r="T198" s="4"/>
      <c r="U198" s="4"/>
      <c r="V198" s="4"/>
      <c r="W198" s="4"/>
      <c r="X198" s="4"/>
      <c r="Y198" s="4"/>
      <c r="Z198" s="4"/>
      <c r="AA198" s="4"/>
      <c r="AB198" s="4"/>
      <c r="AC198" s="4"/>
      <c r="AD198" s="4"/>
      <c r="AE198" s="4"/>
      <c r="AF198" s="4"/>
    </row>
    <row r="199" spans="1:32" ht="15.75" customHeight="1">
      <c r="A199" s="4"/>
      <c r="B199" s="4"/>
      <c r="C199" s="4"/>
      <c r="D199" s="4"/>
      <c r="E199" s="4"/>
      <c r="F199" s="4"/>
      <c r="G199" s="4"/>
      <c r="H199" s="4"/>
      <c r="I199" s="4"/>
      <c r="J199" s="19"/>
      <c r="K199" s="4"/>
      <c r="L199" s="4"/>
      <c r="M199" s="4"/>
      <c r="N199" s="4"/>
      <c r="O199" s="4"/>
      <c r="P199" s="4"/>
      <c r="Q199" s="4"/>
      <c r="R199" s="4"/>
      <c r="S199" s="4"/>
      <c r="T199" s="4"/>
      <c r="U199" s="4"/>
      <c r="V199" s="4"/>
      <c r="W199" s="4"/>
      <c r="X199" s="4"/>
      <c r="Y199" s="4"/>
      <c r="Z199" s="4"/>
      <c r="AA199" s="4"/>
      <c r="AB199" s="4"/>
      <c r="AC199" s="4"/>
      <c r="AD199" s="4"/>
      <c r="AE199" s="4"/>
      <c r="AF199" s="4"/>
    </row>
    <row r="200" spans="1:32" ht="15.75" customHeight="1">
      <c r="A200" s="4"/>
      <c r="B200" s="4"/>
      <c r="C200" s="4"/>
      <c r="D200" s="4"/>
      <c r="E200" s="4"/>
      <c r="F200" s="4"/>
      <c r="G200" s="4"/>
      <c r="H200" s="4"/>
      <c r="I200" s="4"/>
      <c r="J200" s="19"/>
      <c r="K200" s="4"/>
      <c r="L200" s="4"/>
      <c r="M200" s="4"/>
      <c r="N200" s="4"/>
      <c r="O200" s="4"/>
      <c r="P200" s="4"/>
      <c r="Q200" s="4"/>
      <c r="R200" s="4"/>
      <c r="S200" s="4"/>
      <c r="T200" s="4"/>
      <c r="U200" s="4"/>
      <c r="V200" s="4"/>
      <c r="W200" s="4"/>
      <c r="X200" s="4"/>
      <c r="Y200" s="4"/>
      <c r="Z200" s="4"/>
      <c r="AA200" s="4"/>
      <c r="AB200" s="4"/>
      <c r="AC200" s="4"/>
      <c r="AD200" s="4"/>
      <c r="AE200" s="4"/>
      <c r="AF200" s="4"/>
    </row>
    <row r="201" spans="1:32" ht="15.75" customHeight="1">
      <c r="A201" s="4"/>
      <c r="B201" s="4"/>
      <c r="C201" s="4"/>
      <c r="D201" s="4"/>
      <c r="E201" s="4"/>
      <c r="F201" s="4"/>
      <c r="G201" s="4"/>
      <c r="H201" s="4"/>
      <c r="I201" s="4"/>
      <c r="J201" s="19"/>
      <c r="K201" s="4"/>
      <c r="L201" s="4"/>
      <c r="M201" s="4"/>
      <c r="N201" s="4"/>
      <c r="O201" s="4"/>
      <c r="P201" s="4"/>
      <c r="Q201" s="4"/>
      <c r="R201" s="4"/>
      <c r="S201" s="4"/>
      <c r="T201" s="4"/>
      <c r="U201" s="4"/>
      <c r="V201" s="4"/>
      <c r="W201" s="4"/>
      <c r="X201" s="4"/>
      <c r="Y201" s="4"/>
      <c r="Z201" s="4"/>
      <c r="AA201" s="4"/>
      <c r="AB201" s="4"/>
      <c r="AC201" s="4"/>
      <c r="AD201" s="4"/>
      <c r="AE201" s="4"/>
      <c r="AF201" s="4"/>
    </row>
    <row r="202" spans="1:32" ht="15.75" customHeight="1">
      <c r="A202" s="4"/>
      <c r="B202" s="4"/>
      <c r="C202" s="4"/>
      <c r="D202" s="4"/>
      <c r="E202" s="4"/>
      <c r="F202" s="4"/>
      <c r="G202" s="4"/>
      <c r="H202" s="4"/>
      <c r="I202" s="4"/>
      <c r="J202" s="19"/>
      <c r="K202" s="4"/>
      <c r="L202" s="4"/>
      <c r="M202" s="4"/>
      <c r="N202" s="4"/>
      <c r="O202" s="4"/>
      <c r="P202" s="4"/>
      <c r="Q202" s="4"/>
      <c r="R202" s="4"/>
      <c r="S202" s="4"/>
      <c r="T202" s="4"/>
      <c r="U202" s="4"/>
      <c r="V202" s="4"/>
      <c r="W202" s="4"/>
      <c r="X202" s="4"/>
      <c r="Y202" s="4"/>
      <c r="Z202" s="4"/>
      <c r="AA202" s="4"/>
      <c r="AB202" s="4"/>
      <c r="AC202" s="4"/>
      <c r="AD202" s="4"/>
      <c r="AE202" s="4"/>
      <c r="AF202" s="4"/>
    </row>
    <row r="203" spans="1:32" ht="15.75" customHeight="1">
      <c r="A203" s="4"/>
      <c r="B203" s="4"/>
      <c r="C203" s="4"/>
      <c r="D203" s="4"/>
      <c r="E203" s="4"/>
      <c r="F203" s="4"/>
      <c r="G203" s="4"/>
      <c r="H203" s="4"/>
      <c r="I203" s="4"/>
      <c r="J203" s="19"/>
      <c r="K203" s="4"/>
      <c r="L203" s="4"/>
      <c r="M203" s="4"/>
      <c r="N203" s="4"/>
      <c r="O203" s="4"/>
      <c r="P203" s="4"/>
      <c r="Q203" s="4"/>
      <c r="R203" s="4"/>
      <c r="S203" s="4"/>
      <c r="T203" s="4"/>
      <c r="U203" s="4"/>
      <c r="V203" s="4"/>
      <c r="W203" s="4"/>
      <c r="X203" s="4"/>
      <c r="Y203" s="4"/>
      <c r="Z203" s="4"/>
      <c r="AA203" s="4"/>
      <c r="AB203" s="4"/>
      <c r="AC203" s="4"/>
      <c r="AD203" s="4"/>
      <c r="AE203" s="4"/>
      <c r="AF203" s="4"/>
    </row>
    <row r="204" spans="1:32" ht="15.75" customHeight="1">
      <c r="A204" s="4"/>
      <c r="B204" s="4"/>
      <c r="C204" s="4"/>
      <c r="D204" s="4"/>
      <c r="E204" s="4"/>
      <c r="F204" s="4"/>
      <c r="G204" s="4"/>
      <c r="H204" s="4"/>
      <c r="I204" s="4"/>
      <c r="J204" s="19"/>
      <c r="K204" s="4"/>
      <c r="L204" s="4"/>
      <c r="M204" s="4"/>
      <c r="N204" s="4"/>
      <c r="O204" s="4"/>
      <c r="P204" s="4"/>
      <c r="Q204" s="4"/>
      <c r="R204" s="4"/>
      <c r="S204" s="4"/>
      <c r="T204" s="4"/>
      <c r="U204" s="4"/>
      <c r="V204" s="4"/>
      <c r="W204" s="4"/>
      <c r="X204" s="4"/>
      <c r="Y204" s="4"/>
      <c r="Z204" s="4"/>
      <c r="AA204" s="4"/>
      <c r="AB204" s="4"/>
      <c r="AC204" s="4"/>
      <c r="AD204" s="4"/>
      <c r="AE204" s="4"/>
      <c r="AF204" s="4"/>
    </row>
    <row r="205" spans="1:32" ht="15.75" customHeight="1">
      <c r="A205" s="4"/>
      <c r="B205" s="4"/>
      <c r="C205" s="4"/>
      <c r="D205" s="4"/>
      <c r="E205" s="4"/>
      <c r="F205" s="4"/>
      <c r="G205" s="4"/>
      <c r="H205" s="4"/>
      <c r="I205" s="4"/>
      <c r="J205" s="19"/>
      <c r="K205" s="4"/>
      <c r="L205" s="4"/>
      <c r="M205" s="4"/>
      <c r="N205" s="4"/>
      <c r="O205" s="4"/>
      <c r="P205" s="4"/>
      <c r="Q205" s="4"/>
      <c r="R205" s="4"/>
      <c r="S205" s="4"/>
      <c r="T205" s="4"/>
      <c r="U205" s="4"/>
      <c r="V205" s="4"/>
      <c r="W205" s="4"/>
      <c r="X205" s="4"/>
      <c r="Y205" s="4"/>
      <c r="Z205" s="4"/>
      <c r="AA205" s="4"/>
      <c r="AB205" s="4"/>
      <c r="AC205" s="4"/>
      <c r="AD205" s="4"/>
      <c r="AE205" s="4"/>
      <c r="AF205" s="4"/>
    </row>
    <row r="206" spans="1:32" ht="15.75" customHeight="1">
      <c r="A206" s="4"/>
      <c r="B206" s="4"/>
      <c r="C206" s="4"/>
      <c r="D206" s="4"/>
      <c r="E206" s="4"/>
      <c r="F206" s="4"/>
      <c r="G206" s="4"/>
      <c r="H206" s="4"/>
      <c r="I206" s="4"/>
      <c r="J206" s="19"/>
      <c r="K206" s="4"/>
      <c r="L206" s="4"/>
      <c r="M206" s="4"/>
      <c r="N206" s="4"/>
      <c r="O206" s="4"/>
      <c r="P206" s="4"/>
      <c r="Q206" s="4"/>
      <c r="R206" s="4"/>
      <c r="S206" s="4"/>
      <c r="T206" s="4"/>
      <c r="U206" s="4"/>
      <c r="V206" s="4"/>
      <c r="W206" s="4"/>
      <c r="X206" s="4"/>
      <c r="Y206" s="4"/>
      <c r="Z206" s="4"/>
      <c r="AA206" s="4"/>
      <c r="AB206" s="4"/>
      <c r="AC206" s="4"/>
      <c r="AD206" s="4"/>
      <c r="AE206" s="4"/>
      <c r="AF206" s="4"/>
    </row>
    <row r="207" spans="1:32" ht="15.75" customHeight="1">
      <c r="A207" s="4"/>
      <c r="B207" s="4"/>
      <c r="C207" s="4"/>
      <c r="D207" s="4"/>
      <c r="E207" s="4"/>
      <c r="F207" s="4"/>
      <c r="G207" s="4"/>
      <c r="H207" s="4"/>
      <c r="I207" s="4"/>
      <c r="J207" s="19"/>
      <c r="K207" s="4"/>
      <c r="L207" s="4"/>
      <c r="M207" s="4"/>
      <c r="N207" s="4"/>
      <c r="O207" s="4"/>
      <c r="P207" s="4"/>
      <c r="Q207" s="4"/>
      <c r="R207" s="4"/>
      <c r="S207" s="4"/>
      <c r="T207" s="4"/>
      <c r="U207" s="4"/>
      <c r="V207" s="4"/>
      <c r="W207" s="4"/>
      <c r="X207" s="4"/>
      <c r="Y207" s="4"/>
      <c r="Z207" s="4"/>
      <c r="AA207" s="4"/>
      <c r="AB207" s="4"/>
      <c r="AC207" s="4"/>
      <c r="AD207" s="4"/>
      <c r="AE207" s="4"/>
      <c r="AF207" s="4"/>
    </row>
    <row r="208" spans="1:32" ht="15.75" customHeight="1">
      <c r="A208" s="4"/>
      <c r="B208" s="4"/>
      <c r="C208" s="4"/>
      <c r="D208" s="4"/>
      <c r="E208" s="4"/>
      <c r="F208" s="4"/>
      <c r="G208" s="4"/>
      <c r="H208" s="4"/>
      <c r="I208" s="4"/>
      <c r="J208" s="19"/>
      <c r="K208" s="4"/>
      <c r="L208" s="4"/>
      <c r="M208" s="4"/>
      <c r="N208" s="4"/>
      <c r="O208" s="4"/>
      <c r="P208" s="4"/>
      <c r="Q208" s="4"/>
      <c r="R208" s="4"/>
      <c r="S208" s="4"/>
      <c r="T208" s="4"/>
      <c r="U208" s="4"/>
      <c r="V208" s="4"/>
      <c r="W208" s="4"/>
      <c r="X208" s="4"/>
      <c r="Y208" s="4"/>
      <c r="Z208" s="4"/>
      <c r="AA208" s="4"/>
      <c r="AB208" s="4"/>
      <c r="AC208" s="4"/>
      <c r="AD208" s="4"/>
      <c r="AE208" s="4"/>
      <c r="AF208" s="4"/>
    </row>
    <row r="209" spans="1:32" ht="15.75" customHeight="1">
      <c r="A209" s="4"/>
      <c r="B209" s="4"/>
      <c r="C209" s="4"/>
      <c r="D209" s="4"/>
      <c r="E209" s="4"/>
      <c r="F209" s="4"/>
      <c r="G209" s="4"/>
      <c r="H209" s="4"/>
      <c r="I209" s="4"/>
      <c r="J209" s="19"/>
      <c r="K209" s="4"/>
      <c r="L209" s="4"/>
      <c r="M209" s="4"/>
      <c r="N209" s="4"/>
      <c r="O209" s="4"/>
      <c r="P209" s="4"/>
      <c r="Q209" s="4"/>
      <c r="R209" s="4"/>
      <c r="S209" s="4"/>
      <c r="T209" s="4"/>
      <c r="U209" s="4"/>
      <c r="V209" s="4"/>
      <c r="W209" s="4"/>
      <c r="X209" s="4"/>
      <c r="Y209" s="4"/>
      <c r="Z209" s="4"/>
      <c r="AA209" s="4"/>
      <c r="AB209" s="4"/>
      <c r="AC209" s="4"/>
      <c r="AD209" s="4"/>
      <c r="AE209" s="4"/>
      <c r="AF209" s="4"/>
    </row>
    <row r="210" spans="1:32" ht="15.75" customHeight="1">
      <c r="A210" s="4"/>
      <c r="B210" s="4"/>
      <c r="C210" s="4"/>
      <c r="D210" s="4"/>
      <c r="E210" s="4"/>
      <c r="F210" s="4"/>
      <c r="G210" s="4"/>
      <c r="H210" s="4"/>
      <c r="I210" s="4"/>
      <c r="J210" s="19"/>
      <c r="K210" s="4"/>
      <c r="L210" s="4"/>
      <c r="M210" s="4"/>
      <c r="N210" s="4"/>
      <c r="O210" s="4"/>
      <c r="P210" s="4"/>
      <c r="Q210" s="4"/>
      <c r="R210" s="4"/>
      <c r="S210" s="4"/>
      <c r="T210" s="4"/>
      <c r="U210" s="4"/>
      <c r="V210" s="4"/>
      <c r="W210" s="4"/>
      <c r="X210" s="4"/>
      <c r="Y210" s="4"/>
      <c r="Z210" s="4"/>
      <c r="AA210" s="4"/>
      <c r="AB210" s="4"/>
      <c r="AC210" s="4"/>
      <c r="AD210" s="4"/>
      <c r="AE210" s="4"/>
      <c r="AF210" s="4"/>
    </row>
    <row r="211" spans="1:32" ht="15.75" customHeight="1">
      <c r="A211" s="4"/>
      <c r="B211" s="4"/>
      <c r="C211" s="4"/>
      <c r="D211" s="4"/>
      <c r="E211" s="4"/>
      <c r="F211" s="4"/>
      <c r="G211" s="4"/>
      <c r="H211" s="4"/>
      <c r="I211" s="4"/>
      <c r="J211" s="19"/>
      <c r="K211" s="4"/>
      <c r="L211" s="4"/>
      <c r="M211" s="4"/>
      <c r="N211" s="4"/>
      <c r="O211" s="4"/>
      <c r="P211" s="4"/>
      <c r="Q211" s="4"/>
      <c r="R211" s="4"/>
      <c r="S211" s="4"/>
      <c r="T211" s="4"/>
      <c r="U211" s="4"/>
      <c r="V211" s="4"/>
      <c r="W211" s="4"/>
      <c r="X211" s="4"/>
      <c r="Y211" s="4"/>
      <c r="Z211" s="4"/>
      <c r="AA211" s="4"/>
      <c r="AB211" s="4"/>
      <c r="AC211" s="4"/>
      <c r="AD211" s="4"/>
      <c r="AE211" s="4"/>
      <c r="AF211" s="4"/>
    </row>
    <row r="212" spans="1:32" ht="15.75" customHeight="1">
      <c r="A212" s="4"/>
      <c r="B212" s="4"/>
      <c r="C212" s="4"/>
      <c r="D212" s="4"/>
      <c r="E212" s="4"/>
      <c r="F212" s="4"/>
      <c r="G212" s="4"/>
      <c r="H212" s="4"/>
      <c r="I212" s="4"/>
      <c r="J212" s="19"/>
      <c r="K212" s="4"/>
      <c r="L212" s="4"/>
      <c r="M212" s="4"/>
      <c r="N212" s="4"/>
      <c r="O212" s="4"/>
      <c r="P212" s="4"/>
      <c r="Q212" s="4"/>
      <c r="R212" s="4"/>
      <c r="S212" s="4"/>
      <c r="T212" s="4"/>
      <c r="U212" s="4"/>
      <c r="V212" s="4"/>
      <c r="W212" s="4"/>
      <c r="X212" s="4"/>
      <c r="Y212" s="4"/>
      <c r="Z212" s="4"/>
      <c r="AA212" s="4"/>
      <c r="AB212" s="4"/>
      <c r="AC212" s="4"/>
      <c r="AD212" s="4"/>
      <c r="AE212" s="4"/>
      <c r="AF212" s="4"/>
    </row>
    <row r="213" spans="1:32" ht="15.75" customHeight="1">
      <c r="A213" s="4"/>
      <c r="B213" s="4"/>
      <c r="C213" s="4"/>
      <c r="D213" s="4"/>
      <c r="E213" s="4"/>
      <c r="F213" s="4"/>
      <c r="G213" s="4"/>
      <c r="H213" s="4"/>
      <c r="I213" s="4"/>
      <c r="J213" s="19"/>
      <c r="K213" s="4"/>
      <c r="L213" s="4"/>
      <c r="M213" s="4"/>
      <c r="N213" s="4"/>
      <c r="O213" s="4"/>
      <c r="P213" s="4"/>
      <c r="Q213" s="4"/>
      <c r="R213" s="4"/>
      <c r="S213" s="4"/>
      <c r="T213" s="4"/>
      <c r="U213" s="4"/>
      <c r="V213" s="4"/>
      <c r="W213" s="4"/>
      <c r="X213" s="4"/>
      <c r="Y213" s="4"/>
      <c r="Z213" s="4"/>
      <c r="AA213" s="4"/>
      <c r="AB213" s="4"/>
      <c r="AC213" s="4"/>
      <c r="AD213" s="4"/>
      <c r="AE213" s="4"/>
      <c r="AF213" s="4"/>
    </row>
    <row r="214" spans="1:32" ht="15.75" customHeight="1">
      <c r="A214" s="4"/>
      <c r="B214" s="4"/>
      <c r="C214" s="4"/>
      <c r="D214" s="4"/>
      <c r="E214" s="4"/>
      <c r="F214" s="4"/>
      <c r="G214" s="4"/>
      <c r="H214" s="4"/>
      <c r="I214" s="4"/>
      <c r="J214" s="19"/>
      <c r="K214" s="4"/>
      <c r="L214" s="4"/>
      <c r="M214" s="4"/>
      <c r="N214" s="4"/>
      <c r="O214" s="4"/>
      <c r="P214" s="4"/>
      <c r="Q214" s="4"/>
      <c r="R214" s="4"/>
      <c r="S214" s="4"/>
      <c r="T214" s="4"/>
      <c r="U214" s="4"/>
      <c r="V214" s="4"/>
      <c r="W214" s="4"/>
      <c r="X214" s="4"/>
      <c r="Y214" s="4"/>
      <c r="Z214" s="4"/>
      <c r="AA214" s="4"/>
      <c r="AB214" s="4"/>
      <c r="AC214" s="4"/>
      <c r="AD214" s="4"/>
      <c r="AE214" s="4"/>
      <c r="AF214" s="4"/>
    </row>
    <row r="215" spans="1:32" ht="15.75" customHeight="1">
      <c r="A215" s="4"/>
      <c r="B215" s="4"/>
      <c r="C215" s="4"/>
      <c r="D215" s="4"/>
      <c r="E215" s="4"/>
      <c r="F215" s="4"/>
      <c r="G215" s="4"/>
      <c r="H215" s="4"/>
      <c r="I215" s="4"/>
      <c r="J215" s="19"/>
      <c r="K215" s="4"/>
      <c r="L215" s="4"/>
      <c r="M215" s="4"/>
      <c r="N215" s="4"/>
      <c r="O215" s="4"/>
      <c r="P215" s="4"/>
      <c r="Q215" s="4"/>
      <c r="R215" s="4"/>
      <c r="S215" s="4"/>
      <c r="T215" s="4"/>
      <c r="U215" s="4"/>
      <c r="V215" s="4"/>
      <c r="W215" s="4"/>
      <c r="X215" s="4"/>
      <c r="Y215" s="4"/>
      <c r="Z215" s="4"/>
      <c r="AA215" s="4"/>
      <c r="AB215" s="4"/>
      <c r="AC215" s="4"/>
      <c r="AD215" s="4"/>
      <c r="AE215" s="4"/>
      <c r="AF215" s="4"/>
    </row>
    <row r="216" spans="1:32" ht="15.75" customHeight="1">
      <c r="A216" s="4"/>
      <c r="B216" s="4"/>
      <c r="C216" s="4"/>
      <c r="D216" s="4"/>
      <c r="E216" s="4"/>
      <c r="F216" s="4"/>
      <c r="G216" s="4"/>
      <c r="H216" s="4"/>
      <c r="I216" s="4"/>
      <c r="J216" s="19"/>
      <c r="K216" s="4"/>
      <c r="L216" s="4"/>
      <c r="M216" s="4"/>
      <c r="N216" s="4"/>
      <c r="O216" s="4"/>
      <c r="P216" s="4"/>
      <c r="Q216" s="4"/>
      <c r="R216" s="4"/>
      <c r="S216" s="4"/>
      <c r="T216" s="4"/>
      <c r="U216" s="4"/>
      <c r="V216" s="4"/>
      <c r="W216" s="4"/>
      <c r="X216" s="4"/>
      <c r="Y216" s="4"/>
      <c r="Z216" s="4"/>
      <c r="AA216" s="4"/>
      <c r="AB216" s="4"/>
      <c r="AC216" s="4"/>
      <c r="AD216" s="4"/>
      <c r="AE216" s="4"/>
      <c r="AF216" s="4"/>
    </row>
    <row r="217" spans="1:32" ht="15.75" customHeight="1">
      <c r="A217" s="4"/>
      <c r="B217" s="4"/>
      <c r="C217" s="4"/>
      <c r="D217" s="4"/>
      <c r="E217" s="4"/>
      <c r="F217" s="4"/>
      <c r="G217" s="4"/>
      <c r="H217" s="4"/>
      <c r="I217" s="4"/>
      <c r="J217" s="19"/>
      <c r="K217" s="4"/>
      <c r="L217" s="4"/>
      <c r="M217" s="4"/>
      <c r="N217" s="4"/>
      <c r="O217" s="4"/>
      <c r="P217" s="4"/>
      <c r="Q217" s="4"/>
      <c r="R217" s="4"/>
      <c r="S217" s="4"/>
      <c r="T217" s="4"/>
      <c r="U217" s="4"/>
      <c r="V217" s="4"/>
      <c r="W217" s="4"/>
      <c r="X217" s="4"/>
      <c r="Y217" s="4"/>
      <c r="Z217" s="4"/>
      <c r="AA217" s="4"/>
      <c r="AB217" s="4"/>
      <c r="AC217" s="4"/>
      <c r="AD217" s="4"/>
      <c r="AE217" s="4"/>
      <c r="AF217" s="4"/>
    </row>
    <row r="218" spans="1:32" ht="15.75" customHeight="1">
      <c r="A218" s="4"/>
      <c r="B218" s="4"/>
      <c r="C218" s="4"/>
      <c r="D218" s="4"/>
      <c r="E218" s="4"/>
      <c r="F218" s="4"/>
      <c r="G218" s="4"/>
      <c r="H218" s="4"/>
      <c r="I218" s="4"/>
      <c r="J218" s="19"/>
      <c r="K218" s="4"/>
      <c r="L218" s="4"/>
      <c r="M218" s="4"/>
      <c r="N218" s="4"/>
      <c r="O218" s="4"/>
      <c r="P218" s="4"/>
      <c r="Q218" s="4"/>
      <c r="R218" s="4"/>
      <c r="S218" s="4"/>
      <c r="T218" s="4"/>
      <c r="U218" s="4"/>
      <c r="V218" s="4"/>
      <c r="W218" s="4"/>
      <c r="X218" s="4"/>
      <c r="Y218" s="4"/>
      <c r="Z218" s="4"/>
      <c r="AA218" s="4"/>
      <c r="AB218" s="4"/>
      <c r="AC218" s="4"/>
      <c r="AD218" s="4"/>
      <c r="AE218" s="4"/>
      <c r="AF218" s="4"/>
    </row>
    <row r="219" spans="1:32" ht="15.75" customHeight="1">
      <c r="A219" s="4"/>
      <c r="B219" s="4"/>
      <c r="C219" s="4"/>
      <c r="D219" s="4"/>
      <c r="E219" s="4"/>
      <c r="F219" s="4"/>
      <c r="G219" s="4"/>
      <c r="H219" s="4"/>
      <c r="I219" s="4"/>
      <c r="J219" s="19"/>
      <c r="K219" s="4"/>
      <c r="L219" s="4"/>
      <c r="M219" s="4"/>
      <c r="N219" s="4"/>
      <c r="O219" s="4"/>
      <c r="P219" s="4"/>
      <c r="Q219" s="4"/>
      <c r="R219" s="4"/>
      <c r="S219" s="4"/>
      <c r="T219" s="4"/>
      <c r="U219" s="4"/>
      <c r="V219" s="4"/>
      <c r="W219" s="4"/>
      <c r="X219" s="4"/>
      <c r="Y219" s="4"/>
      <c r="Z219" s="4"/>
      <c r="AA219" s="4"/>
      <c r="AB219" s="4"/>
      <c r="AC219" s="4"/>
      <c r="AD219" s="4"/>
      <c r="AE219" s="4"/>
      <c r="AF219" s="4"/>
    </row>
    <row r="220" spans="1:32" ht="15.75" customHeight="1">
      <c r="A220" s="4"/>
      <c r="B220" s="4"/>
      <c r="C220" s="4"/>
      <c r="D220" s="4"/>
      <c r="E220" s="4"/>
      <c r="F220" s="4"/>
      <c r="G220" s="4"/>
      <c r="H220" s="4"/>
      <c r="I220" s="4"/>
      <c r="J220" s="19"/>
      <c r="K220" s="4"/>
      <c r="L220" s="4"/>
      <c r="M220" s="4"/>
      <c r="N220" s="4"/>
      <c r="O220" s="4"/>
      <c r="P220" s="4"/>
      <c r="Q220" s="4"/>
      <c r="R220" s="4"/>
      <c r="S220" s="4"/>
      <c r="T220" s="4"/>
      <c r="U220" s="4"/>
      <c r="V220" s="4"/>
      <c r="W220" s="4"/>
      <c r="X220" s="4"/>
      <c r="Y220" s="4"/>
      <c r="Z220" s="4"/>
      <c r="AA220" s="4"/>
      <c r="AB220" s="4"/>
      <c r="AC220" s="4"/>
      <c r="AD220" s="4"/>
      <c r="AE220" s="4"/>
      <c r="AF220" s="4"/>
    </row>
    <row r="221" spans="1:32" ht="15.75" customHeight="1">
      <c r="A221" s="4"/>
      <c r="B221" s="4"/>
      <c r="C221" s="4"/>
      <c r="D221" s="4"/>
      <c r="E221" s="4"/>
      <c r="F221" s="4"/>
      <c r="G221" s="4"/>
      <c r="H221" s="4"/>
      <c r="I221" s="4"/>
      <c r="J221" s="19"/>
      <c r="K221" s="4"/>
      <c r="L221" s="4"/>
      <c r="M221" s="4"/>
      <c r="N221" s="4"/>
      <c r="O221" s="4"/>
      <c r="P221" s="4"/>
      <c r="Q221" s="4"/>
      <c r="R221" s="4"/>
      <c r="S221" s="4"/>
      <c r="T221" s="4"/>
      <c r="U221" s="4"/>
      <c r="V221" s="4"/>
      <c r="W221" s="4"/>
      <c r="X221" s="4"/>
      <c r="Y221" s="4"/>
      <c r="Z221" s="4"/>
      <c r="AA221" s="4"/>
      <c r="AB221" s="4"/>
      <c r="AC221" s="4"/>
      <c r="AD221" s="4"/>
      <c r="AE221" s="4"/>
      <c r="AF221" s="4"/>
    </row>
    <row r="222" spans="1:32" ht="15.75" customHeight="1">
      <c r="A222" s="4"/>
      <c r="B222" s="4"/>
      <c r="C222" s="4"/>
      <c r="D222" s="4"/>
      <c r="E222" s="4"/>
      <c r="F222" s="4"/>
      <c r="G222" s="4"/>
      <c r="H222" s="4"/>
      <c r="I222" s="4"/>
      <c r="J222" s="19"/>
      <c r="K222" s="4"/>
      <c r="L222" s="4"/>
      <c r="M222" s="4"/>
      <c r="N222" s="4"/>
      <c r="O222" s="4"/>
      <c r="P222" s="4"/>
      <c r="Q222" s="4"/>
      <c r="R222" s="4"/>
      <c r="S222" s="4"/>
      <c r="T222" s="4"/>
      <c r="U222" s="4"/>
      <c r="V222" s="4"/>
      <c r="W222" s="4"/>
      <c r="X222" s="4"/>
      <c r="Y222" s="4"/>
      <c r="Z222" s="4"/>
      <c r="AA222" s="4"/>
      <c r="AB222" s="4"/>
      <c r="AC222" s="4"/>
      <c r="AD222" s="4"/>
      <c r="AE222" s="4"/>
      <c r="AF222" s="4"/>
    </row>
    <row r="223" spans="1:32" ht="15.75" customHeight="1">
      <c r="A223" s="4"/>
      <c r="B223" s="4"/>
      <c r="C223" s="4"/>
      <c r="D223" s="4"/>
      <c r="E223" s="4"/>
      <c r="F223" s="4"/>
      <c r="G223" s="4"/>
      <c r="H223" s="4"/>
      <c r="I223" s="4"/>
      <c r="J223" s="19"/>
      <c r="K223" s="4"/>
      <c r="L223" s="4"/>
      <c r="M223" s="4"/>
      <c r="N223" s="4"/>
      <c r="O223" s="4"/>
      <c r="P223" s="4"/>
      <c r="Q223" s="4"/>
      <c r="R223" s="4"/>
      <c r="S223" s="4"/>
      <c r="T223" s="4"/>
      <c r="U223" s="4"/>
      <c r="V223" s="4"/>
      <c r="W223" s="4"/>
      <c r="X223" s="4"/>
      <c r="Y223" s="4"/>
      <c r="Z223" s="4"/>
      <c r="AA223" s="4"/>
      <c r="AB223" s="4"/>
      <c r="AC223" s="4"/>
      <c r="AD223" s="4"/>
      <c r="AE223" s="4"/>
      <c r="AF223" s="4"/>
    </row>
    <row r="224" spans="1:32" ht="15.75" customHeight="1">
      <c r="A224" s="4"/>
      <c r="B224" s="4"/>
      <c r="C224" s="4"/>
      <c r="D224" s="4"/>
      <c r="E224" s="4"/>
      <c r="F224" s="4"/>
      <c r="G224" s="4"/>
      <c r="H224" s="4"/>
      <c r="I224" s="4"/>
      <c r="J224" s="19"/>
      <c r="K224" s="4"/>
      <c r="L224" s="4"/>
      <c r="M224" s="4"/>
      <c r="N224" s="4"/>
      <c r="O224" s="4"/>
      <c r="P224" s="4"/>
      <c r="Q224" s="4"/>
      <c r="R224" s="4"/>
      <c r="S224" s="4"/>
      <c r="T224" s="4"/>
      <c r="U224" s="4"/>
      <c r="V224" s="4"/>
      <c r="W224" s="4"/>
      <c r="X224" s="4"/>
      <c r="Y224" s="4"/>
      <c r="Z224" s="4"/>
      <c r="AA224" s="4"/>
      <c r="AB224" s="4"/>
      <c r="AC224" s="4"/>
      <c r="AD224" s="4"/>
      <c r="AE224" s="4"/>
      <c r="AF224" s="4"/>
    </row>
    <row r="225" spans="1:32" ht="15.75" customHeight="1">
      <c r="A225" s="4"/>
      <c r="B225" s="4"/>
      <c r="C225" s="4"/>
      <c r="D225" s="4"/>
      <c r="E225" s="4"/>
      <c r="F225" s="4"/>
      <c r="G225" s="4"/>
      <c r="H225" s="4"/>
      <c r="I225" s="4"/>
      <c r="J225" s="19"/>
      <c r="K225" s="4"/>
      <c r="L225" s="4"/>
      <c r="M225" s="4"/>
      <c r="N225" s="4"/>
      <c r="O225" s="4"/>
      <c r="P225" s="4"/>
      <c r="Q225" s="4"/>
      <c r="R225" s="4"/>
      <c r="S225" s="4"/>
      <c r="T225" s="4"/>
      <c r="U225" s="4"/>
      <c r="V225" s="4"/>
      <c r="W225" s="4"/>
      <c r="X225" s="4"/>
      <c r="Y225" s="4"/>
      <c r="Z225" s="4"/>
      <c r="AA225" s="4"/>
      <c r="AB225" s="4"/>
      <c r="AC225" s="4"/>
      <c r="AD225" s="4"/>
      <c r="AE225" s="4"/>
      <c r="AF225" s="4"/>
    </row>
    <row r="226" spans="1:32" ht="15.75" customHeight="1">
      <c r="A226" s="4"/>
      <c r="B226" s="4"/>
      <c r="C226" s="4"/>
      <c r="D226" s="4"/>
      <c r="E226" s="4"/>
      <c r="F226" s="4"/>
      <c r="G226" s="4"/>
      <c r="H226" s="4"/>
      <c r="I226" s="4"/>
      <c r="J226" s="19"/>
      <c r="K226" s="4"/>
      <c r="L226" s="4"/>
      <c r="M226" s="4"/>
      <c r="N226" s="4"/>
      <c r="O226" s="4"/>
      <c r="P226" s="4"/>
      <c r="Q226" s="4"/>
      <c r="R226" s="4"/>
      <c r="S226" s="4"/>
      <c r="T226" s="4"/>
      <c r="U226" s="4"/>
      <c r="V226" s="4"/>
      <c r="W226" s="4"/>
      <c r="X226" s="4"/>
      <c r="Y226" s="4"/>
      <c r="Z226" s="4"/>
      <c r="AA226" s="4"/>
      <c r="AB226" s="4"/>
      <c r="AC226" s="4"/>
      <c r="AD226" s="4"/>
      <c r="AE226" s="4"/>
      <c r="AF226" s="4"/>
    </row>
    <row r="227" spans="1:32" ht="15.75" customHeight="1">
      <c r="A227" s="4"/>
      <c r="B227" s="4"/>
      <c r="C227" s="4"/>
      <c r="D227" s="4"/>
      <c r="E227" s="4"/>
      <c r="F227" s="4"/>
      <c r="G227" s="4"/>
      <c r="H227" s="4"/>
      <c r="I227" s="4"/>
      <c r="J227" s="19"/>
      <c r="K227" s="4"/>
      <c r="L227" s="4"/>
      <c r="M227" s="4"/>
      <c r="N227" s="4"/>
      <c r="O227" s="4"/>
      <c r="P227" s="4"/>
      <c r="Q227" s="4"/>
      <c r="R227" s="4"/>
      <c r="S227" s="4"/>
      <c r="T227" s="4"/>
      <c r="U227" s="4"/>
      <c r="V227" s="4"/>
      <c r="W227" s="4"/>
      <c r="X227" s="4"/>
      <c r="Y227" s="4"/>
      <c r="Z227" s="4"/>
      <c r="AA227" s="4"/>
      <c r="AB227" s="4"/>
      <c r="AC227" s="4"/>
      <c r="AD227" s="4"/>
      <c r="AE227" s="4"/>
      <c r="AF227" s="4"/>
    </row>
    <row r="228" spans="1:32" ht="15.75" customHeight="1">
      <c r="A228" s="4"/>
      <c r="B228" s="4"/>
      <c r="C228" s="4"/>
      <c r="D228" s="4"/>
      <c r="E228" s="4"/>
      <c r="F228" s="4"/>
      <c r="G228" s="4"/>
      <c r="H228" s="4"/>
      <c r="I228" s="4"/>
      <c r="J228" s="19"/>
      <c r="K228" s="4"/>
      <c r="L228" s="4"/>
      <c r="M228" s="4"/>
      <c r="N228" s="4"/>
      <c r="O228" s="4"/>
      <c r="P228" s="4"/>
      <c r="Q228" s="4"/>
      <c r="R228" s="4"/>
      <c r="S228" s="4"/>
      <c r="T228" s="4"/>
      <c r="U228" s="4"/>
      <c r="V228" s="4"/>
      <c r="W228" s="4"/>
      <c r="X228" s="4"/>
      <c r="Y228" s="4"/>
      <c r="Z228" s="4"/>
      <c r="AA228" s="4"/>
      <c r="AB228" s="4"/>
      <c r="AC228" s="4"/>
      <c r="AD228" s="4"/>
      <c r="AE228" s="4"/>
      <c r="AF228" s="4"/>
    </row>
    <row r="229" spans="1:32" ht="15.75" customHeight="1">
      <c r="A229" s="4"/>
      <c r="B229" s="4"/>
      <c r="C229" s="4"/>
      <c r="D229" s="4"/>
      <c r="E229" s="4"/>
      <c r="F229" s="4"/>
      <c r="G229" s="4"/>
      <c r="H229" s="4"/>
      <c r="I229" s="4"/>
      <c r="J229" s="19"/>
      <c r="K229" s="4"/>
      <c r="L229" s="4"/>
      <c r="M229" s="4"/>
      <c r="N229" s="4"/>
      <c r="O229" s="4"/>
      <c r="P229" s="4"/>
      <c r="Q229" s="4"/>
      <c r="R229" s="4"/>
      <c r="S229" s="4"/>
      <c r="T229" s="4"/>
      <c r="U229" s="4"/>
      <c r="V229" s="4"/>
      <c r="W229" s="4"/>
      <c r="X229" s="4"/>
      <c r="Y229" s="4"/>
      <c r="Z229" s="4"/>
      <c r="AA229" s="4"/>
      <c r="AB229" s="4"/>
      <c r="AC229" s="4"/>
      <c r="AD229" s="4"/>
      <c r="AE229" s="4"/>
      <c r="AF229" s="4"/>
    </row>
    <row r="230" spans="1:32" ht="15.75" customHeight="1">
      <c r="A230" s="4"/>
      <c r="B230" s="4"/>
      <c r="C230" s="4"/>
      <c r="D230" s="4"/>
      <c r="E230" s="4"/>
      <c r="F230" s="4"/>
      <c r="G230" s="4"/>
      <c r="H230" s="4"/>
      <c r="I230" s="4"/>
      <c r="J230" s="19"/>
      <c r="K230" s="4"/>
      <c r="L230" s="4"/>
      <c r="M230" s="4"/>
      <c r="N230" s="4"/>
      <c r="O230" s="4"/>
      <c r="P230" s="4"/>
      <c r="Q230" s="4"/>
      <c r="R230" s="4"/>
      <c r="S230" s="4"/>
      <c r="T230" s="4"/>
      <c r="U230" s="4"/>
      <c r="V230" s="4"/>
      <c r="W230" s="4"/>
      <c r="X230" s="4"/>
      <c r="Y230" s="4"/>
      <c r="Z230" s="4"/>
      <c r="AA230" s="4"/>
      <c r="AB230" s="4"/>
      <c r="AC230" s="4"/>
      <c r="AD230" s="4"/>
      <c r="AE230" s="4"/>
      <c r="AF230" s="4"/>
    </row>
    <row r="231" spans="1:32" ht="15.75" customHeight="1">
      <c r="A231" s="4"/>
      <c r="B231" s="4"/>
      <c r="C231" s="4"/>
      <c r="D231" s="4"/>
      <c r="E231" s="4"/>
      <c r="F231" s="4"/>
      <c r="G231" s="4"/>
      <c r="H231" s="4"/>
      <c r="I231" s="4"/>
      <c r="J231" s="19"/>
      <c r="K231" s="4"/>
      <c r="L231" s="4"/>
      <c r="M231" s="4"/>
      <c r="N231" s="4"/>
      <c r="O231" s="4"/>
      <c r="P231" s="4"/>
      <c r="Q231" s="4"/>
      <c r="R231" s="4"/>
      <c r="S231" s="4"/>
      <c r="T231" s="4"/>
      <c r="U231" s="4"/>
      <c r="V231" s="4"/>
      <c r="W231" s="4"/>
      <c r="X231" s="4"/>
      <c r="Y231" s="4"/>
      <c r="Z231" s="4"/>
      <c r="AA231" s="4"/>
      <c r="AB231" s="4"/>
      <c r="AC231" s="4"/>
      <c r="AD231" s="4"/>
      <c r="AE231" s="4"/>
      <c r="AF231" s="4"/>
    </row>
    <row r="232" spans="1:32" ht="15.75" customHeight="1">
      <c r="A232" s="4"/>
      <c r="B232" s="4"/>
      <c r="C232" s="4"/>
      <c r="D232" s="4"/>
      <c r="E232" s="4"/>
      <c r="F232" s="4"/>
      <c r="G232" s="4"/>
      <c r="H232" s="4"/>
      <c r="I232" s="4"/>
      <c r="J232" s="19"/>
      <c r="K232" s="4"/>
      <c r="L232" s="4"/>
      <c r="M232" s="4"/>
      <c r="N232" s="4"/>
      <c r="O232" s="4"/>
      <c r="P232" s="4"/>
      <c r="Q232" s="4"/>
      <c r="R232" s="4"/>
      <c r="S232" s="4"/>
      <c r="T232" s="4"/>
      <c r="U232" s="4"/>
      <c r="V232" s="4"/>
      <c r="W232" s="4"/>
      <c r="X232" s="4"/>
      <c r="Y232" s="4"/>
      <c r="Z232" s="4"/>
      <c r="AA232" s="4"/>
      <c r="AB232" s="4"/>
      <c r="AC232" s="4"/>
      <c r="AD232" s="4"/>
      <c r="AE232" s="4"/>
      <c r="AF232" s="4"/>
    </row>
    <row r="233" spans="1:32" ht="15.75" customHeight="1">
      <c r="A233" s="4"/>
      <c r="B233" s="4"/>
      <c r="C233" s="4"/>
      <c r="D233" s="4"/>
      <c r="E233" s="4"/>
      <c r="F233" s="4"/>
      <c r="G233" s="4"/>
      <c r="H233" s="4"/>
      <c r="I233" s="4"/>
      <c r="J233" s="19"/>
      <c r="K233" s="4"/>
      <c r="L233" s="4"/>
      <c r="M233" s="4"/>
      <c r="N233" s="4"/>
      <c r="O233" s="4"/>
      <c r="P233" s="4"/>
      <c r="Q233" s="4"/>
      <c r="R233" s="4"/>
      <c r="S233" s="4"/>
      <c r="T233" s="4"/>
      <c r="U233" s="4"/>
      <c r="V233" s="4"/>
      <c r="W233" s="4"/>
      <c r="X233" s="4"/>
      <c r="Y233" s="4"/>
      <c r="Z233" s="4"/>
      <c r="AA233" s="4"/>
      <c r="AB233" s="4"/>
      <c r="AC233" s="4"/>
      <c r="AD233" s="4"/>
      <c r="AE233" s="4"/>
      <c r="AF233" s="4"/>
    </row>
    <row r="234" spans="1:32" ht="15.75" customHeight="1">
      <c r="A234" s="4"/>
      <c r="B234" s="4"/>
      <c r="C234" s="4"/>
      <c r="D234" s="4"/>
      <c r="E234" s="4"/>
      <c r="F234" s="4"/>
      <c r="G234" s="4"/>
      <c r="H234" s="4"/>
      <c r="I234" s="4"/>
      <c r="J234" s="19"/>
      <c r="K234" s="4"/>
      <c r="L234" s="4"/>
      <c r="M234" s="4"/>
      <c r="N234" s="4"/>
      <c r="O234" s="4"/>
      <c r="P234" s="4"/>
      <c r="Q234" s="4"/>
      <c r="R234" s="4"/>
      <c r="S234" s="4"/>
      <c r="T234" s="4"/>
      <c r="U234" s="4"/>
      <c r="V234" s="4"/>
      <c r="W234" s="4"/>
      <c r="X234" s="4"/>
      <c r="Y234" s="4"/>
      <c r="Z234" s="4"/>
      <c r="AA234" s="4"/>
      <c r="AB234" s="4"/>
      <c r="AC234" s="4"/>
      <c r="AD234" s="4"/>
      <c r="AE234" s="4"/>
      <c r="AF234" s="4"/>
    </row>
    <row r="235" spans="1:32" ht="15.75" customHeight="1">
      <c r="A235" s="4"/>
      <c r="B235" s="4"/>
      <c r="C235" s="4"/>
      <c r="D235" s="4"/>
      <c r="E235" s="4"/>
      <c r="F235" s="4"/>
      <c r="G235" s="4"/>
      <c r="H235" s="4"/>
      <c r="I235" s="4"/>
      <c r="J235" s="19"/>
      <c r="K235" s="4"/>
      <c r="L235" s="4"/>
      <c r="M235" s="4"/>
      <c r="N235" s="4"/>
      <c r="O235" s="4"/>
      <c r="P235" s="4"/>
      <c r="Q235" s="4"/>
      <c r="R235" s="4"/>
      <c r="S235" s="4"/>
      <c r="T235" s="4"/>
      <c r="U235" s="4"/>
      <c r="V235" s="4"/>
      <c r="W235" s="4"/>
      <c r="X235" s="4"/>
      <c r="Y235" s="4"/>
      <c r="Z235" s="4"/>
      <c r="AA235" s="4"/>
      <c r="AB235" s="4"/>
      <c r="AC235" s="4"/>
      <c r="AD235" s="4"/>
      <c r="AE235" s="4"/>
      <c r="AF235" s="4"/>
    </row>
    <row r="236" spans="1:32" ht="15.75" customHeight="1">
      <c r="A236" s="4"/>
      <c r="B236" s="4"/>
      <c r="C236" s="4"/>
      <c r="D236" s="4"/>
      <c r="E236" s="4"/>
      <c r="F236" s="4"/>
      <c r="G236" s="4"/>
      <c r="H236" s="4"/>
      <c r="I236" s="4"/>
      <c r="J236" s="19"/>
      <c r="K236" s="4"/>
      <c r="L236" s="4"/>
      <c r="M236" s="4"/>
      <c r="N236" s="4"/>
      <c r="O236" s="4"/>
      <c r="P236" s="4"/>
      <c r="Q236" s="4"/>
      <c r="R236" s="4"/>
      <c r="S236" s="4"/>
      <c r="T236" s="4"/>
      <c r="U236" s="4"/>
      <c r="V236" s="4"/>
      <c r="W236" s="4"/>
      <c r="X236" s="4"/>
      <c r="Y236" s="4"/>
      <c r="Z236" s="4"/>
      <c r="AA236" s="4"/>
      <c r="AB236" s="4"/>
      <c r="AC236" s="4"/>
      <c r="AD236" s="4"/>
      <c r="AE236" s="4"/>
      <c r="AF236" s="4"/>
    </row>
    <row r="237" spans="1:32" ht="15.75" customHeight="1">
      <c r="A237" s="4"/>
      <c r="B237" s="4"/>
      <c r="C237" s="4"/>
      <c r="D237" s="4"/>
      <c r="E237" s="4"/>
      <c r="F237" s="4"/>
      <c r="G237" s="4"/>
      <c r="H237" s="4"/>
      <c r="I237" s="4"/>
      <c r="J237" s="19"/>
      <c r="K237" s="4"/>
      <c r="L237" s="4"/>
      <c r="M237" s="4"/>
      <c r="N237" s="4"/>
      <c r="O237" s="4"/>
      <c r="P237" s="4"/>
      <c r="Q237" s="4"/>
      <c r="R237" s="4"/>
      <c r="S237" s="4"/>
      <c r="T237" s="4"/>
      <c r="U237" s="4"/>
      <c r="V237" s="4"/>
      <c r="W237" s="4"/>
      <c r="X237" s="4"/>
      <c r="Y237" s="4"/>
      <c r="Z237" s="4"/>
      <c r="AA237" s="4"/>
      <c r="AB237" s="4"/>
      <c r="AC237" s="4"/>
      <c r="AD237" s="4"/>
      <c r="AE237" s="4"/>
      <c r="AF237" s="4"/>
    </row>
    <row r="238" spans="1:32" ht="15.75" customHeight="1">
      <c r="A238" s="4"/>
      <c r="B238" s="4"/>
      <c r="C238" s="4"/>
      <c r="D238" s="4"/>
      <c r="E238" s="4"/>
      <c r="F238" s="4"/>
      <c r="G238" s="4"/>
      <c r="H238" s="4"/>
      <c r="I238" s="4"/>
      <c r="J238" s="19"/>
      <c r="K238" s="4"/>
      <c r="L238" s="4"/>
      <c r="M238" s="4"/>
      <c r="N238" s="4"/>
      <c r="O238" s="4"/>
      <c r="P238" s="4"/>
      <c r="Q238" s="4"/>
      <c r="R238" s="4"/>
      <c r="S238" s="4"/>
      <c r="T238" s="4"/>
      <c r="U238" s="4"/>
      <c r="V238" s="4"/>
      <c r="W238" s="4"/>
      <c r="X238" s="4"/>
      <c r="Y238" s="4"/>
      <c r="Z238" s="4"/>
      <c r="AA238" s="4"/>
      <c r="AB238" s="4"/>
      <c r="AC238" s="4"/>
      <c r="AD238" s="4"/>
      <c r="AE238" s="4"/>
      <c r="AF238" s="4"/>
    </row>
    <row r="239" spans="1:32" ht="15.75" customHeight="1">
      <c r="A239" s="4"/>
      <c r="B239" s="4"/>
      <c r="C239" s="4"/>
      <c r="D239" s="4"/>
      <c r="E239" s="4"/>
      <c r="F239" s="4"/>
      <c r="G239" s="4"/>
      <c r="H239" s="4"/>
      <c r="I239" s="4"/>
      <c r="J239" s="19"/>
      <c r="K239" s="4"/>
      <c r="L239" s="4"/>
      <c r="M239" s="4"/>
      <c r="N239" s="4"/>
      <c r="O239" s="4"/>
      <c r="P239" s="4"/>
      <c r="Q239" s="4"/>
      <c r="R239" s="4"/>
      <c r="S239" s="4"/>
      <c r="T239" s="4"/>
      <c r="U239" s="4"/>
      <c r="V239" s="4"/>
      <c r="W239" s="4"/>
      <c r="X239" s="4"/>
      <c r="Y239" s="4"/>
      <c r="Z239" s="4"/>
      <c r="AA239" s="4"/>
      <c r="AB239" s="4"/>
      <c r="AC239" s="4"/>
      <c r="AD239" s="4"/>
      <c r="AE239" s="4"/>
      <c r="AF239" s="4"/>
    </row>
    <row r="240" spans="1:32" ht="15.75" customHeight="1">
      <c r="A240" s="4"/>
      <c r="B240" s="4"/>
      <c r="C240" s="4"/>
      <c r="D240" s="4"/>
      <c r="E240" s="4"/>
      <c r="F240" s="4"/>
      <c r="G240" s="4"/>
      <c r="H240" s="4"/>
      <c r="I240" s="4"/>
      <c r="J240" s="19"/>
      <c r="K240" s="4"/>
      <c r="L240" s="4"/>
      <c r="M240" s="4"/>
      <c r="N240" s="4"/>
      <c r="O240" s="4"/>
      <c r="P240" s="4"/>
      <c r="Q240" s="4"/>
      <c r="R240" s="4"/>
      <c r="S240" s="4"/>
      <c r="T240" s="4"/>
      <c r="U240" s="4"/>
      <c r="V240" s="4"/>
      <c r="W240" s="4"/>
      <c r="X240" s="4"/>
      <c r="Y240" s="4"/>
      <c r="Z240" s="4"/>
      <c r="AA240" s="4"/>
      <c r="AB240" s="4"/>
      <c r="AC240" s="4"/>
      <c r="AD240" s="4"/>
      <c r="AE240" s="4"/>
      <c r="AF240" s="4"/>
    </row>
    <row r="241" spans="1:32" ht="15.75" customHeight="1">
      <c r="A241" s="4"/>
      <c r="B241" s="4"/>
      <c r="C241" s="4"/>
      <c r="D241" s="4"/>
      <c r="E241" s="4"/>
      <c r="F241" s="4"/>
      <c r="G241" s="4"/>
      <c r="H241" s="4"/>
      <c r="I241" s="4"/>
      <c r="J241" s="19"/>
      <c r="K241" s="4"/>
      <c r="L241" s="4"/>
      <c r="M241" s="4"/>
      <c r="N241" s="4"/>
      <c r="O241" s="4"/>
      <c r="P241" s="4"/>
      <c r="Q241" s="4"/>
      <c r="R241" s="4"/>
      <c r="S241" s="4"/>
      <c r="T241" s="4"/>
      <c r="U241" s="4"/>
      <c r="V241" s="4"/>
      <c r="W241" s="4"/>
      <c r="X241" s="4"/>
      <c r="Y241" s="4"/>
      <c r="Z241" s="4"/>
      <c r="AA241" s="4"/>
      <c r="AB241" s="4"/>
      <c r="AC241" s="4"/>
      <c r="AD241" s="4"/>
      <c r="AE241" s="4"/>
      <c r="AF241" s="4"/>
    </row>
    <row r="242" spans="1:32" ht="15.75" customHeight="1">
      <c r="A242" s="4"/>
      <c r="B242" s="4"/>
      <c r="C242" s="4"/>
      <c r="D242" s="4"/>
      <c r="E242" s="4"/>
      <c r="F242" s="4"/>
      <c r="G242" s="4"/>
      <c r="H242" s="4"/>
      <c r="I242" s="4"/>
      <c r="J242" s="19"/>
      <c r="K242" s="4"/>
      <c r="L242" s="4"/>
      <c r="M242" s="4"/>
      <c r="N242" s="4"/>
      <c r="O242" s="4"/>
      <c r="P242" s="4"/>
      <c r="Q242" s="4"/>
      <c r="R242" s="4"/>
      <c r="S242" s="4"/>
      <c r="T242" s="4"/>
      <c r="U242" s="4"/>
      <c r="V242" s="4"/>
      <c r="W242" s="4"/>
      <c r="X242" s="4"/>
      <c r="Y242" s="4"/>
      <c r="Z242" s="4"/>
      <c r="AA242" s="4"/>
      <c r="AB242" s="4"/>
      <c r="AC242" s="4"/>
      <c r="AD242" s="4"/>
      <c r="AE242" s="4"/>
      <c r="AF242" s="4"/>
    </row>
    <row r="243" spans="1:32" ht="15.75" customHeight="1">
      <c r="A243" s="4"/>
      <c r="B243" s="4"/>
      <c r="C243" s="4"/>
      <c r="D243" s="4"/>
      <c r="E243" s="4"/>
      <c r="F243" s="4"/>
      <c r="G243" s="4"/>
      <c r="H243" s="4"/>
      <c r="I243" s="4"/>
      <c r="J243" s="19"/>
      <c r="K243" s="4"/>
      <c r="L243" s="4"/>
      <c r="M243" s="4"/>
      <c r="N243" s="4"/>
      <c r="O243" s="4"/>
      <c r="P243" s="4"/>
      <c r="Q243" s="4"/>
      <c r="R243" s="4"/>
      <c r="S243" s="4"/>
      <c r="T243" s="4"/>
      <c r="U243" s="4"/>
      <c r="V243" s="4"/>
      <c r="W243" s="4"/>
      <c r="X243" s="4"/>
      <c r="Y243" s="4"/>
      <c r="Z243" s="4"/>
      <c r="AA243" s="4"/>
      <c r="AB243" s="4"/>
      <c r="AC243" s="4"/>
      <c r="AD243" s="4"/>
      <c r="AE243" s="4"/>
      <c r="AF243" s="4"/>
    </row>
    <row r="244" spans="1:32" ht="15.75" customHeight="1">
      <c r="A244" s="4"/>
      <c r="B244" s="4"/>
      <c r="C244" s="4"/>
      <c r="D244" s="4"/>
      <c r="E244" s="4"/>
      <c r="F244" s="4"/>
      <c r="G244" s="4"/>
      <c r="H244" s="4"/>
      <c r="I244" s="4"/>
      <c r="J244" s="19"/>
      <c r="K244" s="4"/>
      <c r="L244" s="4"/>
      <c r="M244" s="4"/>
      <c r="N244" s="4"/>
      <c r="O244" s="4"/>
      <c r="P244" s="4"/>
      <c r="Q244" s="4"/>
      <c r="R244" s="4"/>
      <c r="S244" s="4"/>
      <c r="T244" s="4"/>
      <c r="U244" s="4"/>
      <c r="V244" s="4"/>
      <c r="W244" s="4"/>
      <c r="X244" s="4"/>
      <c r="Y244" s="4"/>
      <c r="Z244" s="4"/>
      <c r="AA244" s="4"/>
      <c r="AB244" s="4"/>
      <c r="AC244" s="4"/>
      <c r="AD244" s="4"/>
      <c r="AE244" s="4"/>
      <c r="AF244" s="4"/>
    </row>
    <row r="245" spans="1:32" ht="15.75" customHeight="1">
      <c r="A245" s="4"/>
      <c r="B245" s="4"/>
      <c r="C245" s="4"/>
      <c r="D245" s="4"/>
      <c r="E245" s="4"/>
      <c r="F245" s="4"/>
      <c r="G245" s="4"/>
      <c r="H245" s="4"/>
      <c r="I245" s="4"/>
      <c r="J245" s="19"/>
      <c r="K245" s="4"/>
      <c r="L245" s="4"/>
      <c r="M245" s="4"/>
      <c r="N245" s="4"/>
      <c r="O245" s="4"/>
      <c r="P245" s="4"/>
      <c r="Q245" s="4"/>
      <c r="R245" s="4"/>
      <c r="S245" s="4"/>
      <c r="T245" s="4"/>
      <c r="U245" s="4"/>
      <c r="V245" s="4"/>
      <c r="W245" s="4"/>
      <c r="X245" s="4"/>
      <c r="Y245" s="4"/>
      <c r="Z245" s="4"/>
      <c r="AA245" s="4"/>
      <c r="AB245" s="4"/>
      <c r="AC245" s="4"/>
      <c r="AD245" s="4"/>
      <c r="AE245" s="4"/>
      <c r="AF245" s="4"/>
    </row>
    <row r="246" spans="1:32" ht="15.75" customHeight="1">
      <c r="A246" s="4"/>
      <c r="B246" s="4"/>
      <c r="C246" s="4"/>
      <c r="D246" s="4"/>
      <c r="E246" s="4"/>
      <c r="F246" s="4"/>
      <c r="G246" s="4"/>
      <c r="H246" s="4"/>
      <c r="I246" s="4"/>
      <c r="J246" s="19"/>
      <c r="K246" s="4"/>
      <c r="L246" s="4"/>
      <c r="M246" s="4"/>
      <c r="N246" s="4"/>
      <c r="O246" s="4"/>
      <c r="P246" s="4"/>
      <c r="Q246" s="4"/>
      <c r="R246" s="4"/>
      <c r="S246" s="4"/>
      <c r="T246" s="4"/>
      <c r="U246" s="4"/>
      <c r="V246" s="4"/>
      <c r="W246" s="4"/>
      <c r="X246" s="4"/>
      <c r="Y246" s="4"/>
      <c r="Z246" s="4"/>
      <c r="AA246" s="4"/>
      <c r="AB246" s="4"/>
      <c r="AC246" s="4"/>
      <c r="AD246" s="4"/>
      <c r="AE246" s="4"/>
      <c r="AF246" s="4"/>
    </row>
    <row r="247" spans="1:32" ht="15.75" customHeight="1">
      <c r="A247" s="4"/>
      <c r="B247" s="4"/>
      <c r="C247" s="4"/>
      <c r="D247" s="4"/>
      <c r="E247" s="4"/>
      <c r="F247" s="4"/>
      <c r="G247" s="4"/>
      <c r="H247" s="4"/>
      <c r="I247" s="4"/>
      <c r="J247" s="19"/>
      <c r="K247" s="4"/>
      <c r="L247" s="4"/>
      <c r="M247" s="4"/>
      <c r="N247" s="4"/>
      <c r="O247" s="4"/>
      <c r="P247" s="4"/>
      <c r="Q247" s="4"/>
      <c r="R247" s="4"/>
      <c r="S247" s="4"/>
      <c r="T247" s="4"/>
      <c r="U247" s="4"/>
      <c r="V247" s="4"/>
      <c r="W247" s="4"/>
      <c r="X247" s="4"/>
      <c r="Y247" s="4"/>
      <c r="Z247" s="4"/>
      <c r="AA247" s="4"/>
      <c r="AB247" s="4"/>
      <c r="AC247" s="4"/>
      <c r="AD247" s="4"/>
      <c r="AE247" s="4"/>
      <c r="AF247" s="4"/>
    </row>
    <row r="248" spans="1:32" ht="15.75" customHeight="1">
      <c r="A248" s="4"/>
      <c r="B248" s="4"/>
      <c r="C248" s="4"/>
      <c r="D248" s="4"/>
      <c r="E248" s="4"/>
      <c r="F248" s="4"/>
      <c r="G248" s="4"/>
      <c r="H248" s="4"/>
      <c r="I248" s="4"/>
      <c r="J248" s="19"/>
      <c r="K248" s="4"/>
      <c r="L248" s="4"/>
      <c r="M248" s="4"/>
      <c r="N248" s="4"/>
      <c r="O248" s="4"/>
      <c r="P248" s="4"/>
      <c r="Q248" s="4"/>
      <c r="R248" s="4"/>
      <c r="S248" s="4"/>
      <c r="T248" s="4"/>
      <c r="U248" s="4"/>
      <c r="V248" s="4"/>
      <c r="W248" s="4"/>
      <c r="X248" s="4"/>
      <c r="Y248" s="4"/>
      <c r="Z248" s="4"/>
      <c r="AA248" s="4"/>
      <c r="AB248" s="4"/>
      <c r="AC248" s="4"/>
      <c r="AD248" s="4"/>
      <c r="AE248" s="4"/>
      <c r="AF248" s="4"/>
    </row>
    <row r="249" spans="1:32" ht="15.75" customHeight="1">
      <c r="A249" s="4"/>
      <c r="B249" s="4"/>
      <c r="C249" s="4"/>
      <c r="D249" s="4"/>
      <c r="E249" s="4"/>
      <c r="F249" s="4"/>
      <c r="G249" s="4"/>
      <c r="H249" s="4"/>
      <c r="I249" s="4"/>
      <c r="J249" s="19"/>
      <c r="K249" s="4"/>
      <c r="L249" s="4"/>
      <c r="M249" s="4"/>
      <c r="N249" s="4"/>
      <c r="O249" s="4"/>
      <c r="P249" s="4"/>
      <c r="Q249" s="4"/>
      <c r="R249" s="4"/>
      <c r="S249" s="4"/>
      <c r="T249" s="4"/>
      <c r="U249" s="4"/>
      <c r="V249" s="4"/>
      <c r="W249" s="4"/>
      <c r="X249" s="4"/>
      <c r="Y249" s="4"/>
      <c r="Z249" s="4"/>
      <c r="AA249" s="4"/>
      <c r="AB249" s="4"/>
      <c r="AC249" s="4"/>
      <c r="AD249" s="4"/>
      <c r="AE249" s="4"/>
      <c r="AF249" s="4"/>
    </row>
    <row r="250" spans="1:32" ht="15.75" customHeight="1">
      <c r="A250" s="4"/>
      <c r="B250" s="4"/>
      <c r="C250" s="4"/>
      <c r="D250" s="4"/>
      <c r="E250" s="4"/>
      <c r="F250" s="4"/>
      <c r="G250" s="4"/>
      <c r="H250" s="4"/>
      <c r="I250" s="4"/>
      <c r="J250" s="19"/>
      <c r="K250" s="4"/>
      <c r="L250" s="4"/>
      <c r="M250" s="4"/>
      <c r="N250" s="4"/>
      <c r="O250" s="4"/>
      <c r="P250" s="4"/>
      <c r="Q250" s="4"/>
      <c r="R250" s="4"/>
      <c r="S250" s="4"/>
      <c r="T250" s="4"/>
      <c r="U250" s="4"/>
      <c r="V250" s="4"/>
      <c r="W250" s="4"/>
      <c r="X250" s="4"/>
      <c r="Y250" s="4"/>
      <c r="Z250" s="4"/>
      <c r="AA250" s="4"/>
      <c r="AB250" s="4"/>
      <c r="AC250" s="4"/>
      <c r="AD250" s="4"/>
      <c r="AE250" s="4"/>
      <c r="AF250" s="4"/>
    </row>
    <row r="251" spans="1:32" ht="15.75" customHeight="1">
      <c r="A251" s="4"/>
      <c r="B251" s="4"/>
      <c r="C251" s="4"/>
      <c r="D251" s="4"/>
      <c r="E251" s="4"/>
      <c r="F251" s="4"/>
      <c r="G251" s="4"/>
      <c r="H251" s="4"/>
      <c r="I251" s="4"/>
      <c r="J251" s="19"/>
      <c r="K251" s="4"/>
      <c r="L251" s="4"/>
      <c r="M251" s="4"/>
      <c r="N251" s="4"/>
      <c r="O251" s="4"/>
      <c r="P251" s="4"/>
      <c r="Q251" s="4"/>
      <c r="R251" s="4"/>
      <c r="S251" s="4"/>
      <c r="T251" s="4"/>
      <c r="U251" s="4"/>
      <c r="V251" s="4"/>
      <c r="W251" s="4"/>
      <c r="X251" s="4"/>
      <c r="Y251" s="4"/>
      <c r="Z251" s="4"/>
      <c r="AA251" s="4"/>
      <c r="AB251" s="4"/>
      <c r="AC251" s="4"/>
      <c r="AD251" s="4"/>
      <c r="AE251" s="4"/>
      <c r="AF251" s="4"/>
    </row>
    <row r="252" spans="1:32" ht="15.75" customHeight="1">
      <c r="A252" s="4"/>
      <c r="B252" s="4"/>
      <c r="C252" s="4"/>
      <c r="D252" s="4"/>
      <c r="E252" s="4"/>
      <c r="F252" s="4"/>
      <c r="G252" s="4"/>
      <c r="H252" s="4"/>
      <c r="I252" s="4"/>
      <c r="J252" s="19"/>
      <c r="K252" s="4"/>
      <c r="L252" s="4"/>
      <c r="M252" s="4"/>
      <c r="N252" s="4"/>
      <c r="O252" s="4"/>
      <c r="P252" s="4"/>
      <c r="Q252" s="4"/>
      <c r="R252" s="4"/>
      <c r="S252" s="4"/>
      <c r="T252" s="4"/>
      <c r="U252" s="4"/>
      <c r="V252" s="4"/>
      <c r="W252" s="4"/>
      <c r="X252" s="4"/>
      <c r="Y252" s="4"/>
      <c r="Z252" s="4"/>
      <c r="AA252" s="4"/>
      <c r="AB252" s="4"/>
      <c r="AC252" s="4"/>
      <c r="AD252" s="4"/>
      <c r="AE252" s="4"/>
      <c r="AF252" s="4"/>
    </row>
    <row r="253" spans="1:32" ht="15.75" customHeight="1">
      <c r="A253" s="4"/>
      <c r="B253" s="4"/>
      <c r="C253" s="4"/>
      <c r="D253" s="4"/>
      <c r="E253" s="4"/>
      <c r="F253" s="4"/>
      <c r="G253" s="4"/>
      <c r="H253" s="4"/>
      <c r="I253" s="4"/>
      <c r="J253" s="19"/>
      <c r="K253" s="4"/>
      <c r="L253" s="4"/>
      <c r="M253" s="4"/>
      <c r="N253" s="4"/>
      <c r="O253" s="4"/>
      <c r="P253" s="4"/>
      <c r="Q253" s="4"/>
      <c r="R253" s="4"/>
      <c r="S253" s="4"/>
      <c r="T253" s="4"/>
      <c r="U253" s="4"/>
      <c r="V253" s="4"/>
      <c r="W253" s="4"/>
      <c r="X253" s="4"/>
      <c r="Y253" s="4"/>
      <c r="Z253" s="4"/>
      <c r="AA253" s="4"/>
      <c r="AB253" s="4"/>
      <c r="AC253" s="4"/>
      <c r="AD253" s="4"/>
      <c r="AE253" s="4"/>
      <c r="AF253" s="4"/>
    </row>
    <row r="254" spans="1:32" ht="15.75" customHeight="1">
      <c r="A254" s="4"/>
      <c r="B254" s="4"/>
      <c r="C254" s="4"/>
      <c r="D254" s="4"/>
      <c r="E254" s="4"/>
      <c r="F254" s="4"/>
      <c r="G254" s="4"/>
      <c r="H254" s="4"/>
      <c r="I254" s="4"/>
      <c r="J254" s="19"/>
      <c r="K254" s="4"/>
      <c r="L254" s="4"/>
      <c r="M254" s="4"/>
      <c r="N254" s="4"/>
      <c r="O254" s="4"/>
      <c r="P254" s="4"/>
      <c r="Q254" s="4"/>
      <c r="R254" s="4"/>
      <c r="S254" s="4"/>
      <c r="T254" s="4"/>
      <c r="U254" s="4"/>
      <c r="V254" s="4"/>
      <c r="W254" s="4"/>
      <c r="X254" s="4"/>
      <c r="Y254" s="4"/>
      <c r="Z254" s="4"/>
      <c r="AA254" s="4"/>
      <c r="AB254" s="4"/>
      <c r="AC254" s="4"/>
      <c r="AD254" s="4"/>
      <c r="AE254" s="4"/>
      <c r="AF254" s="4"/>
    </row>
    <row r="255" spans="1:32" ht="15.75" customHeight="1">
      <c r="A255" s="4"/>
      <c r="B255" s="4"/>
      <c r="C255" s="4"/>
      <c r="D255" s="4"/>
      <c r="E255" s="4"/>
      <c r="F255" s="4"/>
      <c r="G255" s="4"/>
      <c r="H255" s="4"/>
      <c r="I255" s="4"/>
      <c r="J255" s="19"/>
      <c r="K255" s="4"/>
      <c r="L255" s="4"/>
      <c r="M255" s="4"/>
      <c r="N255" s="4"/>
      <c r="O255" s="4"/>
      <c r="P255" s="4"/>
      <c r="Q255" s="4"/>
      <c r="R255" s="4"/>
      <c r="S255" s="4"/>
      <c r="T255" s="4"/>
      <c r="U255" s="4"/>
      <c r="V255" s="4"/>
      <c r="W255" s="4"/>
      <c r="X255" s="4"/>
      <c r="Y255" s="4"/>
      <c r="Z255" s="4"/>
      <c r="AA255" s="4"/>
      <c r="AB255" s="4"/>
      <c r="AC255" s="4"/>
      <c r="AD255" s="4"/>
      <c r="AE255" s="4"/>
      <c r="AF255" s="4"/>
    </row>
    <row r="256" spans="1:32" ht="15.75" customHeight="1">
      <c r="A256" s="4"/>
      <c r="B256" s="4"/>
      <c r="C256" s="4"/>
      <c r="D256" s="4"/>
      <c r="E256" s="4"/>
      <c r="F256" s="4"/>
      <c r="G256" s="4"/>
      <c r="H256" s="4"/>
      <c r="I256" s="4"/>
      <c r="J256" s="19"/>
      <c r="K256" s="4"/>
      <c r="L256" s="4"/>
      <c r="M256" s="4"/>
      <c r="N256" s="4"/>
      <c r="O256" s="4"/>
      <c r="P256" s="4"/>
      <c r="Q256" s="4"/>
      <c r="R256" s="4"/>
      <c r="S256" s="4"/>
      <c r="T256" s="4"/>
      <c r="U256" s="4"/>
      <c r="V256" s="4"/>
      <c r="W256" s="4"/>
      <c r="X256" s="4"/>
      <c r="Y256" s="4"/>
      <c r="Z256" s="4"/>
      <c r="AA256" s="4"/>
      <c r="AB256" s="4"/>
      <c r="AC256" s="4"/>
      <c r="AD256" s="4"/>
      <c r="AE256" s="4"/>
      <c r="AF256" s="4"/>
    </row>
    <row r="257" spans="1:32" ht="15.75" customHeight="1">
      <c r="A257" s="4"/>
      <c r="B257" s="4"/>
      <c r="C257" s="4"/>
      <c r="D257" s="4"/>
      <c r="E257" s="4"/>
      <c r="F257" s="4"/>
      <c r="G257" s="4"/>
      <c r="H257" s="4"/>
      <c r="I257" s="4"/>
      <c r="J257" s="19"/>
      <c r="K257" s="4"/>
      <c r="L257" s="4"/>
      <c r="M257" s="4"/>
      <c r="N257" s="4"/>
      <c r="O257" s="4"/>
      <c r="P257" s="4"/>
      <c r="Q257" s="4"/>
      <c r="R257" s="4"/>
      <c r="S257" s="4"/>
      <c r="T257" s="4"/>
      <c r="U257" s="4"/>
      <c r="V257" s="4"/>
      <c r="W257" s="4"/>
      <c r="X257" s="4"/>
      <c r="Y257" s="4"/>
      <c r="Z257" s="4"/>
      <c r="AA257" s="4"/>
      <c r="AB257" s="4"/>
      <c r="AC257" s="4"/>
      <c r="AD257" s="4"/>
      <c r="AE257" s="4"/>
      <c r="AF257" s="4"/>
    </row>
    <row r="258" spans="1:32" ht="15.75" customHeight="1">
      <c r="A258" s="4"/>
      <c r="B258" s="4"/>
      <c r="C258" s="4"/>
      <c r="D258" s="4"/>
      <c r="E258" s="4"/>
      <c r="F258" s="4"/>
      <c r="G258" s="4"/>
      <c r="H258" s="4"/>
      <c r="I258" s="4"/>
      <c r="J258" s="19"/>
      <c r="K258" s="4"/>
      <c r="L258" s="4"/>
      <c r="M258" s="4"/>
      <c r="N258" s="4"/>
      <c r="O258" s="4"/>
      <c r="P258" s="4"/>
      <c r="Q258" s="4"/>
      <c r="R258" s="4"/>
      <c r="S258" s="4"/>
      <c r="T258" s="4"/>
      <c r="U258" s="4"/>
      <c r="V258" s="4"/>
      <c r="W258" s="4"/>
      <c r="X258" s="4"/>
      <c r="Y258" s="4"/>
      <c r="Z258" s="4"/>
      <c r="AA258" s="4"/>
      <c r="AB258" s="4"/>
      <c r="AC258" s="4"/>
      <c r="AD258" s="4"/>
      <c r="AE258" s="4"/>
      <c r="AF258" s="4"/>
    </row>
    <row r="259" spans="1:32" ht="15.75" customHeight="1">
      <c r="A259" s="4"/>
      <c r="B259" s="4"/>
      <c r="C259" s="4"/>
      <c r="D259" s="4"/>
      <c r="E259" s="4"/>
      <c r="F259" s="4"/>
      <c r="G259" s="4"/>
      <c r="H259" s="4"/>
      <c r="I259" s="4"/>
      <c r="J259" s="19"/>
      <c r="K259" s="4"/>
      <c r="L259" s="4"/>
      <c r="M259" s="4"/>
      <c r="N259" s="4"/>
      <c r="O259" s="4"/>
      <c r="P259" s="4"/>
      <c r="Q259" s="4"/>
      <c r="R259" s="4"/>
      <c r="S259" s="4"/>
      <c r="T259" s="4"/>
      <c r="U259" s="4"/>
      <c r="V259" s="4"/>
      <c r="W259" s="4"/>
      <c r="X259" s="4"/>
      <c r="Y259" s="4"/>
      <c r="Z259" s="4"/>
      <c r="AA259" s="4"/>
      <c r="AB259" s="4"/>
      <c r="AC259" s="4"/>
      <c r="AD259" s="4"/>
      <c r="AE259" s="4"/>
      <c r="AF259" s="4"/>
    </row>
    <row r="260" spans="1:32" ht="15.75" customHeight="1">
      <c r="A260" s="4"/>
      <c r="B260" s="4"/>
      <c r="C260" s="4"/>
      <c r="D260" s="4"/>
      <c r="E260" s="4"/>
      <c r="F260" s="4"/>
      <c r="G260" s="4"/>
      <c r="H260" s="4"/>
      <c r="I260" s="4"/>
      <c r="J260" s="19"/>
      <c r="K260" s="4"/>
      <c r="L260" s="4"/>
      <c r="M260" s="4"/>
      <c r="N260" s="4"/>
      <c r="O260" s="4"/>
      <c r="P260" s="4"/>
      <c r="Q260" s="4"/>
      <c r="R260" s="4"/>
      <c r="S260" s="4"/>
      <c r="T260" s="4"/>
      <c r="U260" s="4"/>
      <c r="V260" s="4"/>
      <c r="W260" s="4"/>
      <c r="X260" s="4"/>
      <c r="Y260" s="4"/>
      <c r="Z260" s="4"/>
      <c r="AA260" s="4"/>
      <c r="AB260" s="4"/>
      <c r="AC260" s="4"/>
      <c r="AD260" s="4"/>
      <c r="AE260" s="4"/>
      <c r="AF260" s="4"/>
    </row>
    <row r="261" spans="1:32" ht="15.75" customHeight="1">
      <c r="A261" s="4"/>
      <c r="B261" s="4"/>
      <c r="C261" s="4"/>
      <c r="D261" s="4"/>
      <c r="E261" s="4"/>
      <c r="F261" s="4"/>
      <c r="G261" s="4"/>
      <c r="H261" s="4"/>
      <c r="I261" s="4"/>
      <c r="J261" s="19"/>
      <c r="K261" s="4"/>
      <c r="L261" s="4"/>
      <c r="M261" s="4"/>
      <c r="N261" s="4"/>
      <c r="O261" s="4"/>
      <c r="P261" s="4"/>
      <c r="Q261" s="4"/>
      <c r="R261" s="4"/>
      <c r="S261" s="4"/>
      <c r="T261" s="4"/>
      <c r="U261" s="4"/>
      <c r="V261" s="4"/>
      <c r="W261" s="4"/>
      <c r="X261" s="4"/>
      <c r="Y261" s="4"/>
      <c r="Z261" s="4"/>
      <c r="AA261" s="4"/>
      <c r="AB261" s="4"/>
      <c r="AC261" s="4"/>
      <c r="AD261" s="4"/>
      <c r="AE261" s="4"/>
      <c r="AF261" s="4"/>
    </row>
    <row r="262" spans="1:32" ht="15.75" customHeight="1">
      <c r="A262" s="4"/>
      <c r="B262" s="4"/>
      <c r="C262" s="4"/>
      <c r="D262" s="4"/>
      <c r="E262" s="4"/>
      <c r="F262" s="4"/>
      <c r="G262" s="4"/>
      <c r="H262" s="4"/>
      <c r="I262" s="4"/>
      <c r="J262" s="19"/>
      <c r="K262" s="4"/>
      <c r="L262" s="4"/>
      <c r="M262" s="4"/>
      <c r="N262" s="4"/>
      <c r="O262" s="4"/>
      <c r="P262" s="4"/>
      <c r="Q262" s="4"/>
      <c r="R262" s="4"/>
      <c r="S262" s="4"/>
      <c r="T262" s="4"/>
      <c r="U262" s="4"/>
      <c r="V262" s="4"/>
      <c r="W262" s="4"/>
      <c r="X262" s="4"/>
      <c r="Y262" s="4"/>
      <c r="Z262" s="4"/>
      <c r="AA262" s="4"/>
      <c r="AB262" s="4"/>
      <c r="AC262" s="4"/>
      <c r="AD262" s="4"/>
      <c r="AE262" s="4"/>
      <c r="AF262" s="4"/>
    </row>
    <row r="263" spans="1:32" ht="15.75" customHeight="1">
      <c r="A263" s="4"/>
      <c r="B263" s="4"/>
      <c r="C263" s="4"/>
      <c r="D263" s="4"/>
      <c r="E263" s="4"/>
      <c r="F263" s="4"/>
      <c r="G263" s="4"/>
      <c r="H263" s="4"/>
      <c r="I263" s="4"/>
      <c r="J263" s="19"/>
      <c r="K263" s="4"/>
      <c r="L263" s="4"/>
      <c r="M263" s="4"/>
      <c r="N263" s="4"/>
      <c r="O263" s="4"/>
      <c r="P263" s="4"/>
      <c r="Q263" s="4"/>
      <c r="R263" s="4"/>
      <c r="S263" s="4"/>
      <c r="T263" s="4"/>
      <c r="U263" s="4"/>
      <c r="V263" s="4"/>
      <c r="W263" s="4"/>
      <c r="X263" s="4"/>
      <c r="Y263" s="4"/>
      <c r="Z263" s="4"/>
      <c r="AA263" s="4"/>
      <c r="AB263" s="4"/>
      <c r="AC263" s="4"/>
      <c r="AD263" s="4"/>
      <c r="AE263" s="4"/>
      <c r="AF263" s="4"/>
    </row>
    <row r="264" spans="1:32" ht="15.75" customHeight="1">
      <c r="A264" s="4"/>
      <c r="B264" s="4"/>
      <c r="C264" s="4"/>
      <c r="D264" s="4"/>
      <c r="E264" s="4"/>
      <c r="F264" s="4"/>
      <c r="G264" s="4"/>
      <c r="H264" s="4"/>
      <c r="I264" s="4"/>
      <c r="J264" s="19"/>
      <c r="K264" s="4"/>
      <c r="L264" s="4"/>
      <c r="M264" s="4"/>
      <c r="N264" s="4"/>
      <c r="O264" s="4"/>
      <c r="P264" s="4"/>
      <c r="Q264" s="4"/>
      <c r="R264" s="4"/>
      <c r="S264" s="4"/>
      <c r="T264" s="4"/>
      <c r="U264" s="4"/>
      <c r="V264" s="4"/>
      <c r="W264" s="4"/>
      <c r="X264" s="4"/>
      <c r="Y264" s="4"/>
      <c r="Z264" s="4"/>
      <c r="AA264" s="4"/>
      <c r="AB264" s="4"/>
      <c r="AC264" s="4"/>
      <c r="AD264" s="4"/>
      <c r="AE264" s="4"/>
      <c r="AF264" s="4"/>
    </row>
    <row r="265" spans="1:32" ht="15.75" customHeight="1">
      <c r="A265" s="4"/>
      <c r="B265" s="4"/>
      <c r="C265" s="4"/>
      <c r="D265" s="4"/>
      <c r="E265" s="4"/>
      <c r="F265" s="4"/>
      <c r="G265" s="4"/>
      <c r="H265" s="4"/>
      <c r="I265" s="4"/>
      <c r="J265" s="19"/>
      <c r="K265" s="4"/>
      <c r="L265" s="4"/>
      <c r="M265" s="4"/>
      <c r="N265" s="4"/>
      <c r="O265" s="4"/>
      <c r="P265" s="4"/>
      <c r="Q265" s="4"/>
      <c r="R265" s="4"/>
      <c r="S265" s="4"/>
      <c r="T265" s="4"/>
      <c r="U265" s="4"/>
      <c r="V265" s="4"/>
      <c r="W265" s="4"/>
      <c r="X265" s="4"/>
      <c r="Y265" s="4"/>
      <c r="Z265" s="4"/>
      <c r="AA265" s="4"/>
      <c r="AB265" s="4"/>
      <c r="AC265" s="4"/>
      <c r="AD265" s="4"/>
      <c r="AE265" s="4"/>
      <c r="AF265" s="4"/>
    </row>
    <row r="266" spans="1:32" ht="15.75" customHeight="1">
      <c r="A266" s="4"/>
      <c r="B266" s="4"/>
      <c r="C266" s="4"/>
      <c r="D266" s="4"/>
      <c r="E266" s="4"/>
      <c r="F266" s="4"/>
      <c r="G266" s="4"/>
      <c r="H266" s="4"/>
      <c r="I266" s="4"/>
      <c r="J266" s="19"/>
      <c r="K266" s="4"/>
      <c r="L266" s="4"/>
      <c r="M266" s="4"/>
      <c r="N266" s="4"/>
      <c r="O266" s="4"/>
      <c r="P266" s="4"/>
      <c r="Q266" s="4"/>
      <c r="R266" s="4"/>
      <c r="S266" s="4"/>
      <c r="T266" s="4"/>
      <c r="U266" s="4"/>
      <c r="V266" s="4"/>
      <c r="W266" s="4"/>
      <c r="X266" s="4"/>
      <c r="Y266" s="4"/>
      <c r="Z266" s="4"/>
      <c r="AA266" s="4"/>
      <c r="AB266" s="4"/>
      <c r="AC266" s="4"/>
      <c r="AD266" s="4"/>
      <c r="AE266" s="4"/>
      <c r="AF266" s="4"/>
    </row>
    <row r="267" spans="1:32" ht="15.75" customHeight="1">
      <c r="A267" s="4"/>
      <c r="B267" s="4"/>
      <c r="C267" s="4"/>
      <c r="D267" s="4"/>
      <c r="E267" s="4"/>
      <c r="F267" s="4"/>
      <c r="G267" s="4"/>
      <c r="H267" s="4"/>
      <c r="I267" s="4"/>
      <c r="J267" s="19"/>
      <c r="K267" s="4"/>
      <c r="L267" s="4"/>
      <c r="M267" s="4"/>
      <c r="N267" s="4"/>
      <c r="O267" s="4"/>
      <c r="P267" s="4"/>
      <c r="Q267" s="4"/>
      <c r="R267" s="4"/>
      <c r="S267" s="4"/>
      <c r="T267" s="4"/>
      <c r="U267" s="4"/>
      <c r="V267" s="4"/>
      <c r="W267" s="4"/>
      <c r="X267" s="4"/>
      <c r="Y267" s="4"/>
      <c r="Z267" s="4"/>
      <c r="AA267" s="4"/>
      <c r="AB267" s="4"/>
      <c r="AC267" s="4"/>
      <c r="AD267" s="4"/>
      <c r="AE267" s="4"/>
      <c r="AF267" s="4"/>
    </row>
    <row r="268" spans="1:32" ht="15.75" customHeight="1">
      <c r="A268" s="4"/>
      <c r="B268" s="4"/>
      <c r="C268" s="4"/>
      <c r="D268" s="4"/>
      <c r="E268" s="4"/>
      <c r="F268" s="4"/>
      <c r="G268" s="4"/>
      <c r="H268" s="4"/>
      <c r="I268" s="4"/>
      <c r="J268" s="19"/>
      <c r="K268" s="4"/>
      <c r="L268" s="4"/>
      <c r="M268" s="4"/>
      <c r="N268" s="4"/>
      <c r="O268" s="4"/>
      <c r="P268" s="4"/>
      <c r="Q268" s="4"/>
      <c r="R268" s="4"/>
      <c r="S268" s="4"/>
      <c r="T268" s="4"/>
      <c r="U268" s="4"/>
      <c r="V268" s="4"/>
      <c r="W268" s="4"/>
      <c r="X268" s="4"/>
      <c r="Y268" s="4"/>
      <c r="Z268" s="4"/>
      <c r="AA268" s="4"/>
      <c r="AB268" s="4"/>
      <c r="AC268" s="4"/>
      <c r="AD268" s="4"/>
      <c r="AE268" s="4"/>
      <c r="AF268" s="4"/>
    </row>
    <row r="269" spans="1:32" ht="15.75" customHeight="1">
      <c r="A269" s="4"/>
      <c r="B269" s="4"/>
      <c r="C269" s="4"/>
      <c r="D269" s="4"/>
      <c r="E269" s="4"/>
      <c r="F269" s="4"/>
      <c r="G269" s="4"/>
      <c r="H269" s="4"/>
      <c r="I269" s="4"/>
      <c r="J269" s="19"/>
      <c r="K269" s="4"/>
      <c r="L269" s="4"/>
      <c r="M269" s="4"/>
      <c r="N269" s="4"/>
      <c r="O269" s="4"/>
      <c r="P269" s="4"/>
      <c r="Q269" s="4"/>
      <c r="R269" s="4"/>
      <c r="S269" s="4"/>
      <c r="T269" s="4"/>
      <c r="U269" s="4"/>
      <c r="V269" s="4"/>
      <c r="W269" s="4"/>
      <c r="X269" s="4"/>
      <c r="Y269" s="4"/>
      <c r="Z269" s="4"/>
      <c r="AA269" s="4"/>
      <c r="AB269" s="4"/>
      <c r="AC269" s="4"/>
      <c r="AD269" s="4"/>
      <c r="AE269" s="4"/>
      <c r="AF269" s="4"/>
    </row>
    <row r="270" spans="1:32" ht="15.75" customHeight="1">
      <c r="A270" s="4"/>
      <c r="B270" s="4"/>
      <c r="C270" s="4"/>
      <c r="D270" s="4"/>
      <c r="E270" s="4"/>
      <c r="F270" s="4"/>
      <c r="G270" s="4"/>
      <c r="H270" s="4"/>
      <c r="I270" s="4"/>
      <c r="J270" s="19"/>
      <c r="K270" s="4"/>
      <c r="L270" s="4"/>
      <c r="M270" s="4"/>
      <c r="N270" s="4"/>
      <c r="O270" s="4"/>
      <c r="P270" s="4"/>
      <c r="Q270" s="4"/>
      <c r="R270" s="4"/>
      <c r="S270" s="4"/>
      <c r="T270" s="4"/>
      <c r="U270" s="4"/>
      <c r="V270" s="4"/>
      <c r="W270" s="4"/>
      <c r="X270" s="4"/>
      <c r="Y270" s="4"/>
      <c r="Z270" s="4"/>
      <c r="AA270" s="4"/>
      <c r="AB270" s="4"/>
      <c r="AC270" s="4"/>
      <c r="AD270" s="4"/>
      <c r="AE270" s="4"/>
      <c r="AF270" s="4"/>
    </row>
    <row r="271" spans="1:32" ht="15.75" customHeight="1">
      <c r="A271" s="4"/>
      <c r="B271" s="4"/>
      <c r="C271" s="4"/>
      <c r="D271" s="4"/>
      <c r="E271" s="4"/>
      <c r="F271" s="4"/>
      <c r="G271" s="4"/>
      <c r="H271" s="4"/>
      <c r="I271" s="4"/>
      <c r="J271" s="19"/>
      <c r="K271" s="4"/>
      <c r="L271" s="4"/>
      <c r="M271" s="4"/>
      <c r="N271" s="4"/>
      <c r="O271" s="4"/>
      <c r="P271" s="4"/>
      <c r="Q271" s="4"/>
      <c r="R271" s="4"/>
      <c r="S271" s="4"/>
      <c r="T271" s="4"/>
      <c r="U271" s="4"/>
      <c r="V271" s="4"/>
      <c r="W271" s="4"/>
      <c r="X271" s="4"/>
      <c r="Y271" s="4"/>
      <c r="Z271" s="4"/>
      <c r="AA271" s="4"/>
      <c r="AB271" s="4"/>
      <c r="AC271" s="4"/>
      <c r="AD271" s="4"/>
      <c r="AE271" s="4"/>
      <c r="AF271" s="4"/>
    </row>
    <row r="272" spans="1:32" ht="15.75" customHeight="1">
      <c r="A272" s="4"/>
      <c r="B272" s="4"/>
      <c r="C272" s="4"/>
      <c r="D272" s="4"/>
      <c r="E272" s="4"/>
      <c r="F272" s="4"/>
      <c r="G272" s="4"/>
      <c r="H272" s="4"/>
      <c r="I272" s="4"/>
      <c r="J272" s="19"/>
      <c r="K272" s="4"/>
      <c r="L272" s="4"/>
      <c r="M272" s="4"/>
      <c r="N272" s="4"/>
      <c r="O272" s="4"/>
      <c r="P272" s="4"/>
      <c r="Q272" s="4"/>
      <c r="R272" s="4"/>
      <c r="S272" s="4"/>
      <c r="T272" s="4"/>
      <c r="U272" s="4"/>
      <c r="V272" s="4"/>
      <c r="W272" s="4"/>
      <c r="X272" s="4"/>
      <c r="Y272" s="4"/>
      <c r="Z272" s="4"/>
      <c r="AA272" s="4"/>
      <c r="AB272" s="4"/>
      <c r="AC272" s="4"/>
      <c r="AD272" s="4"/>
      <c r="AE272" s="4"/>
      <c r="AF272" s="4"/>
    </row>
    <row r="273" spans="1:32" ht="15.75" customHeight="1">
      <c r="A273" s="4"/>
      <c r="B273" s="4"/>
      <c r="C273" s="4"/>
      <c r="D273" s="4"/>
      <c r="E273" s="4"/>
      <c r="F273" s="4"/>
      <c r="G273" s="4"/>
      <c r="H273" s="4"/>
      <c r="I273" s="4"/>
      <c r="J273" s="19"/>
      <c r="K273" s="4"/>
      <c r="L273" s="4"/>
      <c r="M273" s="4"/>
      <c r="N273" s="4"/>
      <c r="O273" s="4"/>
      <c r="P273" s="4"/>
      <c r="Q273" s="4"/>
      <c r="R273" s="4"/>
      <c r="S273" s="4"/>
      <c r="T273" s="4"/>
      <c r="U273" s="4"/>
      <c r="V273" s="4"/>
      <c r="W273" s="4"/>
      <c r="X273" s="4"/>
      <c r="Y273" s="4"/>
      <c r="Z273" s="4"/>
      <c r="AA273" s="4"/>
      <c r="AB273" s="4"/>
      <c r="AC273" s="4"/>
      <c r="AD273" s="4"/>
      <c r="AE273" s="4"/>
      <c r="AF273" s="4"/>
    </row>
    <row r="274" spans="1:32" ht="15.75" customHeight="1">
      <c r="A274" s="4"/>
      <c r="B274" s="4"/>
      <c r="C274" s="4"/>
      <c r="D274" s="4"/>
      <c r="E274" s="4"/>
      <c r="F274" s="4"/>
      <c r="G274" s="4"/>
      <c r="H274" s="4"/>
      <c r="I274" s="4"/>
      <c r="J274" s="19"/>
      <c r="K274" s="4"/>
      <c r="L274" s="4"/>
      <c r="M274" s="4"/>
      <c r="N274" s="4"/>
      <c r="O274" s="4"/>
      <c r="P274" s="4"/>
      <c r="Q274" s="4"/>
      <c r="R274" s="4"/>
      <c r="S274" s="4"/>
      <c r="T274" s="4"/>
      <c r="U274" s="4"/>
      <c r="V274" s="4"/>
      <c r="W274" s="4"/>
      <c r="X274" s="4"/>
      <c r="Y274" s="4"/>
      <c r="Z274" s="4"/>
      <c r="AA274" s="4"/>
      <c r="AB274" s="4"/>
      <c r="AC274" s="4"/>
      <c r="AD274" s="4"/>
      <c r="AE274" s="4"/>
      <c r="AF274" s="4"/>
    </row>
    <row r="275" spans="1:32" ht="15.75" customHeight="1">
      <c r="A275" s="4"/>
      <c r="B275" s="4"/>
      <c r="C275" s="4"/>
      <c r="D275" s="4"/>
      <c r="E275" s="4"/>
      <c r="F275" s="4"/>
      <c r="G275" s="4"/>
      <c r="H275" s="4"/>
      <c r="I275" s="4"/>
      <c r="J275" s="19"/>
      <c r="K275" s="4"/>
      <c r="L275" s="4"/>
      <c r="M275" s="4"/>
      <c r="N275" s="4"/>
      <c r="O275" s="4"/>
      <c r="P275" s="4"/>
      <c r="Q275" s="4"/>
      <c r="R275" s="4"/>
      <c r="S275" s="4"/>
      <c r="T275" s="4"/>
      <c r="U275" s="4"/>
      <c r="V275" s="4"/>
      <c r="W275" s="4"/>
      <c r="X275" s="4"/>
      <c r="Y275" s="4"/>
      <c r="Z275" s="4"/>
      <c r="AA275" s="4"/>
      <c r="AB275" s="4"/>
      <c r="AC275" s="4"/>
      <c r="AD275" s="4"/>
      <c r="AE275" s="4"/>
      <c r="AF275" s="4"/>
    </row>
    <row r="276" spans="1:32" ht="15.75" customHeight="1">
      <c r="A276" s="4"/>
      <c r="B276" s="4"/>
      <c r="C276" s="4"/>
      <c r="D276" s="4"/>
      <c r="E276" s="4"/>
      <c r="F276" s="4"/>
      <c r="G276" s="4"/>
      <c r="H276" s="4"/>
      <c r="I276" s="4"/>
      <c r="J276" s="19"/>
      <c r="K276" s="4"/>
      <c r="L276" s="4"/>
      <c r="M276" s="4"/>
      <c r="N276" s="4"/>
      <c r="O276" s="4"/>
      <c r="P276" s="4"/>
      <c r="Q276" s="4"/>
      <c r="R276" s="4"/>
      <c r="S276" s="4"/>
      <c r="T276" s="4"/>
      <c r="U276" s="4"/>
      <c r="V276" s="4"/>
      <c r="W276" s="4"/>
      <c r="X276" s="4"/>
      <c r="Y276" s="4"/>
      <c r="Z276" s="4"/>
      <c r="AA276" s="4"/>
      <c r="AB276" s="4"/>
      <c r="AC276" s="4"/>
      <c r="AD276" s="4"/>
      <c r="AE276" s="4"/>
      <c r="AF276" s="4"/>
    </row>
    <row r="277" spans="1:32" ht="15.75" customHeight="1">
      <c r="A277" s="4"/>
      <c r="B277" s="4"/>
      <c r="C277" s="4"/>
      <c r="D277" s="4"/>
      <c r="E277" s="4"/>
      <c r="F277" s="4"/>
      <c r="G277" s="4"/>
      <c r="H277" s="4"/>
      <c r="I277" s="4"/>
      <c r="J277" s="19"/>
      <c r="K277" s="4"/>
      <c r="L277" s="4"/>
      <c r="M277" s="4"/>
      <c r="N277" s="4"/>
      <c r="O277" s="4"/>
      <c r="P277" s="4"/>
      <c r="Q277" s="4"/>
      <c r="R277" s="4"/>
      <c r="S277" s="4"/>
      <c r="T277" s="4"/>
      <c r="U277" s="4"/>
      <c r="V277" s="4"/>
      <c r="W277" s="4"/>
      <c r="X277" s="4"/>
      <c r="Y277" s="4"/>
      <c r="Z277" s="4"/>
      <c r="AA277" s="4"/>
      <c r="AB277" s="4"/>
      <c r="AC277" s="4"/>
      <c r="AD277" s="4"/>
      <c r="AE277" s="4"/>
      <c r="AF277" s="4"/>
    </row>
    <row r="278" spans="1:32" ht="15.75" customHeight="1">
      <c r="A278" s="4"/>
      <c r="B278" s="4"/>
      <c r="C278" s="4"/>
      <c r="D278" s="4"/>
      <c r="E278" s="4"/>
      <c r="F278" s="4"/>
      <c r="G278" s="4"/>
      <c r="H278" s="4"/>
      <c r="I278" s="4"/>
      <c r="J278" s="19"/>
      <c r="K278" s="4"/>
      <c r="L278" s="4"/>
      <c r="M278" s="4"/>
      <c r="N278" s="4"/>
      <c r="O278" s="4"/>
      <c r="P278" s="4"/>
      <c r="Q278" s="4"/>
      <c r="R278" s="4"/>
      <c r="S278" s="4"/>
      <c r="T278" s="4"/>
      <c r="U278" s="4"/>
      <c r="V278" s="4"/>
      <c r="W278" s="4"/>
      <c r="X278" s="4"/>
      <c r="Y278" s="4"/>
      <c r="Z278" s="4"/>
      <c r="AA278" s="4"/>
      <c r="AB278" s="4"/>
      <c r="AC278" s="4"/>
      <c r="AD278" s="4"/>
      <c r="AE278" s="4"/>
      <c r="AF278" s="4"/>
    </row>
    <row r="279" spans="1:32" ht="15.75" customHeight="1">
      <c r="A279" s="4"/>
      <c r="B279" s="4"/>
      <c r="C279" s="4"/>
      <c r="D279" s="4"/>
      <c r="E279" s="4"/>
      <c r="F279" s="4"/>
      <c r="G279" s="4"/>
      <c r="H279" s="4"/>
      <c r="I279" s="4"/>
      <c r="J279" s="19"/>
      <c r="K279" s="4"/>
      <c r="L279" s="4"/>
      <c r="M279" s="4"/>
      <c r="N279" s="4"/>
      <c r="O279" s="4"/>
      <c r="P279" s="4"/>
      <c r="Q279" s="4"/>
      <c r="R279" s="4"/>
      <c r="S279" s="4"/>
      <c r="T279" s="4"/>
      <c r="U279" s="4"/>
      <c r="V279" s="4"/>
      <c r="W279" s="4"/>
      <c r="X279" s="4"/>
      <c r="Y279" s="4"/>
      <c r="Z279" s="4"/>
      <c r="AA279" s="4"/>
      <c r="AB279" s="4"/>
      <c r="AC279" s="4"/>
      <c r="AD279" s="4"/>
      <c r="AE279" s="4"/>
      <c r="AF279" s="4"/>
    </row>
    <row r="280" spans="1:32" ht="15.75" customHeight="1">
      <c r="A280" s="4"/>
      <c r="B280" s="4"/>
      <c r="C280" s="4"/>
      <c r="D280" s="4"/>
      <c r="E280" s="4"/>
      <c r="F280" s="4"/>
      <c r="G280" s="4"/>
      <c r="H280" s="4"/>
      <c r="I280" s="4"/>
      <c r="J280" s="19"/>
      <c r="K280" s="4"/>
      <c r="L280" s="4"/>
      <c r="M280" s="4"/>
      <c r="N280" s="4"/>
      <c r="O280" s="4"/>
      <c r="P280" s="4"/>
      <c r="Q280" s="4"/>
      <c r="R280" s="4"/>
      <c r="S280" s="4"/>
      <c r="T280" s="4"/>
      <c r="U280" s="4"/>
      <c r="V280" s="4"/>
      <c r="W280" s="4"/>
      <c r="X280" s="4"/>
      <c r="Y280" s="4"/>
      <c r="Z280" s="4"/>
      <c r="AA280" s="4"/>
      <c r="AB280" s="4"/>
      <c r="AC280" s="4"/>
      <c r="AD280" s="4"/>
      <c r="AE280" s="4"/>
      <c r="AF280" s="4"/>
    </row>
    <row r="281" spans="1:32" ht="15.75" customHeight="1">
      <c r="A281" s="4"/>
      <c r="B281" s="4"/>
      <c r="C281" s="4"/>
      <c r="D281" s="4"/>
      <c r="E281" s="4"/>
      <c r="F281" s="4"/>
      <c r="G281" s="4"/>
      <c r="H281" s="4"/>
      <c r="I281" s="4"/>
      <c r="J281" s="19"/>
      <c r="K281" s="4"/>
      <c r="L281" s="4"/>
      <c r="M281" s="4"/>
      <c r="N281" s="4"/>
      <c r="O281" s="4"/>
      <c r="P281" s="4"/>
      <c r="Q281" s="4"/>
      <c r="R281" s="4"/>
      <c r="S281" s="4"/>
      <c r="T281" s="4"/>
      <c r="U281" s="4"/>
      <c r="V281" s="4"/>
      <c r="W281" s="4"/>
      <c r="X281" s="4"/>
      <c r="Y281" s="4"/>
      <c r="Z281" s="4"/>
      <c r="AA281" s="4"/>
      <c r="AB281" s="4"/>
      <c r="AC281" s="4"/>
      <c r="AD281" s="4"/>
      <c r="AE281" s="4"/>
      <c r="AF281" s="4"/>
    </row>
    <row r="282" spans="1:32" ht="15.75" customHeight="1">
      <c r="A282" s="4"/>
      <c r="B282" s="4"/>
      <c r="C282" s="4"/>
      <c r="D282" s="4"/>
      <c r="E282" s="4"/>
      <c r="F282" s="4"/>
      <c r="G282" s="4"/>
      <c r="H282" s="4"/>
      <c r="I282" s="4"/>
      <c r="J282" s="19"/>
      <c r="K282" s="4"/>
      <c r="L282" s="4"/>
      <c r="M282" s="4"/>
      <c r="N282" s="4"/>
      <c r="O282" s="4"/>
      <c r="P282" s="4"/>
      <c r="Q282" s="4"/>
      <c r="R282" s="4"/>
      <c r="S282" s="4"/>
      <c r="T282" s="4"/>
      <c r="U282" s="4"/>
      <c r="V282" s="4"/>
      <c r="W282" s="4"/>
      <c r="X282" s="4"/>
      <c r="Y282" s="4"/>
      <c r="Z282" s="4"/>
      <c r="AA282" s="4"/>
      <c r="AB282" s="4"/>
      <c r="AC282" s="4"/>
      <c r="AD282" s="4"/>
      <c r="AE282" s="4"/>
      <c r="AF282" s="4"/>
    </row>
    <row r="283" spans="1:32" ht="15.75" customHeight="1">
      <c r="A283" s="4"/>
      <c r="B283" s="4"/>
      <c r="C283" s="4"/>
      <c r="D283" s="4"/>
      <c r="E283" s="4"/>
      <c r="F283" s="4"/>
      <c r="G283" s="4"/>
      <c r="H283" s="4"/>
      <c r="I283" s="4"/>
      <c r="J283" s="19"/>
      <c r="K283" s="4"/>
      <c r="L283" s="4"/>
      <c r="M283" s="4"/>
      <c r="N283" s="4"/>
      <c r="O283" s="4"/>
      <c r="P283" s="4"/>
      <c r="Q283" s="4"/>
      <c r="R283" s="4"/>
      <c r="S283" s="4"/>
      <c r="T283" s="4"/>
      <c r="U283" s="4"/>
      <c r="V283" s="4"/>
      <c r="W283" s="4"/>
      <c r="X283" s="4"/>
      <c r="Y283" s="4"/>
      <c r="Z283" s="4"/>
      <c r="AA283" s="4"/>
      <c r="AB283" s="4"/>
      <c r="AC283" s="4"/>
      <c r="AD283" s="4"/>
      <c r="AE283" s="4"/>
      <c r="AF283" s="4"/>
    </row>
    <row r="284" spans="1:32" ht="15.75" customHeight="1">
      <c r="A284" s="4"/>
      <c r="B284" s="4"/>
      <c r="C284" s="4"/>
      <c r="D284" s="4"/>
      <c r="E284" s="4"/>
      <c r="F284" s="4"/>
      <c r="G284" s="4"/>
      <c r="H284" s="4"/>
      <c r="I284" s="4"/>
      <c r="J284" s="19"/>
      <c r="K284" s="4"/>
      <c r="L284" s="4"/>
      <c r="M284" s="4"/>
      <c r="N284" s="4"/>
      <c r="O284" s="4"/>
      <c r="P284" s="4"/>
      <c r="Q284" s="4"/>
      <c r="R284" s="4"/>
      <c r="S284" s="4"/>
      <c r="T284" s="4"/>
      <c r="U284" s="4"/>
      <c r="V284" s="4"/>
      <c r="W284" s="4"/>
      <c r="X284" s="4"/>
      <c r="Y284" s="4"/>
      <c r="Z284" s="4"/>
      <c r="AA284" s="4"/>
      <c r="AB284" s="4"/>
      <c r="AC284" s="4"/>
      <c r="AD284" s="4"/>
      <c r="AE284" s="4"/>
      <c r="AF284" s="4"/>
    </row>
    <row r="285" spans="1:32" ht="15.75" customHeight="1">
      <c r="A285" s="4"/>
      <c r="B285" s="4"/>
      <c r="C285" s="4"/>
      <c r="D285" s="4"/>
      <c r="E285" s="4"/>
      <c r="F285" s="4"/>
      <c r="G285" s="4"/>
      <c r="H285" s="4"/>
      <c r="I285" s="4"/>
      <c r="J285" s="19"/>
      <c r="K285" s="4"/>
      <c r="L285" s="4"/>
      <c r="M285" s="4"/>
      <c r="N285" s="4"/>
      <c r="O285" s="4"/>
      <c r="P285" s="4"/>
      <c r="Q285" s="4"/>
      <c r="R285" s="4"/>
      <c r="S285" s="4"/>
      <c r="T285" s="4"/>
      <c r="U285" s="4"/>
      <c r="V285" s="4"/>
      <c r="W285" s="4"/>
      <c r="X285" s="4"/>
      <c r="Y285" s="4"/>
      <c r="Z285" s="4"/>
      <c r="AA285" s="4"/>
      <c r="AB285" s="4"/>
      <c r="AC285" s="4"/>
      <c r="AD285" s="4"/>
      <c r="AE285" s="4"/>
      <c r="AF285" s="4"/>
    </row>
    <row r="286" spans="1:32" ht="15.75" customHeight="1">
      <c r="A286" s="4"/>
      <c r="B286" s="4"/>
      <c r="C286" s="4"/>
      <c r="D286" s="4"/>
      <c r="E286" s="4"/>
      <c r="F286" s="4"/>
      <c r="G286" s="4"/>
      <c r="H286" s="4"/>
      <c r="I286" s="4"/>
      <c r="J286" s="19"/>
      <c r="K286" s="4"/>
      <c r="L286" s="4"/>
      <c r="M286" s="4"/>
      <c r="N286" s="4"/>
      <c r="O286" s="4"/>
      <c r="P286" s="4"/>
      <c r="Q286" s="4"/>
      <c r="R286" s="4"/>
      <c r="S286" s="4"/>
      <c r="T286" s="4"/>
      <c r="U286" s="4"/>
      <c r="V286" s="4"/>
      <c r="W286" s="4"/>
      <c r="X286" s="4"/>
      <c r="Y286" s="4"/>
      <c r="Z286" s="4"/>
      <c r="AA286" s="4"/>
      <c r="AB286" s="4"/>
      <c r="AC286" s="4"/>
      <c r="AD286" s="4"/>
      <c r="AE286" s="4"/>
      <c r="AF286" s="4"/>
    </row>
    <row r="287" spans="1:32" ht="15.75" customHeight="1">
      <c r="A287" s="4"/>
      <c r="B287" s="4"/>
      <c r="C287" s="4"/>
      <c r="D287" s="4"/>
      <c r="E287" s="4"/>
      <c r="F287" s="4"/>
      <c r="G287" s="4"/>
      <c r="H287" s="4"/>
      <c r="I287" s="4"/>
      <c r="J287" s="19"/>
      <c r="K287" s="4"/>
      <c r="L287" s="4"/>
      <c r="M287" s="4"/>
      <c r="N287" s="4"/>
      <c r="O287" s="4"/>
      <c r="P287" s="4"/>
      <c r="Q287" s="4"/>
      <c r="R287" s="4"/>
      <c r="S287" s="4"/>
      <c r="T287" s="4"/>
      <c r="U287" s="4"/>
      <c r="V287" s="4"/>
      <c r="W287" s="4"/>
      <c r="X287" s="4"/>
      <c r="Y287" s="4"/>
      <c r="Z287" s="4"/>
      <c r="AA287" s="4"/>
      <c r="AB287" s="4"/>
      <c r="AC287" s="4"/>
      <c r="AD287" s="4"/>
      <c r="AE287" s="4"/>
      <c r="AF287" s="4"/>
    </row>
    <row r="288" spans="1:32" ht="15.75" customHeight="1">
      <c r="A288" s="4"/>
      <c r="B288" s="4"/>
      <c r="C288" s="4"/>
      <c r="D288" s="4"/>
      <c r="E288" s="4"/>
      <c r="F288" s="4"/>
      <c r="G288" s="4"/>
      <c r="H288" s="4"/>
      <c r="I288" s="4"/>
      <c r="J288" s="19"/>
      <c r="K288" s="4"/>
      <c r="L288" s="4"/>
      <c r="M288" s="4"/>
      <c r="N288" s="4"/>
      <c r="O288" s="4"/>
      <c r="P288" s="4"/>
      <c r="Q288" s="4"/>
      <c r="R288" s="4"/>
      <c r="S288" s="4"/>
      <c r="T288" s="4"/>
      <c r="U288" s="4"/>
      <c r="V288" s="4"/>
      <c r="W288" s="4"/>
      <c r="X288" s="4"/>
      <c r="Y288" s="4"/>
      <c r="Z288" s="4"/>
      <c r="AA288" s="4"/>
      <c r="AB288" s="4"/>
      <c r="AC288" s="4"/>
      <c r="AD288" s="4"/>
      <c r="AE288" s="4"/>
      <c r="AF288" s="4"/>
    </row>
    <row r="289" spans="1:32" ht="15.75" customHeight="1">
      <c r="A289" s="4"/>
      <c r="B289" s="4"/>
      <c r="C289" s="4"/>
      <c r="D289" s="4"/>
      <c r="E289" s="4"/>
      <c r="F289" s="4"/>
      <c r="G289" s="4"/>
      <c r="H289" s="4"/>
      <c r="I289" s="4"/>
      <c r="J289" s="19"/>
      <c r="K289" s="4"/>
      <c r="L289" s="4"/>
      <c r="M289" s="4"/>
      <c r="N289" s="4"/>
      <c r="O289" s="4"/>
      <c r="P289" s="4"/>
      <c r="Q289" s="4"/>
      <c r="R289" s="4"/>
      <c r="S289" s="4"/>
      <c r="T289" s="4"/>
      <c r="U289" s="4"/>
      <c r="V289" s="4"/>
      <c r="W289" s="4"/>
      <c r="X289" s="4"/>
      <c r="Y289" s="4"/>
      <c r="Z289" s="4"/>
      <c r="AA289" s="4"/>
      <c r="AB289" s="4"/>
      <c r="AC289" s="4"/>
      <c r="AD289" s="4"/>
      <c r="AE289" s="4"/>
      <c r="AF289" s="4"/>
    </row>
    <row r="290" spans="1:32" ht="15.75" customHeight="1">
      <c r="A290" s="4"/>
      <c r="B290" s="4"/>
      <c r="C290" s="4"/>
      <c r="D290" s="4"/>
      <c r="E290" s="4"/>
      <c r="F290" s="4"/>
      <c r="G290" s="4"/>
      <c r="H290" s="4"/>
      <c r="I290" s="4"/>
      <c r="J290" s="19"/>
      <c r="K290" s="4"/>
      <c r="L290" s="4"/>
      <c r="M290" s="4"/>
      <c r="N290" s="4"/>
      <c r="O290" s="4"/>
      <c r="P290" s="4"/>
      <c r="Q290" s="4"/>
      <c r="R290" s="4"/>
      <c r="S290" s="4"/>
      <c r="T290" s="4"/>
      <c r="U290" s="4"/>
      <c r="V290" s="4"/>
      <c r="W290" s="4"/>
      <c r="X290" s="4"/>
      <c r="Y290" s="4"/>
      <c r="Z290" s="4"/>
      <c r="AA290" s="4"/>
      <c r="AB290" s="4"/>
      <c r="AC290" s="4"/>
      <c r="AD290" s="4"/>
      <c r="AE290" s="4"/>
      <c r="AF290" s="4"/>
    </row>
    <row r="291" spans="1:32" ht="15.75" customHeight="1">
      <c r="A291" s="4"/>
      <c r="B291" s="4"/>
      <c r="C291" s="4"/>
      <c r="D291" s="4"/>
      <c r="E291" s="4"/>
      <c r="F291" s="4"/>
      <c r="G291" s="4"/>
      <c r="H291" s="4"/>
      <c r="I291" s="4"/>
      <c r="J291" s="19"/>
      <c r="K291" s="4"/>
      <c r="L291" s="4"/>
      <c r="M291" s="4"/>
      <c r="N291" s="4"/>
      <c r="O291" s="4"/>
      <c r="P291" s="4"/>
      <c r="Q291" s="4"/>
      <c r="R291" s="4"/>
      <c r="S291" s="4"/>
      <c r="T291" s="4"/>
      <c r="U291" s="4"/>
      <c r="V291" s="4"/>
      <c r="W291" s="4"/>
      <c r="X291" s="4"/>
      <c r="Y291" s="4"/>
      <c r="Z291" s="4"/>
      <c r="AA291" s="4"/>
      <c r="AB291" s="4"/>
      <c r="AC291" s="4"/>
      <c r="AD291" s="4"/>
      <c r="AE291" s="4"/>
      <c r="AF291" s="4"/>
    </row>
    <row r="292" spans="1:32" ht="15.75" customHeight="1">
      <c r="A292" s="4"/>
      <c r="B292" s="4"/>
      <c r="C292" s="4"/>
      <c r="D292" s="4"/>
      <c r="E292" s="4"/>
      <c r="F292" s="4"/>
      <c r="G292" s="4"/>
      <c r="H292" s="4"/>
      <c r="I292" s="4"/>
      <c r="J292" s="19"/>
      <c r="K292" s="4"/>
      <c r="L292" s="4"/>
      <c r="M292" s="4"/>
      <c r="N292" s="4"/>
      <c r="O292" s="4"/>
      <c r="P292" s="4"/>
      <c r="Q292" s="4"/>
      <c r="R292" s="4"/>
      <c r="S292" s="4"/>
      <c r="T292" s="4"/>
      <c r="U292" s="4"/>
      <c r="V292" s="4"/>
      <c r="W292" s="4"/>
      <c r="X292" s="4"/>
      <c r="Y292" s="4"/>
      <c r="Z292" s="4"/>
      <c r="AA292" s="4"/>
      <c r="AB292" s="4"/>
      <c r="AC292" s="4"/>
      <c r="AD292" s="4"/>
      <c r="AE292" s="4"/>
      <c r="AF292" s="4"/>
    </row>
    <row r="293" spans="1:32" ht="15.75" customHeight="1">
      <c r="A293" s="4"/>
      <c r="B293" s="4"/>
      <c r="C293" s="4"/>
      <c r="D293" s="4"/>
      <c r="E293" s="4"/>
      <c r="F293" s="4"/>
      <c r="G293" s="4"/>
      <c r="H293" s="4"/>
      <c r="I293" s="4"/>
      <c r="J293" s="19"/>
      <c r="K293" s="4"/>
      <c r="L293" s="4"/>
      <c r="M293" s="4"/>
      <c r="N293" s="4"/>
      <c r="O293" s="4"/>
      <c r="P293" s="4"/>
      <c r="Q293" s="4"/>
      <c r="R293" s="4"/>
      <c r="S293" s="4"/>
      <c r="T293" s="4"/>
      <c r="U293" s="4"/>
      <c r="V293" s="4"/>
      <c r="W293" s="4"/>
      <c r="X293" s="4"/>
      <c r="Y293" s="4"/>
      <c r="Z293" s="4"/>
      <c r="AA293" s="4"/>
      <c r="AB293" s="4"/>
      <c r="AC293" s="4"/>
      <c r="AD293" s="4"/>
      <c r="AE293" s="4"/>
      <c r="AF293" s="4"/>
    </row>
    <row r="294" spans="1:32" ht="15.75" customHeight="1">
      <c r="A294" s="4"/>
      <c r="B294" s="4"/>
      <c r="C294" s="4"/>
      <c r="D294" s="4"/>
      <c r="E294" s="4"/>
      <c r="F294" s="4"/>
      <c r="G294" s="4"/>
      <c r="H294" s="4"/>
      <c r="I294" s="4"/>
      <c r="J294" s="19"/>
      <c r="K294" s="4"/>
      <c r="L294" s="4"/>
      <c r="M294" s="4"/>
      <c r="N294" s="4"/>
      <c r="O294" s="4"/>
      <c r="P294" s="4"/>
      <c r="Q294" s="4"/>
      <c r="R294" s="4"/>
      <c r="S294" s="4"/>
      <c r="T294" s="4"/>
      <c r="U294" s="4"/>
      <c r="V294" s="4"/>
      <c r="W294" s="4"/>
      <c r="X294" s="4"/>
      <c r="Y294" s="4"/>
      <c r="Z294" s="4"/>
      <c r="AA294" s="4"/>
      <c r="AB294" s="4"/>
      <c r="AC294" s="4"/>
      <c r="AD294" s="4"/>
      <c r="AE294" s="4"/>
      <c r="AF294" s="4"/>
    </row>
    <row r="295" spans="1:32" ht="15.75" customHeight="1">
      <c r="A295" s="4"/>
      <c r="B295" s="4"/>
      <c r="C295" s="4"/>
      <c r="D295" s="4"/>
      <c r="E295" s="4"/>
      <c r="F295" s="4"/>
      <c r="G295" s="4"/>
      <c r="H295" s="4"/>
      <c r="I295" s="4"/>
      <c r="J295" s="19"/>
      <c r="K295" s="4"/>
      <c r="L295" s="4"/>
      <c r="M295" s="4"/>
      <c r="N295" s="4"/>
      <c r="O295" s="4"/>
      <c r="P295" s="4"/>
      <c r="Q295" s="4"/>
      <c r="R295" s="4"/>
      <c r="S295" s="4"/>
      <c r="T295" s="4"/>
      <c r="U295" s="4"/>
      <c r="V295" s="4"/>
      <c r="W295" s="4"/>
      <c r="X295" s="4"/>
      <c r="Y295" s="4"/>
      <c r="Z295" s="4"/>
      <c r="AA295" s="4"/>
      <c r="AB295" s="4"/>
      <c r="AC295" s="4"/>
      <c r="AD295" s="4"/>
      <c r="AE295" s="4"/>
      <c r="AF295" s="4"/>
    </row>
    <row r="296" spans="1:32" ht="15.75" customHeight="1">
      <c r="A296" s="4"/>
      <c r="B296" s="4"/>
      <c r="C296" s="4"/>
      <c r="D296" s="4"/>
      <c r="E296" s="4"/>
      <c r="F296" s="4"/>
      <c r="G296" s="4"/>
      <c r="H296" s="4"/>
      <c r="I296" s="4"/>
      <c r="J296" s="19"/>
      <c r="K296" s="4"/>
      <c r="L296" s="4"/>
      <c r="M296" s="4"/>
      <c r="N296" s="4"/>
      <c r="O296" s="4"/>
      <c r="P296" s="4"/>
      <c r="Q296" s="4"/>
      <c r="R296" s="4"/>
      <c r="S296" s="4"/>
      <c r="T296" s="4"/>
      <c r="U296" s="4"/>
      <c r="V296" s="4"/>
      <c r="W296" s="4"/>
      <c r="X296" s="4"/>
      <c r="Y296" s="4"/>
      <c r="Z296" s="4"/>
      <c r="AA296" s="4"/>
      <c r="AB296" s="4"/>
      <c r="AC296" s="4"/>
      <c r="AD296" s="4"/>
      <c r="AE296" s="4"/>
      <c r="AF296" s="4"/>
    </row>
    <row r="297" spans="1:32" ht="15.75" customHeight="1">
      <c r="A297" s="4"/>
      <c r="B297" s="4"/>
      <c r="C297" s="4"/>
      <c r="D297" s="4"/>
      <c r="E297" s="4"/>
      <c r="F297" s="4"/>
      <c r="G297" s="4"/>
      <c r="H297" s="4"/>
      <c r="I297" s="4"/>
      <c r="J297" s="19"/>
      <c r="K297" s="4"/>
      <c r="L297" s="4"/>
      <c r="M297" s="4"/>
      <c r="N297" s="4"/>
      <c r="O297" s="4"/>
      <c r="P297" s="4"/>
      <c r="Q297" s="4"/>
      <c r="R297" s="4"/>
      <c r="S297" s="4"/>
      <c r="T297" s="4"/>
      <c r="U297" s="4"/>
      <c r="V297" s="4"/>
      <c r="W297" s="4"/>
      <c r="X297" s="4"/>
      <c r="Y297" s="4"/>
      <c r="Z297" s="4"/>
      <c r="AA297" s="4"/>
      <c r="AB297" s="4"/>
      <c r="AC297" s="4"/>
      <c r="AD297" s="4"/>
      <c r="AE297" s="4"/>
      <c r="AF297" s="4"/>
    </row>
    <row r="298" spans="1:32" ht="15.75" customHeight="1">
      <c r="A298" s="4"/>
      <c r="B298" s="4"/>
      <c r="C298" s="4"/>
      <c r="D298" s="4"/>
      <c r="E298" s="4"/>
      <c r="F298" s="4"/>
      <c r="G298" s="4"/>
      <c r="H298" s="4"/>
      <c r="I298" s="4"/>
      <c r="J298" s="19"/>
      <c r="K298" s="4"/>
      <c r="L298" s="4"/>
      <c r="M298" s="4"/>
      <c r="N298" s="4"/>
      <c r="O298" s="4"/>
      <c r="P298" s="4"/>
      <c r="Q298" s="4"/>
      <c r="R298" s="4"/>
      <c r="S298" s="4"/>
      <c r="T298" s="4"/>
      <c r="U298" s="4"/>
      <c r="V298" s="4"/>
      <c r="W298" s="4"/>
      <c r="X298" s="4"/>
      <c r="Y298" s="4"/>
      <c r="Z298" s="4"/>
      <c r="AA298" s="4"/>
      <c r="AB298" s="4"/>
      <c r="AC298" s="4"/>
      <c r="AD298" s="4"/>
      <c r="AE298" s="4"/>
      <c r="AF298" s="4"/>
    </row>
    <row r="299" spans="1:32" ht="15.75" customHeight="1">
      <c r="A299" s="4"/>
      <c r="B299" s="4"/>
      <c r="C299" s="4"/>
      <c r="D299" s="4"/>
      <c r="E299" s="4"/>
      <c r="F299" s="4"/>
      <c r="G299" s="4"/>
      <c r="H299" s="4"/>
      <c r="I299" s="4"/>
      <c r="J299" s="19"/>
      <c r="K299" s="4"/>
      <c r="L299" s="4"/>
      <c r="M299" s="4"/>
      <c r="N299" s="4"/>
      <c r="O299" s="4"/>
      <c r="P299" s="4"/>
      <c r="Q299" s="4"/>
      <c r="R299" s="4"/>
      <c r="S299" s="4"/>
      <c r="T299" s="4"/>
      <c r="U299" s="4"/>
      <c r="V299" s="4"/>
      <c r="W299" s="4"/>
      <c r="X299" s="4"/>
      <c r="Y299" s="4"/>
      <c r="Z299" s="4"/>
      <c r="AA299" s="4"/>
      <c r="AB299" s="4"/>
      <c r="AC299" s="4"/>
      <c r="AD299" s="4"/>
      <c r="AE299" s="4"/>
      <c r="AF299" s="4"/>
    </row>
    <row r="300" spans="1:32" ht="15.75" customHeight="1">
      <c r="A300" s="4"/>
      <c r="B300" s="4"/>
      <c r="C300" s="4"/>
      <c r="D300" s="4"/>
      <c r="E300" s="4"/>
      <c r="F300" s="4"/>
      <c r="G300" s="4"/>
      <c r="H300" s="4"/>
      <c r="I300" s="4"/>
      <c r="J300" s="19"/>
      <c r="K300" s="4"/>
      <c r="L300" s="4"/>
      <c r="M300" s="4"/>
      <c r="N300" s="4"/>
      <c r="O300" s="4"/>
      <c r="P300" s="4"/>
      <c r="Q300" s="4"/>
      <c r="R300" s="4"/>
      <c r="S300" s="4"/>
      <c r="T300" s="4"/>
      <c r="U300" s="4"/>
      <c r="V300" s="4"/>
      <c r="W300" s="4"/>
      <c r="X300" s="4"/>
      <c r="Y300" s="4"/>
      <c r="Z300" s="4"/>
      <c r="AA300" s="4"/>
      <c r="AB300" s="4"/>
      <c r="AC300" s="4"/>
      <c r="AD300" s="4"/>
      <c r="AE300" s="4"/>
      <c r="AF300" s="4"/>
    </row>
    <row r="301" spans="1:32" ht="15.75" customHeight="1">
      <c r="A301" s="4"/>
      <c r="B301" s="4"/>
      <c r="C301" s="4"/>
      <c r="D301" s="4"/>
      <c r="E301" s="4"/>
      <c r="F301" s="4"/>
      <c r="G301" s="4"/>
      <c r="H301" s="4"/>
      <c r="I301" s="4"/>
      <c r="J301" s="19"/>
      <c r="K301" s="4"/>
      <c r="L301" s="4"/>
      <c r="M301" s="4"/>
      <c r="N301" s="4"/>
      <c r="O301" s="4"/>
      <c r="P301" s="4"/>
      <c r="Q301" s="4"/>
      <c r="R301" s="4"/>
      <c r="S301" s="4"/>
      <c r="T301" s="4"/>
      <c r="U301" s="4"/>
      <c r="V301" s="4"/>
      <c r="W301" s="4"/>
      <c r="X301" s="4"/>
      <c r="Y301" s="4"/>
      <c r="Z301" s="4"/>
      <c r="AA301" s="4"/>
      <c r="AB301" s="4"/>
      <c r="AC301" s="4"/>
      <c r="AD301" s="4"/>
      <c r="AE301" s="4"/>
      <c r="AF301" s="4"/>
    </row>
    <row r="302" spans="1:32" ht="15.75" customHeight="1">
      <c r="A302" s="4"/>
      <c r="B302" s="4"/>
      <c r="C302" s="4"/>
      <c r="D302" s="4"/>
      <c r="E302" s="4"/>
      <c r="F302" s="4"/>
      <c r="G302" s="4"/>
      <c r="H302" s="4"/>
      <c r="I302" s="4"/>
      <c r="J302" s="19"/>
      <c r="K302" s="4"/>
      <c r="L302" s="4"/>
      <c r="M302" s="4"/>
      <c r="N302" s="4"/>
      <c r="O302" s="4"/>
      <c r="P302" s="4"/>
      <c r="Q302" s="4"/>
      <c r="R302" s="4"/>
      <c r="S302" s="4"/>
      <c r="T302" s="4"/>
      <c r="U302" s="4"/>
      <c r="V302" s="4"/>
      <c r="W302" s="4"/>
      <c r="X302" s="4"/>
      <c r="Y302" s="4"/>
      <c r="Z302" s="4"/>
      <c r="AA302" s="4"/>
      <c r="AB302" s="4"/>
      <c r="AC302" s="4"/>
      <c r="AD302" s="4"/>
      <c r="AE302" s="4"/>
      <c r="AF302" s="4"/>
    </row>
    <row r="303" spans="1:32" ht="15.75" customHeight="1">
      <c r="A303" s="4"/>
      <c r="B303" s="4"/>
      <c r="C303" s="4"/>
      <c r="D303" s="4"/>
      <c r="E303" s="4"/>
      <c r="F303" s="4"/>
      <c r="G303" s="4"/>
      <c r="H303" s="4"/>
      <c r="I303" s="4"/>
      <c r="J303" s="19"/>
      <c r="K303" s="4"/>
      <c r="L303" s="4"/>
      <c r="M303" s="4"/>
      <c r="N303" s="4"/>
      <c r="O303" s="4"/>
      <c r="P303" s="4"/>
      <c r="Q303" s="4"/>
      <c r="R303" s="4"/>
      <c r="S303" s="4"/>
      <c r="T303" s="4"/>
      <c r="U303" s="4"/>
      <c r="V303" s="4"/>
      <c r="W303" s="4"/>
      <c r="X303" s="4"/>
      <c r="Y303" s="4"/>
      <c r="Z303" s="4"/>
      <c r="AA303" s="4"/>
      <c r="AB303" s="4"/>
      <c r="AC303" s="4"/>
      <c r="AD303" s="4"/>
      <c r="AE303" s="4"/>
      <c r="AF303" s="4"/>
    </row>
    <row r="304" spans="1:32" ht="15.75" customHeight="1">
      <c r="A304" s="4"/>
      <c r="B304" s="4"/>
      <c r="C304" s="4"/>
      <c r="D304" s="4"/>
      <c r="E304" s="4"/>
      <c r="F304" s="4"/>
      <c r="G304" s="4"/>
      <c r="H304" s="4"/>
      <c r="I304" s="4"/>
      <c r="J304" s="19"/>
      <c r="K304" s="4"/>
      <c r="L304" s="4"/>
      <c r="M304" s="4"/>
      <c r="N304" s="4"/>
      <c r="O304" s="4"/>
      <c r="P304" s="4"/>
      <c r="Q304" s="4"/>
      <c r="R304" s="4"/>
      <c r="S304" s="4"/>
      <c r="T304" s="4"/>
      <c r="U304" s="4"/>
      <c r="V304" s="4"/>
      <c r="W304" s="4"/>
      <c r="X304" s="4"/>
      <c r="Y304" s="4"/>
      <c r="Z304" s="4"/>
      <c r="AA304" s="4"/>
      <c r="AB304" s="4"/>
      <c r="AC304" s="4"/>
      <c r="AD304" s="4"/>
      <c r="AE304" s="4"/>
      <c r="AF304" s="4"/>
    </row>
    <row r="305" spans="1:32" ht="15.75" customHeight="1">
      <c r="A305" s="4"/>
      <c r="B305" s="4"/>
      <c r="C305" s="4"/>
      <c r="D305" s="4"/>
      <c r="E305" s="4"/>
      <c r="F305" s="4"/>
      <c r="G305" s="4"/>
      <c r="H305" s="4"/>
      <c r="I305" s="4"/>
      <c r="J305" s="19"/>
      <c r="K305" s="4"/>
      <c r="L305" s="4"/>
      <c r="M305" s="4"/>
      <c r="N305" s="4"/>
      <c r="O305" s="4"/>
      <c r="P305" s="4"/>
      <c r="Q305" s="4"/>
      <c r="R305" s="4"/>
      <c r="S305" s="4"/>
      <c r="T305" s="4"/>
      <c r="U305" s="4"/>
      <c r="V305" s="4"/>
      <c r="W305" s="4"/>
      <c r="X305" s="4"/>
      <c r="Y305" s="4"/>
      <c r="Z305" s="4"/>
      <c r="AA305" s="4"/>
      <c r="AB305" s="4"/>
      <c r="AC305" s="4"/>
      <c r="AD305" s="4"/>
      <c r="AE305" s="4"/>
      <c r="AF305" s="4"/>
    </row>
    <row r="306" spans="1:32" ht="15.75" customHeight="1">
      <c r="A306" s="4"/>
      <c r="B306" s="4"/>
      <c r="C306" s="4"/>
      <c r="D306" s="4"/>
      <c r="E306" s="4"/>
      <c r="F306" s="4"/>
      <c r="G306" s="4"/>
      <c r="H306" s="4"/>
      <c r="I306" s="4"/>
      <c r="J306" s="19"/>
      <c r="K306" s="4"/>
      <c r="L306" s="4"/>
      <c r="M306" s="4"/>
      <c r="N306" s="4"/>
      <c r="O306" s="4"/>
      <c r="P306" s="4"/>
      <c r="Q306" s="4"/>
      <c r="R306" s="4"/>
      <c r="S306" s="4"/>
      <c r="T306" s="4"/>
      <c r="U306" s="4"/>
      <c r="V306" s="4"/>
      <c r="W306" s="4"/>
      <c r="X306" s="4"/>
      <c r="Y306" s="4"/>
      <c r="Z306" s="4"/>
      <c r="AA306" s="4"/>
      <c r="AB306" s="4"/>
      <c r="AC306" s="4"/>
      <c r="AD306" s="4"/>
      <c r="AE306" s="4"/>
      <c r="AF306" s="4"/>
    </row>
    <row r="307" spans="1:32" ht="15.75" customHeight="1">
      <c r="A307" s="4"/>
      <c r="B307" s="4"/>
      <c r="C307" s="4"/>
      <c r="D307" s="4"/>
      <c r="E307" s="4"/>
      <c r="F307" s="4"/>
      <c r="G307" s="4"/>
      <c r="H307" s="4"/>
      <c r="I307" s="4"/>
      <c r="J307" s="19"/>
      <c r="K307" s="4"/>
      <c r="L307" s="4"/>
      <c r="M307" s="4"/>
      <c r="N307" s="4"/>
      <c r="O307" s="4"/>
      <c r="P307" s="4"/>
      <c r="Q307" s="4"/>
      <c r="R307" s="4"/>
      <c r="S307" s="4"/>
      <c r="T307" s="4"/>
      <c r="U307" s="4"/>
      <c r="V307" s="4"/>
      <c r="W307" s="4"/>
      <c r="X307" s="4"/>
      <c r="Y307" s="4"/>
      <c r="Z307" s="4"/>
      <c r="AA307" s="4"/>
      <c r="AB307" s="4"/>
      <c r="AC307" s="4"/>
      <c r="AD307" s="4"/>
      <c r="AE307" s="4"/>
      <c r="AF307" s="4"/>
    </row>
    <row r="308" spans="1:32" ht="15.75" customHeight="1">
      <c r="A308" s="4"/>
      <c r="B308" s="4"/>
      <c r="C308" s="4"/>
      <c r="D308" s="4"/>
      <c r="E308" s="4"/>
      <c r="F308" s="4"/>
      <c r="G308" s="4"/>
      <c r="H308" s="4"/>
      <c r="I308" s="4"/>
      <c r="J308" s="19"/>
      <c r="K308" s="4"/>
      <c r="L308" s="4"/>
      <c r="M308" s="4"/>
      <c r="N308" s="4"/>
      <c r="O308" s="4"/>
      <c r="P308" s="4"/>
      <c r="Q308" s="4"/>
      <c r="R308" s="4"/>
      <c r="S308" s="4"/>
      <c r="T308" s="4"/>
      <c r="U308" s="4"/>
      <c r="V308" s="4"/>
      <c r="W308" s="4"/>
      <c r="X308" s="4"/>
      <c r="Y308" s="4"/>
      <c r="Z308" s="4"/>
      <c r="AA308" s="4"/>
      <c r="AB308" s="4"/>
      <c r="AC308" s="4"/>
      <c r="AD308" s="4"/>
      <c r="AE308" s="4"/>
      <c r="AF308" s="4"/>
    </row>
    <row r="309" spans="1:32" ht="15.75" customHeight="1">
      <c r="A309" s="4"/>
      <c r="B309" s="4"/>
      <c r="C309" s="4"/>
      <c r="D309" s="4"/>
      <c r="E309" s="4"/>
      <c r="F309" s="4"/>
      <c r="G309" s="4"/>
      <c r="H309" s="4"/>
      <c r="I309" s="4"/>
      <c r="J309" s="19"/>
      <c r="K309" s="4"/>
      <c r="L309" s="4"/>
      <c r="M309" s="4"/>
      <c r="N309" s="4"/>
      <c r="O309" s="4"/>
      <c r="P309" s="4"/>
      <c r="Q309" s="4"/>
      <c r="R309" s="4"/>
      <c r="S309" s="4"/>
      <c r="T309" s="4"/>
      <c r="U309" s="4"/>
      <c r="V309" s="4"/>
      <c r="W309" s="4"/>
      <c r="X309" s="4"/>
      <c r="Y309" s="4"/>
      <c r="Z309" s="4"/>
      <c r="AA309" s="4"/>
      <c r="AB309" s="4"/>
      <c r="AC309" s="4"/>
      <c r="AD309" s="4"/>
      <c r="AE309" s="4"/>
      <c r="AF309" s="4"/>
    </row>
    <row r="310" spans="1:32" ht="15.75" customHeight="1">
      <c r="A310" s="4"/>
      <c r="B310" s="4"/>
      <c r="C310" s="4"/>
      <c r="D310" s="4"/>
      <c r="E310" s="4"/>
      <c r="F310" s="4"/>
      <c r="G310" s="4"/>
      <c r="H310" s="4"/>
      <c r="I310" s="4"/>
      <c r="J310" s="19"/>
      <c r="K310" s="4"/>
      <c r="L310" s="4"/>
      <c r="M310" s="4"/>
      <c r="N310" s="4"/>
      <c r="O310" s="4"/>
      <c r="P310" s="4"/>
      <c r="Q310" s="4"/>
      <c r="R310" s="4"/>
      <c r="S310" s="4"/>
      <c r="T310" s="4"/>
      <c r="U310" s="4"/>
      <c r="V310" s="4"/>
      <c r="W310" s="4"/>
      <c r="X310" s="4"/>
      <c r="Y310" s="4"/>
      <c r="Z310" s="4"/>
      <c r="AA310" s="4"/>
      <c r="AB310" s="4"/>
      <c r="AC310" s="4"/>
      <c r="AD310" s="4"/>
      <c r="AE310" s="4"/>
      <c r="AF310" s="4"/>
    </row>
    <row r="311" spans="1:32" ht="15.75" customHeight="1">
      <c r="A311" s="4"/>
      <c r="B311" s="4"/>
      <c r="C311" s="4"/>
      <c r="D311" s="4"/>
      <c r="E311" s="4"/>
      <c r="F311" s="4"/>
      <c r="G311" s="4"/>
      <c r="H311" s="4"/>
      <c r="I311" s="4"/>
      <c r="J311" s="19"/>
      <c r="K311" s="4"/>
      <c r="L311" s="4"/>
      <c r="M311" s="4"/>
      <c r="N311" s="4"/>
      <c r="O311" s="4"/>
      <c r="P311" s="4"/>
      <c r="Q311" s="4"/>
      <c r="R311" s="4"/>
      <c r="S311" s="4"/>
      <c r="T311" s="4"/>
      <c r="U311" s="4"/>
      <c r="V311" s="4"/>
      <c r="W311" s="4"/>
      <c r="X311" s="4"/>
      <c r="Y311" s="4"/>
      <c r="Z311" s="4"/>
      <c r="AA311" s="4"/>
      <c r="AB311" s="4"/>
      <c r="AC311" s="4"/>
      <c r="AD311" s="4"/>
      <c r="AE311" s="4"/>
      <c r="AF311" s="4"/>
    </row>
    <row r="312" spans="1:32" ht="15.75" customHeight="1">
      <c r="A312" s="4"/>
      <c r="B312" s="4"/>
      <c r="C312" s="4"/>
      <c r="D312" s="4"/>
      <c r="E312" s="4"/>
      <c r="F312" s="4"/>
      <c r="G312" s="4"/>
      <c r="H312" s="4"/>
      <c r="I312" s="4"/>
      <c r="J312" s="19"/>
      <c r="K312" s="4"/>
      <c r="L312" s="4"/>
      <c r="M312" s="4"/>
      <c r="N312" s="4"/>
      <c r="O312" s="4"/>
      <c r="P312" s="4"/>
      <c r="Q312" s="4"/>
      <c r="R312" s="4"/>
      <c r="S312" s="4"/>
      <c r="T312" s="4"/>
      <c r="U312" s="4"/>
      <c r="V312" s="4"/>
      <c r="W312" s="4"/>
      <c r="X312" s="4"/>
      <c r="Y312" s="4"/>
      <c r="Z312" s="4"/>
      <c r="AA312" s="4"/>
      <c r="AB312" s="4"/>
      <c r="AC312" s="4"/>
      <c r="AD312" s="4"/>
      <c r="AE312" s="4"/>
      <c r="AF312" s="4"/>
    </row>
    <row r="313" spans="1:32" ht="15.75" customHeight="1">
      <c r="A313" s="4"/>
      <c r="B313" s="4"/>
      <c r="C313" s="4"/>
      <c r="D313" s="4"/>
      <c r="E313" s="4"/>
      <c r="F313" s="4"/>
      <c r="G313" s="4"/>
      <c r="H313" s="4"/>
      <c r="I313" s="4"/>
      <c r="J313" s="19"/>
      <c r="K313" s="4"/>
      <c r="L313" s="4"/>
      <c r="M313" s="4"/>
      <c r="N313" s="4"/>
      <c r="O313" s="4"/>
      <c r="P313" s="4"/>
      <c r="Q313" s="4"/>
      <c r="R313" s="4"/>
      <c r="S313" s="4"/>
      <c r="T313" s="4"/>
      <c r="U313" s="4"/>
      <c r="V313" s="4"/>
      <c r="W313" s="4"/>
      <c r="X313" s="4"/>
      <c r="Y313" s="4"/>
      <c r="Z313" s="4"/>
      <c r="AA313" s="4"/>
      <c r="AB313" s="4"/>
      <c r="AC313" s="4"/>
      <c r="AD313" s="4"/>
      <c r="AE313" s="4"/>
      <c r="AF313" s="4"/>
    </row>
    <row r="314" spans="1:32" ht="15.75" customHeight="1">
      <c r="A314" s="4"/>
      <c r="B314" s="4"/>
      <c r="C314" s="4"/>
      <c r="D314" s="4"/>
      <c r="E314" s="4"/>
      <c r="F314" s="4"/>
      <c r="G314" s="4"/>
      <c r="H314" s="4"/>
      <c r="I314" s="4"/>
      <c r="J314" s="19"/>
      <c r="K314" s="4"/>
      <c r="L314" s="4"/>
      <c r="M314" s="4"/>
      <c r="N314" s="4"/>
      <c r="O314" s="4"/>
      <c r="P314" s="4"/>
      <c r="Q314" s="4"/>
      <c r="R314" s="4"/>
      <c r="S314" s="4"/>
      <c r="T314" s="4"/>
      <c r="U314" s="4"/>
      <c r="V314" s="4"/>
      <c r="W314" s="4"/>
      <c r="X314" s="4"/>
      <c r="Y314" s="4"/>
      <c r="Z314" s="4"/>
      <c r="AA314" s="4"/>
      <c r="AB314" s="4"/>
      <c r="AC314" s="4"/>
      <c r="AD314" s="4"/>
      <c r="AE314" s="4"/>
      <c r="AF314" s="4"/>
    </row>
    <row r="315" spans="1:32" ht="15.75" customHeight="1">
      <c r="A315" s="4"/>
      <c r="B315" s="4"/>
      <c r="C315" s="4"/>
      <c r="D315" s="4"/>
      <c r="E315" s="4"/>
      <c r="F315" s="4"/>
      <c r="G315" s="4"/>
      <c r="H315" s="4"/>
      <c r="I315" s="4"/>
      <c r="J315" s="19"/>
      <c r="K315" s="4"/>
      <c r="L315" s="4"/>
      <c r="M315" s="4"/>
      <c r="N315" s="4"/>
      <c r="O315" s="4"/>
      <c r="P315" s="4"/>
      <c r="Q315" s="4"/>
      <c r="R315" s="4"/>
      <c r="S315" s="4"/>
      <c r="T315" s="4"/>
      <c r="U315" s="4"/>
      <c r="V315" s="4"/>
      <c r="W315" s="4"/>
      <c r="X315" s="4"/>
      <c r="Y315" s="4"/>
      <c r="Z315" s="4"/>
      <c r="AA315" s="4"/>
      <c r="AB315" s="4"/>
      <c r="AC315" s="4"/>
      <c r="AD315" s="4"/>
      <c r="AE315" s="4"/>
      <c r="AF315" s="4"/>
    </row>
    <row r="316" spans="1:32" ht="15.75" customHeight="1">
      <c r="A316" s="4"/>
      <c r="B316" s="4"/>
      <c r="C316" s="4"/>
      <c r="D316" s="4"/>
      <c r="E316" s="4"/>
      <c r="F316" s="4"/>
      <c r="G316" s="4"/>
      <c r="H316" s="4"/>
      <c r="I316" s="4"/>
      <c r="J316" s="19"/>
      <c r="K316" s="4"/>
      <c r="L316" s="4"/>
      <c r="M316" s="4"/>
      <c r="N316" s="4"/>
      <c r="O316" s="4"/>
      <c r="P316" s="4"/>
      <c r="Q316" s="4"/>
      <c r="R316" s="4"/>
      <c r="S316" s="4"/>
      <c r="T316" s="4"/>
      <c r="U316" s="4"/>
      <c r="V316" s="4"/>
      <c r="W316" s="4"/>
      <c r="X316" s="4"/>
      <c r="Y316" s="4"/>
      <c r="Z316" s="4"/>
      <c r="AA316" s="4"/>
      <c r="AB316" s="4"/>
      <c r="AC316" s="4"/>
      <c r="AD316" s="4"/>
      <c r="AE316" s="4"/>
      <c r="AF316" s="4"/>
    </row>
    <row r="317" spans="1:32" ht="15.75" customHeight="1">
      <c r="A317" s="4"/>
      <c r="B317" s="4"/>
      <c r="C317" s="4"/>
      <c r="D317" s="4"/>
      <c r="E317" s="4"/>
      <c r="F317" s="4"/>
      <c r="G317" s="4"/>
      <c r="H317" s="4"/>
      <c r="I317" s="4"/>
      <c r="J317" s="19"/>
      <c r="K317" s="4"/>
      <c r="L317" s="4"/>
      <c r="M317" s="4"/>
      <c r="N317" s="4"/>
      <c r="O317" s="4"/>
      <c r="P317" s="4"/>
      <c r="Q317" s="4"/>
      <c r="R317" s="4"/>
      <c r="S317" s="4"/>
      <c r="T317" s="4"/>
      <c r="U317" s="4"/>
      <c r="V317" s="4"/>
      <c r="W317" s="4"/>
      <c r="X317" s="4"/>
      <c r="Y317" s="4"/>
      <c r="Z317" s="4"/>
      <c r="AA317" s="4"/>
      <c r="AB317" s="4"/>
      <c r="AC317" s="4"/>
      <c r="AD317" s="4"/>
      <c r="AE317" s="4"/>
      <c r="AF317" s="4"/>
    </row>
    <row r="318" spans="1:32" ht="15.75" customHeight="1">
      <c r="A318" s="4"/>
      <c r="B318" s="4"/>
      <c r="C318" s="4"/>
      <c r="D318" s="4"/>
      <c r="E318" s="4"/>
      <c r="F318" s="4"/>
      <c r="G318" s="4"/>
      <c r="H318" s="4"/>
      <c r="I318" s="4"/>
      <c r="J318" s="19"/>
      <c r="K318" s="4"/>
      <c r="L318" s="4"/>
      <c r="M318" s="4"/>
      <c r="N318" s="4"/>
      <c r="O318" s="4"/>
      <c r="P318" s="4"/>
      <c r="Q318" s="4"/>
      <c r="R318" s="4"/>
      <c r="S318" s="4"/>
      <c r="T318" s="4"/>
      <c r="U318" s="4"/>
      <c r="V318" s="4"/>
      <c r="W318" s="4"/>
      <c r="X318" s="4"/>
      <c r="Y318" s="4"/>
      <c r="Z318" s="4"/>
      <c r="AA318" s="4"/>
      <c r="AB318" s="4"/>
      <c r="AC318" s="4"/>
      <c r="AD318" s="4"/>
      <c r="AE318" s="4"/>
      <c r="AF318" s="4"/>
    </row>
    <row r="319" spans="1:32" ht="15.75" customHeight="1">
      <c r="A319" s="4"/>
      <c r="B319" s="4"/>
      <c r="C319" s="4"/>
      <c r="D319" s="4"/>
      <c r="E319" s="4"/>
      <c r="F319" s="4"/>
      <c r="G319" s="4"/>
      <c r="H319" s="4"/>
      <c r="I319" s="4"/>
      <c r="J319" s="19"/>
      <c r="K319" s="4"/>
      <c r="L319" s="4"/>
      <c r="M319" s="4"/>
      <c r="N319" s="4"/>
      <c r="O319" s="4"/>
      <c r="P319" s="4"/>
      <c r="Q319" s="4"/>
      <c r="R319" s="4"/>
      <c r="S319" s="4"/>
      <c r="T319" s="4"/>
      <c r="U319" s="4"/>
      <c r="V319" s="4"/>
      <c r="W319" s="4"/>
      <c r="X319" s="4"/>
      <c r="Y319" s="4"/>
      <c r="Z319" s="4"/>
      <c r="AA319" s="4"/>
      <c r="AB319" s="4"/>
      <c r="AC319" s="4"/>
      <c r="AD319" s="4"/>
      <c r="AE319" s="4"/>
      <c r="AF319" s="4"/>
    </row>
    <row r="320" spans="1:32" ht="15.75" customHeight="1">
      <c r="A320" s="4"/>
      <c r="B320" s="4"/>
      <c r="C320" s="4"/>
      <c r="D320" s="4"/>
      <c r="E320" s="4"/>
      <c r="F320" s="4"/>
      <c r="G320" s="4"/>
      <c r="H320" s="4"/>
      <c r="I320" s="4"/>
      <c r="J320" s="19"/>
      <c r="K320" s="4"/>
      <c r="L320" s="4"/>
      <c r="M320" s="4"/>
      <c r="N320" s="4"/>
      <c r="O320" s="4"/>
      <c r="P320" s="4"/>
      <c r="Q320" s="4"/>
      <c r="R320" s="4"/>
      <c r="S320" s="4"/>
      <c r="T320" s="4"/>
      <c r="U320" s="4"/>
      <c r="V320" s="4"/>
      <c r="W320" s="4"/>
      <c r="X320" s="4"/>
      <c r="Y320" s="4"/>
      <c r="Z320" s="4"/>
      <c r="AA320" s="4"/>
      <c r="AB320" s="4"/>
      <c r="AC320" s="4"/>
      <c r="AD320" s="4"/>
      <c r="AE320" s="4"/>
      <c r="AF320" s="4"/>
    </row>
    <row r="321" spans="1:32" ht="15.75" customHeight="1">
      <c r="A321" s="4"/>
      <c r="B321" s="4"/>
      <c r="C321" s="4"/>
      <c r="D321" s="4"/>
      <c r="E321" s="4"/>
      <c r="F321" s="4"/>
      <c r="G321" s="4"/>
      <c r="H321" s="4"/>
      <c r="I321" s="4"/>
      <c r="J321" s="19"/>
      <c r="K321" s="4"/>
      <c r="L321" s="4"/>
      <c r="M321" s="4"/>
      <c r="N321" s="4"/>
      <c r="O321" s="4"/>
      <c r="P321" s="4"/>
      <c r="Q321" s="4"/>
      <c r="R321" s="4"/>
      <c r="S321" s="4"/>
      <c r="T321" s="4"/>
      <c r="U321" s="4"/>
      <c r="V321" s="4"/>
      <c r="W321" s="4"/>
      <c r="X321" s="4"/>
      <c r="Y321" s="4"/>
      <c r="Z321" s="4"/>
      <c r="AA321" s="4"/>
      <c r="AB321" s="4"/>
      <c r="AC321" s="4"/>
      <c r="AD321" s="4"/>
      <c r="AE321" s="4"/>
      <c r="AF321" s="4"/>
    </row>
    <row r="322" spans="1:32" ht="15.75" customHeight="1">
      <c r="A322" s="4"/>
      <c r="B322" s="4"/>
      <c r="C322" s="4"/>
      <c r="D322" s="4"/>
      <c r="E322" s="4"/>
      <c r="F322" s="4"/>
      <c r="G322" s="4"/>
      <c r="H322" s="4"/>
      <c r="I322" s="4"/>
      <c r="J322" s="19"/>
      <c r="K322" s="4"/>
      <c r="L322" s="4"/>
      <c r="M322" s="4"/>
      <c r="N322" s="4"/>
      <c r="O322" s="4"/>
      <c r="P322" s="4"/>
      <c r="Q322" s="4"/>
      <c r="R322" s="4"/>
      <c r="S322" s="4"/>
      <c r="T322" s="4"/>
      <c r="U322" s="4"/>
      <c r="V322" s="4"/>
      <c r="W322" s="4"/>
      <c r="X322" s="4"/>
      <c r="Y322" s="4"/>
      <c r="Z322" s="4"/>
      <c r="AA322" s="4"/>
      <c r="AB322" s="4"/>
      <c r="AC322" s="4"/>
      <c r="AD322" s="4"/>
      <c r="AE322" s="4"/>
      <c r="AF322" s="4"/>
    </row>
    <row r="323" spans="1:32" ht="15.75" customHeight="1">
      <c r="A323" s="4"/>
      <c r="B323" s="4"/>
      <c r="C323" s="4"/>
      <c r="D323" s="4"/>
      <c r="E323" s="4"/>
      <c r="F323" s="4"/>
      <c r="G323" s="4"/>
      <c r="H323" s="4"/>
      <c r="I323" s="4"/>
      <c r="J323" s="19"/>
      <c r="K323" s="4"/>
      <c r="L323" s="4"/>
      <c r="M323" s="4"/>
      <c r="N323" s="4"/>
      <c r="O323" s="4"/>
      <c r="P323" s="4"/>
      <c r="Q323" s="4"/>
      <c r="R323" s="4"/>
      <c r="S323" s="4"/>
      <c r="T323" s="4"/>
      <c r="U323" s="4"/>
      <c r="V323" s="4"/>
      <c r="W323" s="4"/>
      <c r="X323" s="4"/>
      <c r="Y323" s="4"/>
      <c r="Z323" s="4"/>
      <c r="AA323" s="4"/>
      <c r="AB323" s="4"/>
      <c r="AC323" s="4"/>
      <c r="AD323" s="4"/>
      <c r="AE323" s="4"/>
      <c r="AF323" s="4"/>
    </row>
    <row r="324" spans="1:32" ht="15.75" customHeight="1">
      <c r="A324" s="4"/>
      <c r="B324" s="4"/>
      <c r="C324" s="4"/>
      <c r="D324" s="4"/>
      <c r="E324" s="4"/>
      <c r="F324" s="4"/>
      <c r="G324" s="4"/>
      <c r="H324" s="4"/>
      <c r="I324" s="4"/>
      <c r="J324" s="19"/>
      <c r="K324" s="4"/>
      <c r="L324" s="4"/>
      <c r="M324" s="4"/>
      <c r="N324" s="4"/>
      <c r="O324" s="4"/>
      <c r="P324" s="4"/>
      <c r="Q324" s="4"/>
      <c r="R324" s="4"/>
      <c r="S324" s="4"/>
      <c r="T324" s="4"/>
      <c r="U324" s="4"/>
      <c r="V324" s="4"/>
      <c r="W324" s="4"/>
      <c r="X324" s="4"/>
      <c r="Y324" s="4"/>
      <c r="Z324" s="4"/>
      <c r="AA324" s="4"/>
      <c r="AB324" s="4"/>
      <c r="AC324" s="4"/>
      <c r="AD324" s="4"/>
      <c r="AE324" s="4"/>
      <c r="AF324" s="4"/>
    </row>
    <row r="325" spans="1:32" ht="15.75" customHeight="1">
      <c r="A325" s="4"/>
      <c r="B325" s="4"/>
      <c r="C325" s="4"/>
      <c r="D325" s="4"/>
      <c r="E325" s="4"/>
      <c r="F325" s="4"/>
      <c r="G325" s="4"/>
      <c r="H325" s="4"/>
      <c r="I325" s="4"/>
      <c r="J325" s="19"/>
      <c r="K325" s="4"/>
      <c r="L325" s="4"/>
      <c r="M325" s="4"/>
      <c r="N325" s="4"/>
      <c r="O325" s="4"/>
      <c r="P325" s="4"/>
      <c r="Q325" s="4"/>
      <c r="R325" s="4"/>
      <c r="S325" s="4"/>
      <c r="T325" s="4"/>
      <c r="U325" s="4"/>
      <c r="V325" s="4"/>
      <c r="W325" s="4"/>
      <c r="X325" s="4"/>
      <c r="Y325" s="4"/>
      <c r="Z325" s="4"/>
      <c r="AA325" s="4"/>
      <c r="AB325" s="4"/>
      <c r="AC325" s="4"/>
      <c r="AD325" s="4"/>
      <c r="AE325" s="4"/>
      <c r="AF325" s="4"/>
    </row>
    <row r="326" spans="1:32" ht="15.75" customHeight="1">
      <c r="A326" s="4"/>
      <c r="B326" s="4"/>
      <c r="C326" s="4"/>
      <c r="D326" s="4"/>
      <c r="E326" s="4"/>
      <c r="F326" s="4"/>
      <c r="G326" s="4"/>
      <c r="H326" s="4"/>
      <c r="I326" s="4"/>
      <c r="J326" s="19"/>
      <c r="K326" s="4"/>
      <c r="L326" s="4"/>
      <c r="M326" s="4"/>
      <c r="N326" s="4"/>
      <c r="O326" s="4"/>
      <c r="P326" s="4"/>
      <c r="Q326" s="4"/>
      <c r="R326" s="4"/>
      <c r="S326" s="4"/>
      <c r="T326" s="4"/>
      <c r="U326" s="4"/>
      <c r="V326" s="4"/>
      <c r="W326" s="4"/>
      <c r="X326" s="4"/>
      <c r="Y326" s="4"/>
      <c r="Z326" s="4"/>
      <c r="AA326" s="4"/>
      <c r="AB326" s="4"/>
      <c r="AC326" s="4"/>
      <c r="AD326" s="4"/>
      <c r="AE326" s="4"/>
      <c r="AF326" s="4"/>
    </row>
    <row r="327" spans="1:32" ht="15.75" customHeight="1">
      <c r="A327" s="4"/>
      <c r="B327" s="4"/>
      <c r="C327" s="4"/>
      <c r="D327" s="4"/>
      <c r="E327" s="4"/>
      <c r="F327" s="4"/>
      <c r="G327" s="4"/>
      <c r="H327" s="4"/>
      <c r="I327" s="4"/>
      <c r="J327" s="19"/>
      <c r="K327" s="4"/>
      <c r="L327" s="4"/>
      <c r="M327" s="4"/>
      <c r="N327" s="4"/>
      <c r="O327" s="4"/>
      <c r="P327" s="4"/>
      <c r="Q327" s="4"/>
      <c r="R327" s="4"/>
      <c r="S327" s="4"/>
      <c r="T327" s="4"/>
      <c r="U327" s="4"/>
      <c r="V327" s="4"/>
      <c r="W327" s="4"/>
      <c r="X327" s="4"/>
      <c r="Y327" s="4"/>
      <c r="Z327" s="4"/>
      <c r="AA327" s="4"/>
      <c r="AB327" s="4"/>
      <c r="AC327" s="4"/>
      <c r="AD327" s="4"/>
      <c r="AE327" s="4"/>
      <c r="AF327" s="4"/>
    </row>
    <row r="328" spans="1:32" ht="15.75" customHeight="1">
      <c r="A328" s="4"/>
      <c r="B328" s="4"/>
      <c r="C328" s="4"/>
      <c r="D328" s="4"/>
      <c r="E328" s="4"/>
      <c r="F328" s="4"/>
      <c r="G328" s="4"/>
      <c r="H328" s="4"/>
      <c r="I328" s="4"/>
      <c r="J328" s="19"/>
      <c r="K328" s="4"/>
      <c r="L328" s="4"/>
      <c r="M328" s="4"/>
      <c r="N328" s="4"/>
      <c r="O328" s="4"/>
      <c r="P328" s="4"/>
      <c r="Q328" s="4"/>
      <c r="R328" s="4"/>
      <c r="S328" s="4"/>
      <c r="T328" s="4"/>
      <c r="U328" s="4"/>
      <c r="V328" s="4"/>
      <c r="W328" s="4"/>
      <c r="X328" s="4"/>
      <c r="Y328" s="4"/>
      <c r="Z328" s="4"/>
      <c r="AA328" s="4"/>
      <c r="AB328" s="4"/>
      <c r="AC328" s="4"/>
      <c r="AD328" s="4"/>
      <c r="AE328" s="4"/>
      <c r="AF328" s="4"/>
    </row>
    <row r="329" spans="1:32" ht="15.75" customHeight="1">
      <c r="A329" s="4"/>
      <c r="B329" s="4"/>
      <c r="C329" s="4"/>
      <c r="D329" s="4"/>
      <c r="E329" s="4"/>
      <c r="F329" s="4"/>
      <c r="G329" s="4"/>
      <c r="H329" s="4"/>
      <c r="I329" s="4"/>
      <c r="J329" s="19"/>
      <c r="K329" s="4"/>
      <c r="L329" s="4"/>
      <c r="M329" s="4"/>
      <c r="N329" s="4"/>
      <c r="O329" s="4"/>
      <c r="P329" s="4"/>
      <c r="Q329" s="4"/>
      <c r="R329" s="4"/>
      <c r="S329" s="4"/>
      <c r="T329" s="4"/>
      <c r="U329" s="4"/>
      <c r="V329" s="4"/>
      <c r="W329" s="4"/>
      <c r="X329" s="4"/>
      <c r="Y329" s="4"/>
      <c r="Z329" s="4"/>
      <c r="AA329" s="4"/>
      <c r="AB329" s="4"/>
      <c r="AC329" s="4"/>
      <c r="AD329" s="4"/>
      <c r="AE329" s="4"/>
      <c r="AF329" s="4"/>
    </row>
    <row r="330" spans="1:32" ht="15.75" customHeight="1">
      <c r="A330" s="4"/>
      <c r="B330" s="4"/>
      <c r="C330" s="4"/>
      <c r="D330" s="4"/>
      <c r="E330" s="4"/>
      <c r="F330" s="4"/>
      <c r="G330" s="4"/>
      <c r="H330" s="4"/>
      <c r="I330" s="4"/>
      <c r="J330" s="19"/>
      <c r="K330" s="4"/>
      <c r="L330" s="4"/>
      <c r="M330" s="4"/>
      <c r="N330" s="4"/>
      <c r="O330" s="4"/>
      <c r="P330" s="4"/>
      <c r="Q330" s="4"/>
      <c r="R330" s="4"/>
      <c r="S330" s="4"/>
      <c r="T330" s="4"/>
      <c r="U330" s="4"/>
      <c r="V330" s="4"/>
      <c r="W330" s="4"/>
      <c r="X330" s="4"/>
      <c r="Y330" s="4"/>
      <c r="Z330" s="4"/>
      <c r="AA330" s="4"/>
      <c r="AB330" s="4"/>
      <c r="AC330" s="4"/>
      <c r="AD330" s="4"/>
      <c r="AE330" s="4"/>
      <c r="AF330" s="4"/>
    </row>
    <row r="331" spans="1:32" ht="15.75" customHeight="1">
      <c r="A331" s="4"/>
      <c r="B331" s="4"/>
      <c r="C331" s="4"/>
      <c r="D331" s="4"/>
      <c r="E331" s="4"/>
      <c r="F331" s="4"/>
      <c r="G331" s="4"/>
      <c r="H331" s="4"/>
      <c r="I331" s="4"/>
      <c r="J331" s="19"/>
      <c r="K331" s="4"/>
      <c r="L331" s="4"/>
      <c r="M331" s="4"/>
      <c r="N331" s="4"/>
      <c r="O331" s="4"/>
      <c r="P331" s="4"/>
      <c r="Q331" s="4"/>
      <c r="R331" s="4"/>
      <c r="S331" s="4"/>
      <c r="T331" s="4"/>
      <c r="U331" s="4"/>
      <c r="V331" s="4"/>
      <c r="W331" s="4"/>
      <c r="X331" s="4"/>
      <c r="Y331" s="4"/>
      <c r="Z331" s="4"/>
      <c r="AA331" s="4"/>
      <c r="AB331" s="4"/>
      <c r="AC331" s="4"/>
      <c r="AD331" s="4"/>
      <c r="AE331" s="4"/>
      <c r="AF331" s="4"/>
    </row>
    <row r="332" spans="1:32" ht="15.75" customHeight="1">
      <c r="A332" s="4"/>
      <c r="B332" s="4"/>
      <c r="C332" s="4"/>
      <c r="D332" s="4"/>
      <c r="E332" s="4"/>
      <c r="F332" s="4"/>
      <c r="G332" s="4"/>
      <c r="H332" s="4"/>
      <c r="I332" s="4"/>
      <c r="J332" s="19"/>
      <c r="K332" s="4"/>
      <c r="L332" s="4"/>
      <c r="M332" s="4"/>
      <c r="N332" s="4"/>
      <c r="O332" s="4"/>
      <c r="P332" s="4"/>
      <c r="Q332" s="4"/>
      <c r="R332" s="4"/>
      <c r="S332" s="4"/>
      <c r="T332" s="4"/>
      <c r="U332" s="4"/>
      <c r="V332" s="4"/>
      <c r="W332" s="4"/>
      <c r="X332" s="4"/>
      <c r="Y332" s="4"/>
      <c r="Z332" s="4"/>
      <c r="AA332" s="4"/>
      <c r="AB332" s="4"/>
      <c r="AC332" s="4"/>
      <c r="AD332" s="4"/>
      <c r="AE332" s="4"/>
      <c r="AF332" s="4"/>
    </row>
    <row r="333" spans="1:32" ht="15.75" customHeight="1">
      <c r="A333" s="4"/>
      <c r="B333" s="4"/>
      <c r="C333" s="4"/>
      <c r="D333" s="4"/>
      <c r="E333" s="4"/>
      <c r="F333" s="4"/>
      <c r="G333" s="4"/>
      <c r="H333" s="4"/>
      <c r="I333" s="4"/>
      <c r="J333" s="19"/>
      <c r="K333" s="4"/>
      <c r="L333" s="4"/>
      <c r="M333" s="4"/>
      <c r="N333" s="4"/>
      <c r="O333" s="4"/>
      <c r="P333" s="4"/>
      <c r="Q333" s="4"/>
      <c r="R333" s="4"/>
      <c r="S333" s="4"/>
      <c r="T333" s="4"/>
      <c r="U333" s="4"/>
      <c r="V333" s="4"/>
      <c r="W333" s="4"/>
      <c r="X333" s="4"/>
      <c r="Y333" s="4"/>
      <c r="Z333" s="4"/>
      <c r="AA333" s="4"/>
      <c r="AB333" s="4"/>
      <c r="AC333" s="4"/>
      <c r="AD333" s="4"/>
      <c r="AE333" s="4"/>
      <c r="AF333" s="4"/>
    </row>
    <row r="334" spans="1:32" ht="15.75" customHeight="1">
      <c r="A334" s="4"/>
      <c r="B334" s="4"/>
      <c r="C334" s="4"/>
      <c r="D334" s="4"/>
      <c r="E334" s="4"/>
      <c r="F334" s="4"/>
      <c r="G334" s="4"/>
      <c r="H334" s="4"/>
      <c r="I334" s="4"/>
      <c r="J334" s="19"/>
      <c r="K334" s="4"/>
      <c r="L334" s="4"/>
      <c r="M334" s="4"/>
      <c r="N334" s="4"/>
      <c r="O334" s="4"/>
      <c r="P334" s="4"/>
      <c r="Q334" s="4"/>
      <c r="R334" s="4"/>
      <c r="S334" s="4"/>
      <c r="T334" s="4"/>
      <c r="U334" s="4"/>
      <c r="V334" s="4"/>
      <c r="W334" s="4"/>
      <c r="X334" s="4"/>
      <c r="Y334" s="4"/>
      <c r="Z334" s="4"/>
      <c r="AA334" s="4"/>
      <c r="AB334" s="4"/>
      <c r="AC334" s="4"/>
      <c r="AD334" s="4"/>
      <c r="AE334" s="4"/>
      <c r="AF334" s="4"/>
    </row>
    <row r="335" spans="1:32" ht="15.75" customHeight="1">
      <c r="A335" s="4"/>
      <c r="B335" s="4"/>
      <c r="C335" s="4"/>
      <c r="D335" s="4"/>
      <c r="E335" s="4"/>
      <c r="F335" s="4"/>
      <c r="G335" s="4"/>
      <c r="H335" s="4"/>
      <c r="I335" s="4"/>
      <c r="J335" s="19"/>
      <c r="K335" s="4"/>
      <c r="L335" s="4"/>
      <c r="M335" s="4"/>
      <c r="N335" s="4"/>
      <c r="O335" s="4"/>
      <c r="P335" s="4"/>
      <c r="Q335" s="4"/>
      <c r="R335" s="4"/>
      <c r="S335" s="4"/>
      <c r="T335" s="4"/>
      <c r="U335" s="4"/>
      <c r="V335" s="4"/>
      <c r="W335" s="4"/>
      <c r="X335" s="4"/>
      <c r="Y335" s="4"/>
      <c r="Z335" s="4"/>
      <c r="AA335" s="4"/>
      <c r="AB335" s="4"/>
      <c r="AC335" s="4"/>
      <c r="AD335" s="4"/>
      <c r="AE335" s="4"/>
      <c r="AF335" s="4"/>
    </row>
    <row r="336" spans="1:32" ht="15.75" customHeight="1">
      <c r="A336" s="4"/>
      <c r="B336" s="4"/>
      <c r="C336" s="4"/>
      <c r="D336" s="4"/>
      <c r="E336" s="4"/>
      <c r="F336" s="4"/>
      <c r="G336" s="4"/>
      <c r="H336" s="4"/>
      <c r="I336" s="4"/>
      <c r="J336" s="19"/>
      <c r="K336" s="4"/>
      <c r="L336" s="4"/>
      <c r="M336" s="4"/>
      <c r="N336" s="4"/>
      <c r="O336" s="4"/>
      <c r="P336" s="4"/>
      <c r="Q336" s="4"/>
      <c r="R336" s="4"/>
      <c r="S336" s="4"/>
      <c r="T336" s="4"/>
      <c r="U336" s="4"/>
      <c r="V336" s="4"/>
      <c r="W336" s="4"/>
      <c r="X336" s="4"/>
      <c r="Y336" s="4"/>
      <c r="Z336" s="4"/>
      <c r="AA336" s="4"/>
      <c r="AB336" s="4"/>
      <c r="AC336" s="4"/>
      <c r="AD336" s="4"/>
      <c r="AE336" s="4"/>
      <c r="AF336" s="4"/>
    </row>
    <row r="337" spans="1:32" ht="15.75" customHeight="1">
      <c r="A337" s="4"/>
      <c r="B337" s="4"/>
      <c r="C337" s="4"/>
      <c r="D337" s="4"/>
      <c r="E337" s="4"/>
      <c r="F337" s="4"/>
      <c r="G337" s="4"/>
      <c r="H337" s="4"/>
      <c r="I337" s="4"/>
      <c r="J337" s="19"/>
      <c r="K337" s="4"/>
      <c r="L337" s="4"/>
      <c r="M337" s="4"/>
      <c r="N337" s="4"/>
      <c r="O337" s="4"/>
      <c r="P337" s="4"/>
      <c r="Q337" s="4"/>
      <c r="R337" s="4"/>
      <c r="S337" s="4"/>
      <c r="T337" s="4"/>
      <c r="U337" s="4"/>
      <c r="V337" s="4"/>
      <c r="W337" s="4"/>
      <c r="X337" s="4"/>
      <c r="Y337" s="4"/>
      <c r="Z337" s="4"/>
      <c r="AA337" s="4"/>
      <c r="AB337" s="4"/>
      <c r="AC337" s="4"/>
      <c r="AD337" s="4"/>
      <c r="AE337" s="4"/>
      <c r="AF337" s="4"/>
    </row>
    <row r="338" spans="1:32" ht="15.75" customHeight="1">
      <c r="A338" s="4"/>
      <c r="B338" s="4"/>
      <c r="C338" s="4"/>
      <c r="D338" s="4"/>
      <c r="E338" s="4"/>
      <c r="F338" s="4"/>
      <c r="G338" s="4"/>
      <c r="H338" s="4"/>
      <c r="I338" s="4"/>
      <c r="J338" s="19"/>
      <c r="K338" s="4"/>
      <c r="L338" s="4"/>
      <c r="M338" s="4"/>
      <c r="N338" s="4"/>
      <c r="O338" s="4"/>
      <c r="P338" s="4"/>
      <c r="Q338" s="4"/>
      <c r="R338" s="4"/>
      <c r="S338" s="4"/>
      <c r="T338" s="4"/>
      <c r="U338" s="4"/>
      <c r="V338" s="4"/>
      <c r="W338" s="4"/>
      <c r="X338" s="4"/>
      <c r="Y338" s="4"/>
      <c r="Z338" s="4"/>
      <c r="AA338" s="4"/>
      <c r="AB338" s="4"/>
      <c r="AC338" s="4"/>
      <c r="AD338" s="4"/>
      <c r="AE338" s="4"/>
      <c r="AF338" s="4"/>
    </row>
    <row r="339" spans="1:32" ht="15.75" customHeight="1">
      <c r="A339" s="4"/>
      <c r="B339" s="4"/>
      <c r="C339" s="4"/>
      <c r="D339" s="4"/>
      <c r="E339" s="4"/>
      <c r="F339" s="4"/>
      <c r="G339" s="4"/>
      <c r="H339" s="4"/>
      <c r="I339" s="4"/>
      <c r="J339" s="19"/>
      <c r="K339" s="4"/>
      <c r="L339" s="4"/>
      <c r="M339" s="4"/>
      <c r="N339" s="4"/>
      <c r="O339" s="4"/>
      <c r="P339" s="4"/>
      <c r="Q339" s="4"/>
      <c r="R339" s="4"/>
      <c r="S339" s="4"/>
      <c r="T339" s="4"/>
      <c r="U339" s="4"/>
      <c r="V339" s="4"/>
      <c r="W339" s="4"/>
      <c r="X339" s="4"/>
      <c r="Y339" s="4"/>
      <c r="Z339" s="4"/>
      <c r="AA339" s="4"/>
      <c r="AB339" s="4"/>
      <c r="AC339" s="4"/>
      <c r="AD339" s="4"/>
      <c r="AE339" s="4"/>
      <c r="AF339" s="4"/>
    </row>
    <row r="340" spans="1:32" ht="15.75" customHeight="1">
      <c r="A340" s="4"/>
      <c r="B340" s="4"/>
      <c r="C340" s="4"/>
      <c r="D340" s="4"/>
      <c r="E340" s="4"/>
      <c r="F340" s="4"/>
      <c r="G340" s="4"/>
      <c r="H340" s="4"/>
      <c r="I340" s="4"/>
      <c r="J340" s="19"/>
      <c r="K340" s="4"/>
      <c r="L340" s="4"/>
      <c r="M340" s="4"/>
      <c r="N340" s="4"/>
      <c r="O340" s="4"/>
      <c r="P340" s="4"/>
      <c r="Q340" s="4"/>
      <c r="R340" s="4"/>
      <c r="S340" s="4"/>
      <c r="T340" s="4"/>
      <c r="U340" s="4"/>
      <c r="V340" s="4"/>
      <c r="W340" s="4"/>
      <c r="X340" s="4"/>
      <c r="Y340" s="4"/>
      <c r="Z340" s="4"/>
      <c r="AA340" s="4"/>
      <c r="AB340" s="4"/>
      <c r="AC340" s="4"/>
      <c r="AD340" s="4"/>
      <c r="AE340" s="4"/>
      <c r="AF340" s="4"/>
    </row>
    <row r="341" spans="1:32" ht="15.75" customHeight="1">
      <c r="A341" s="4"/>
      <c r="B341" s="4"/>
      <c r="C341" s="4"/>
      <c r="D341" s="4"/>
      <c r="E341" s="4"/>
      <c r="F341" s="4"/>
      <c r="G341" s="4"/>
      <c r="H341" s="4"/>
      <c r="I341" s="4"/>
      <c r="J341" s="19"/>
      <c r="K341" s="4"/>
      <c r="L341" s="4"/>
      <c r="M341" s="4"/>
      <c r="N341" s="4"/>
      <c r="O341" s="4"/>
      <c r="P341" s="4"/>
      <c r="Q341" s="4"/>
      <c r="R341" s="4"/>
      <c r="S341" s="4"/>
      <c r="T341" s="4"/>
      <c r="U341" s="4"/>
      <c r="V341" s="4"/>
      <c r="W341" s="4"/>
      <c r="X341" s="4"/>
      <c r="Y341" s="4"/>
      <c r="Z341" s="4"/>
      <c r="AA341" s="4"/>
      <c r="AB341" s="4"/>
      <c r="AC341" s="4"/>
      <c r="AD341" s="4"/>
      <c r="AE341" s="4"/>
      <c r="AF341" s="4"/>
    </row>
    <row r="342" spans="1:32" ht="15.75" customHeight="1">
      <c r="A342" s="4"/>
      <c r="B342" s="4"/>
      <c r="C342" s="4"/>
      <c r="D342" s="4"/>
      <c r="E342" s="4"/>
      <c r="F342" s="4"/>
      <c r="G342" s="4"/>
      <c r="H342" s="4"/>
      <c r="I342" s="4"/>
      <c r="J342" s="19"/>
      <c r="K342" s="4"/>
      <c r="L342" s="4"/>
      <c r="M342" s="4"/>
      <c r="N342" s="4"/>
      <c r="O342" s="4"/>
      <c r="P342" s="4"/>
      <c r="Q342" s="4"/>
      <c r="R342" s="4"/>
      <c r="S342" s="4"/>
      <c r="T342" s="4"/>
      <c r="U342" s="4"/>
      <c r="V342" s="4"/>
      <c r="W342" s="4"/>
      <c r="X342" s="4"/>
      <c r="Y342" s="4"/>
      <c r="Z342" s="4"/>
      <c r="AA342" s="4"/>
      <c r="AB342" s="4"/>
      <c r="AC342" s="4"/>
      <c r="AD342" s="4"/>
      <c r="AE342" s="4"/>
      <c r="AF342" s="4"/>
    </row>
    <row r="343" spans="1:32" ht="15.75" customHeight="1">
      <c r="A343" s="4"/>
      <c r="B343" s="4"/>
      <c r="C343" s="4"/>
      <c r="D343" s="4"/>
      <c r="E343" s="4"/>
      <c r="F343" s="4"/>
      <c r="G343" s="4"/>
      <c r="H343" s="4"/>
      <c r="I343" s="4"/>
      <c r="J343" s="19"/>
      <c r="K343" s="4"/>
      <c r="L343" s="4"/>
      <c r="M343" s="4"/>
      <c r="N343" s="4"/>
      <c r="O343" s="4"/>
      <c r="P343" s="4"/>
      <c r="Q343" s="4"/>
      <c r="R343" s="4"/>
      <c r="S343" s="4"/>
      <c r="T343" s="4"/>
      <c r="U343" s="4"/>
      <c r="V343" s="4"/>
      <c r="W343" s="4"/>
      <c r="X343" s="4"/>
      <c r="Y343" s="4"/>
      <c r="Z343" s="4"/>
      <c r="AA343" s="4"/>
      <c r="AB343" s="4"/>
      <c r="AC343" s="4"/>
      <c r="AD343" s="4"/>
      <c r="AE343" s="4"/>
      <c r="AF343" s="4"/>
    </row>
    <row r="344" spans="1:32" ht="15.75" customHeight="1">
      <c r="A344" s="4"/>
      <c r="B344" s="4"/>
      <c r="C344" s="4"/>
      <c r="D344" s="4"/>
      <c r="E344" s="4"/>
      <c r="F344" s="4"/>
      <c r="G344" s="4"/>
      <c r="H344" s="4"/>
      <c r="I344" s="4"/>
      <c r="J344" s="19"/>
      <c r="K344" s="4"/>
      <c r="L344" s="4"/>
      <c r="M344" s="4"/>
      <c r="N344" s="4"/>
      <c r="O344" s="4"/>
      <c r="P344" s="4"/>
      <c r="Q344" s="4"/>
      <c r="R344" s="4"/>
      <c r="S344" s="4"/>
      <c r="T344" s="4"/>
      <c r="U344" s="4"/>
      <c r="V344" s="4"/>
      <c r="W344" s="4"/>
      <c r="X344" s="4"/>
      <c r="Y344" s="4"/>
      <c r="Z344" s="4"/>
      <c r="AA344" s="4"/>
      <c r="AB344" s="4"/>
      <c r="AC344" s="4"/>
      <c r="AD344" s="4"/>
      <c r="AE344" s="4"/>
      <c r="AF344" s="4"/>
    </row>
    <row r="345" spans="1:32" ht="15.75" customHeight="1">
      <c r="A345" s="4"/>
      <c r="B345" s="4"/>
      <c r="C345" s="4"/>
      <c r="D345" s="4"/>
      <c r="E345" s="4"/>
      <c r="F345" s="4"/>
      <c r="G345" s="4"/>
      <c r="H345" s="4"/>
      <c r="I345" s="4"/>
      <c r="J345" s="19"/>
      <c r="K345" s="4"/>
      <c r="L345" s="4"/>
      <c r="M345" s="4"/>
      <c r="N345" s="4"/>
      <c r="O345" s="4"/>
      <c r="P345" s="4"/>
      <c r="Q345" s="4"/>
      <c r="R345" s="4"/>
      <c r="S345" s="4"/>
      <c r="T345" s="4"/>
      <c r="U345" s="4"/>
      <c r="V345" s="4"/>
      <c r="W345" s="4"/>
      <c r="X345" s="4"/>
      <c r="Y345" s="4"/>
      <c r="Z345" s="4"/>
      <c r="AA345" s="4"/>
      <c r="AB345" s="4"/>
      <c r="AC345" s="4"/>
      <c r="AD345" s="4"/>
      <c r="AE345" s="4"/>
      <c r="AF345" s="4"/>
    </row>
    <row r="346" spans="1:32" ht="15.75" customHeight="1">
      <c r="A346" s="4"/>
      <c r="B346" s="4"/>
      <c r="C346" s="4"/>
      <c r="D346" s="4"/>
      <c r="E346" s="4"/>
      <c r="F346" s="4"/>
      <c r="G346" s="4"/>
      <c r="H346" s="4"/>
      <c r="I346" s="4"/>
      <c r="J346" s="19"/>
      <c r="K346" s="4"/>
      <c r="L346" s="4"/>
      <c r="M346" s="4"/>
      <c r="N346" s="4"/>
      <c r="O346" s="4"/>
      <c r="P346" s="4"/>
      <c r="Q346" s="4"/>
      <c r="R346" s="4"/>
      <c r="S346" s="4"/>
      <c r="T346" s="4"/>
      <c r="U346" s="4"/>
      <c r="V346" s="4"/>
      <c r="W346" s="4"/>
      <c r="X346" s="4"/>
      <c r="Y346" s="4"/>
      <c r="Z346" s="4"/>
      <c r="AA346" s="4"/>
      <c r="AB346" s="4"/>
      <c r="AC346" s="4"/>
      <c r="AD346" s="4"/>
      <c r="AE346" s="4"/>
      <c r="AF346" s="4"/>
    </row>
    <row r="347" spans="1:32" ht="15.75" customHeight="1">
      <c r="A347" s="4"/>
      <c r="B347" s="4"/>
      <c r="C347" s="4"/>
      <c r="D347" s="4"/>
      <c r="E347" s="4"/>
      <c r="F347" s="4"/>
      <c r="G347" s="4"/>
      <c r="H347" s="4"/>
      <c r="I347" s="4"/>
      <c r="J347" s="19"/>
      <c r="K347" s="4"/>
      <c r="L347" s="4"/>
      <c r="M347" s="4"/>
      <c r="N347" s="4"/>
      <c r="O347" s="4"/>
      <c r="P347" s="4"/>
      <c r="Q347" s="4"/>
      <c r="R347" s="4"/>
      <c r="S347" s="4"/>
      <c r="T347" s="4"/>
      <c r="U347" s="4"/>
      <c r="V347" s="4"/>
      <c r="W347" s="4"/>
      <c r="X347" s="4"/>
      <c r="Y347" s="4"/>
      <c r="Z347" s="4"/>
      <c r="AA347" s="4"/>
      <c r="AB347" s="4"/>
      <c r="AC347" s="4"/>
      <c r="AD347" s="4"/>
      <c r="AE347" s="4"/>
      <c r="AF347" s="4"/>
    </row>
    <row r="348" spans="1:32" ht="15.75" customHeight="1">
      <c r="A348" s="4"/>
      <c r="B348" s="4"/>
      <c r="C348" s="4"/>
      <c r="D348" s="4"/>
      <c r="E348" s="4"/>
      <c r="F348" s="4"/>
      <c r="G348" s="4"/>
      <c r="H348" s="4"/>
      <c r="I348" s="4"/>
      <c r="J348" s="19"/>
      <c r="K348" s="4"/>
      <c r="L348" s="4"/>
      <c r="M348" s="4"/>
      <c r="N348" s="4"/>
      <c r="O348" s="4"/>
      <c r="P348" s="4"/>
      <c r="Q348" s="4"/>
      <c r="R348" s="4"/>
      <c r="S348" s="4"/>
      <c r="T348" s="4"/>
      <c r="U348" s="4"/>
      <c r="V348" s="4"/>
      <c r="W348" s="4"/>
      <c r="X348" s="4"/>
      <c r="Y348" s="4"/>
      <c r="Z348" s="4"/>
      <c r="AA348" s="4"/>
      <c r="AB348" s="4"/>
      <c r="AC348" s="4"/>
      <c r="AD348" s="4"/>
      <c r="AE348" s="4"/>
      <c r="AF348" s="4"/>
    </row>
    <row r="349" spans="1:32" ht="15.75" customHeight="1">
      <c r="A349" s="4"/>
      <c r="B349" s="4"/>
      <c r="C349" s="4"/>
      <c r="D349" s="4"/>
      <c r="E349" s="4"/>
      <c r="F349" s="4"/>
      <c r="G349" s="4"/>
      <c r="H349" s="4"/>
      <c r="I349" s="4"/>
      <c r="J349" s="19"/>
      <c r="K349" s="4"/>
      <c r="L349" s="4"/>
      <c r="M349" s="4"/>
      <c r="N349" s="4"/>
      <c r="O349" s="4"/>
      <c r="P349" s="4"/>
      <c r="Q349" s="4"/>
      <c r="R349" s="4"/>
      <c r="S349" s="4"/>
      <c r="T349" s="4"/>
      <c r="U349" s="4"/>
      <c r="V349" s="4"/>
      <c r="W349" s="4"/>
      <c r="X349" s="4"/>
      <c r="Y349" s="4"/>
      <c r="Z349" s="4"/>
      <c r="AA349" s="4"/>
      <c r="AB349" s="4"/>
      <c r="AC349" s="4"/>
      <c r="AD349" s="4"/>
      <c r="AE349" s="4"/>
      <c r="AF349" s="4"/>
    </row>
    <row r="350" spans="1:32" ht="15.75" customHeight="1">
      <c r="A350" s="4"/>
      <c r="B350" s="4"/>
      <c r="C350" s="4"/>
      <c r="D350" s="4"/>
      <c r="E350" s="4"/>
      <c r="F350" s="4"/>
      <c r="G350" s="4"/>
      <c r="H350" s="4"/>
      <c r="I350" s="4"/>
      <c r="J350" s="19"/>
      <c r="K350" s="4"/>
      <c r="L350" s="4"/>
      <c r="M350" s="4"/>
      <c r="N350" s="4"/>
      <c r="O350" s="4"/>
      <c r="P350" s="4"/>
      <c r="Q350" s="4"/>
      <c r="R350" s="4"/>
      <c r="S350" s="4"/>
      <c r="T350" s="4"/>
      <c r="U350" s="4"/>
      <c r="V350" s="4"/>
      <c r="W350" s="4"/>
      <c r="X350" s="4"/>
      <c r="Y350" s="4"/>
      <c r="Z350" s="4"/>
      <c r="AA350" s="4"/>
      <c r="AB350" s="4"/>
      <c r="AC350" s="4"/>
      <c r="AD350" s="4"/>
      <c r="AE350" s="4"/>
      <c r="AF350" s="4"/>
    </row>
    <row r="351" spans="1:32" ht="15.75" customHeight="1">
      <c r="A351" s="4"/>
      <c r="B351" s="4"/>
      <c r="C351" s="4"/>
      <c r="D351" s="4"/>
      <c r="E351" s="4"/>
      <c r="F351" s="4"/>
      <c r="G351" s="4"/>
      <c r="H351" s="4"/>
      <c r="I351" s="4"/>
      <c r="J351" s="19"/>
      <c r="K351" s="4"/>
      <c r="L351" s="4"/>
      <c r="M351" s="4"/>
      <c r="N351" s="4"/>
      <c r="O351" s="4"/>
      <c r="P351" s="4"/>
      <c r="Q351" s="4"/>
      <c r="R351" s="4"/>
      <c r="S351" s="4"/>
      <c r="T351" s="4"/>
      <c r="U351" s="4"/>
      <c r="V351" s="4"/>
      <c r="W351" s="4"/>
      <c r="X351" s="4"/>
      <c r="Y351" s="4"/>
      <c r="Z351" s="4"/>
      <c r="AA351" s="4"/>
      <c r="AB351" s="4"/>
      <c r="AC351" s="4"/>
      <c r="AD351" s="4"/>
      <c r="AE351" s="4"/>
      <c r="AF351" s="4"/>
    </row>
    <row r="352" spans="1:32" ht="15.75" customHeight="1">
      <c r="A352" s="4"/>
      <c r="B352" s="4"/>
      <c r="C352" s="4"/>
      <c r="D352" s="4"/>
      <c r="E352" s="4"/>
      <c r="F352" s="4"/>
      <c r="G352" s="4"/>
      <c r="H352" s="4"/>
      <c r="I352" s="4"/>
      <c r="J352" s="19"/>
      <c r="K352" s="4"/>
      <c r="L352" s="4"/>
      <c r="M352" s="4"/>
      <c r="N352" s="4"/>
      <c r="O352" s="4"/>
      <c r="P352" s="4"/>
      <c r="Q352" s="4"/>
      <c r="R352" s="4"/>
      <c r="S352" s="4"/>
      <c r="T352" s="4"/>
      <c r="U352" s="4"/>
      <c r="V352" s="4"/>
      <c r="W352" s="4"/>
      <c r="X352" s="4"/>
      <c r="Y352" s="4"/>
      <c r="Z352" s="4"/>
      <c r="AA352" s="4"/>
      <c r="AB352" s="4"/>
      <c r="AC352" s="4"/>
      <c r="AD352" s="4"/>
      <c r="AE352" s="4"/>
      <c r="AF352" s="4"/>
    </row>
    <row r="353" spans="1:32" ht="15.75" customHeight="1">
      <c r="A353" s="4"/>
      <c r="B353" s="4"/>
      <c r="C353" s="4"/>
      <c r="D353" s="4"/>
      <c r="E353" s="4"/>
      <c r="F353" s="4"/>
      <c r="G353" s="4"/>
      <c r="H353" s="4"/>
      <c r="I353" s="4"/>
      <c r="J353" s="19"/>
      <c r="K353" s="4"/>
      <c r="L353" s="4"/>
      <c r="M353" s="4"/>
      <c r="N353" s="4"/>
      <c r="O353" s="4"/>
      <c r="P353" s="4"/>
      <c r="Q353" s="4"/>
      <c r="R353" s="4"/>
      <c r="S353" s="4"/>
      <c r="T353" s="4"/>
      <c r="U353" s="4"/>
      <c r="V353" s="4"/>
      <c r="W353" s="4"/>
      <c r="X353" s="4"/>
      <c r="Y353" s="4"/>
      <c r="Z353" s="4"/>
      <c r="AA353" s="4"/>
      <c r="AB353" s="4"/>
      <c r="AC353" s="4"/>
      <c r="AD353" s="4"/>
      <c r="AE353" s="4"/>
      <c r="AF353" s="4"/>
    </row>
    <row r="354" spans="1:32" ht="15.75" customHeight="1">
      <c r="A354" s="4"/>
      <c r="B354" s="4"/>
      <c r="C354" s="4"/>
      <c r="D354" s="4"/>
      <c r="E354" s="4"/>
      <c r="F354" s="4"/>
      <c r="G354" s="4"/>
      <c r="H354" s="4"/>
      <c r="I354" s="4"/>
      <c r="J354" s="19"/>
      <c r="K354" s="4"/>
      <c r="L354" s="4"/>
      <c r="M354" s="4"/>
      <c r="N354" s="4"/>
      <c r="O354" s="4"/>
      <c r="P354" s="4"/>
      <c r="Q354" s="4"/>
      <c r="R354" s="4"/>
      <c r="S354" s="4"/>
      <c r="T354" s="4"/>
      <c r="U354" s="4"/>
      <c r="V354" s="4"/>
      <c r="W354" s="4"/>
      <c r="X354" s="4"/>
      <c r="Y354" s="4"/>
      <c r="Z354" s="4"/>
      <c r="AA354" s="4"/>
      <c r="AB354" s="4"/>
      <c r="AC354" s="4"/>
      <c r="AD354" s="4"/>
      <c r="AE354" s="4"/>
      <c r="AF354" s="4"/>
    </row>
    <row r="355" spans="1:32" ht="15.75" customHeight="1">
      <c r="A355" s="4"/>
      <c r="B355" s="4"/>
      <c r="C355" s="4"/>
      <c r="D355" s="4"/>
      <c r="E355" s="4"/>
      <c r="F355" s="4"/>
      <c r="G355" s="4"/>
      <c r="H355" s="4"/>
      <c r="I355" s="4"/>
      <c r="J355" s="19"/>
      <c r="K355" s="4"/>
      <c r="L355" s="4"/>
      <c r="M355" s="4"/>
      <c r="N355" s="4"/>
      <c r="O355" s="4"/>
      <c r="P355" s="4"/>
      <c r="Q355" s="4"/>
      <c r="R355" s="4"/>
      <c r="S355" s="4"/>
      <c r="T355" s="4"/>
      <c r="U355" s="4"/>
      <c r="V355" s="4"/>
      <c r="W355" s="4"/>
      <c r="X355" s="4"/>
      <c r="Y355" s="4"/>
      <c r="Z355" s="4"/>
      <c r="AA355" s="4"/>
      <c r="AB355" s="4"/>
      <c r="AC355" s="4"/>
      <c r="AD355" s="4"/>
      <c r="AE355" s="4"/>
      <c r="AF355" s="4"/>
    </row>
    <row r="356" spans="1:32" ht="15.75" customHeight="1">
      <c r="A356" s="4"/>
      <c r="B356" s="4"/>
      <c r="C356" s="4"/>
      <c r="D356" s="4"/>
      <c r="E356" s="4"/>
      <c r="F356" s="4"/>
      <c r="G356" s="4"/>
      <c r="H356" s="4"/>
      <c r="I356" s="4"/>
      <c r="J356" s="19"/>
      <c r="K356" s="4"/>
      <c r="L356" s="4"/>
      <c r="M356" s="4"/>
      <c r="N356" s="4"/>
      <c r="O356" s="4"/>
      <c r="P356" s="4"/>
      <c r="Q356" s="4"/>
      <c r="R356" s="4"/>
      <c r="S356" s="4"/>
      <c r="T356" s="4"/>
      <c r="U356" s="4"/>
      <c r="V356" s="4"/>
      <c r="W356" s="4"/>
      <c r="X356" s="4"/>
      <c r="Y356" s="4"/>
      <c r="Z356" s="4"/>
      <c r="AA356" s="4"/>
      <c r="AB356" s="4"/>
      <c r="AC356" s="4"/>
      <c r="AD356" s="4"/>
      <c r="AE356" s="4"/>
      <c r="AF356" s="4"/>
    </row>
    <row r="357" spans="1:32" ht="15.75" customHeight="1">
      <c r="A357" s="4"/>
      <c r="B357" s="4"/>
      <c r="C357" s="4"/>
      <c r="D357" s="4"/>
      <c r="E357" s="4"/>
      <c r="F357" s="4"/>
      <c r="G357" s="4"/>
      <c r="H357" s="4"/>
      <c r="I357" s="4"/>
      <c r="J357" s="19"/>
      <c r="K357" s="4"/>
      <c r="L357" s="4"/>
      <c r="M357" s="4"/>
      <c r="N357" s="4"/>
      <c r="O357" s="4"/>
      <c r="P357" s="4"/>
      <c r="Q357" s="4"/>
      <c r="R357" s="4"/>
      <c r="S357" s="4"/>
      <c r="T357" s="4"/>
      <c r="U357" s="4"/>
      <c r="V357" s="4"/>
      <c r="W357" s="4"/>
      <c r="X357" s="4"/>
      <c r="Y357" s="4"/>
      <c r="Z357" s="4"/>
      <c r="AA357" s="4"/>
      <c r="AB357" s="4"/>
      <c r="AC357" s="4"/>
      <c r="AD357" s="4"/>
      <c r="AE357" s="4"/>
      <c r="AF357" s="4"/>
    </row>
    <row r="358" spans="1:32" ht="15.75" customHeight="1">
      <c r="A358" s="4"/>
      <c r="B358" s="4"/>
      <c r="C358" s="4"/>
      <c r="D358" s="4"/>
      <c r="E358" s="4"/>
      <c r="F358" s="4"/>
      <c r="G358" s="4"/>
      <c r="H358" s="4"/>
      <c r="I358" s="4"/>
      <c r="J358" s="19"/>
      <c r="K358" s="4"/>
      <c r="L358" s="4"/>
      <c r="M358" s="4"/>
      <c r="N358" s="4"/>
      <c r="O358" s="4"/>
      <c r="P358" s="4"/>
      <c r="Q358" s="4"/>
      <c r="R358" s="4"/>
      <c r="S358" s="4"/>
      <c r="T358" s="4"/>
      <c r="U358" s="4"/>
      <c r="V358" s="4"/>
      <c r="W358" s="4"/>
      <c r="X358" s="4"/>
      <c r="Y358" s="4"/>
      <c r="Z358" s="4"/>
      <c r="AA358" s="4"/>
      <c r="AB358" s="4"/>
      <c r="AC358" s="4"/>
      <c r="AD358" s="4"/>
      <c r="AE358" s="4"/>
      <c r="AF358" s="4"/>
    </row>
    <row r="359" spans="1:32" ht="15.75" customHeight="1">
      <c r="A359" s="4"/>
      <c r="B359" s="4"/>
      <c r="C359" s="4"/>
      <c r="D359" s="4"/>
      <c r="E359" s="4"/>
      <c r="F359" s="4"/>
      <c r="G359" s="4"/>
      <c r="H359" s="4"/>
      <c r="I359" s="4"/>
      <c r="J359" s="19"/>
      <c r="K359" s="4"/>
      <c r="L359" s="4"/>
      <c r="M359" s="4"/>
      <c r="N359" s="4"/>
      <c r="O359" s="4"/>
      <c r="P359" s="4"/>
      <c r="Q359" s="4"/>
      <c r="R359" s="4"/>
      <c r="S359" s="4"/>
      <c r="T359" s="4"/>
      <c r="U359" s="4"/>
      <c r="V359" s="4"/>
      <c r="W359" s="4"/>
      <c r="X359" s="4"/>
      <c r="Y359" s="4"/>
      <c r="Z359" s="4"/>
      <c r="AA359" s="4"/>
      <c r="AB359" s="4"/>
      <c r="AC359" s="4"/>
      <c r="AD359" s="4"/>
      <c r="AE359" s="4"/>
      <c r="AF359" s="4"/>
    </row>
    <row r="360" spans="1:32" ht="15.75" customHeight="1">
      <c r="A360" s="4"/>
      <c r="B360" s="4"/>
      <c r="C360" s="4"/>
      <c r="D360" s="4"/>
      <c r="E360" s="4"/>
      <c r="F360" s="4"/>
      <c r="G360" s="4"/>
      <c r="H360" s="4"/>
      <c r="I360" s="4"/>
      <c r="J360" s="19"/>
      <c r="K360" s="4"/>
      <c r="L360" s="4"/>
      <c r="M360" s="4"/>
      <c r="N360" s="4"/>
      <c r="O360" s="4"/>
      <c r="P360" s="4"/>
      <c r="Q360" s="4"/>
      <c r="R360" s="4"/>
      <c r="S360" s="4"/>
      <c r="T360" s="4"/>
      <c r="U360" s="4"/>
      <c r="V360" s="4"/>
      <c r="W360" s="4"/>
      <c r="X360" s="4"/>
      <c r="Y360" s="4"/>
      <c r="Z360" s="4"/>
      <c r="AA360" s="4"/>
      <c r="AB360" s="4"/>
      <c r="AC360" s="4"/>
      <c r="AD360" s="4"/>
      <c r="AE360" s="4"/>
      <c r="AF360" s="4"/>
    </row>
    <row r="361" spans="1:32" ht="15.75" customHeight="1">
      <c r="A361" s="4"/>
      <c r="B361" s="4"/>
      <c r="C361" s="4"/>
      <c r="D361" s="4"/>
      <c r="E361" s="4"/>
      <c r="F361" s="4"/>
      <c r="G361" s="4"/>
      <c r="H361" s="4"/>
      <c r="I361" s="4"/>
      <c r="J361" s="19"/>
      <c r="K361" s="4"/>
      <c r="L361" s="4"/>
      <c r="M361" s="4"/>
      <c r="N361" s="4"/>
      <c r="O361" s="4"/>
      <c r="P361" s="4"/>
      <c r="Q361" s="4"/>
      <c r="R361" s="4"/>
      <c r="S361" s="4"/>
      <c r="T361" s="4"/>
      <c r="U361" s="4"/>
      <c r="V361" s="4"/>
      <c r="W361" s="4"/>
      <c r="X361" s="4"/>
      <c r="Y361" s="4"/>
      <c r="Z361" s="4"/>
      <c r="AA361" s="4"/>
      <c r="AB361" s="4"/>
      <c r="AC361" s="4"/>
      <c r="AD361" s="4"/>
      <c r="AE361" s="4"/>
      <c r="AF361" s="4"/>
    </row>
    <row r="362" spans="1:32" ht="15.75" customHeight="1">
      <c r="A362" s="4"/>
      <c r="B362" s="4"/>
      <c r="C362" s="4"/>
      <c r="D362" s="4"/>
      <c r="E362" s="4"/>
      <c r="F362" s="4"/>
      <c r="G362" s="4"/>
      <c r="H362" s="4"/>
      <c r="I362" s="4"/>
      <c r="J362" s="19"/>
      <c r="K362" s="4"/>
      <c r="L362" s="4"/>
      <c r="M362" s="4"/>
      <c r="N362" s="4"/>
      <c r="O362" s="4"/>
      <c r="P362" s="4"/>
      <c r="Q362" s="4"/>
      <c r="R362" s="4"/>
      <c r="S362" s="4"/>
      <c r="T362" s="4"/>
      <c r="U362" s="4"/>
      <c r="V362" s="4"/>
      <c r="W362" s="4"/>
      <c r="X362" s="4"/>
      <c r="Y362" s="4"/>
      <c r="Z362" s="4"/>
      <c r="AA362" s="4"/>
      <c r="AB362" s="4"/>
      <c r="AC362" s="4"/>
      <c r="AD362" s="4"/>
      <c r="AE362" s="4"/>
      <c r="AF362" s="4"/>
    </row>
    <row r="363" spans="1:32" ht="15.75" customHeight="1">
      <c r="A363" s="4"/>
      <c r="B363" s="4"/>
      <c r="C363" s="4"/>
      <c r="D363" s="4"/>
      <c r="E363" s="4"/>
      <c r="F363" s="4"/>
      <c r="G363" s="4"/>
      <c r="H363" s="4"/>
      <c r="I363" s="4"/>
      <c r="J363" s="19"/>
      <c r="K363" s="4"/>
      <c r="L363" s="4"/>
      <c r="M363" s="4"/>
      <c r="N363" s="4"/>
      <c r="O363" s="4"/>
      <c r="P363" s="4"/>
      <c r="Q363" s="4"/>
      <c r="R363" s="4"/>
      <c r="S363" s="4"/>
      <c r="T363" s="4"/>
      <c r="U363" s="4"/>
      <c r="V363" s="4"/>
      <c r="W363" s="4"/>
      <c r="X363" s="4"/>
      <c r="Y363" s="4"/>
      <c r="Z363" s="4"/>
      <c r="AA363" s="4"/>
      <c r="AB363" s="4"/>
      <c r="AC363" s="4"/>
      <c r="AD363" s="4"/>
      <c r="AE363" s="4"/>
      <c r="AF363" s="4"/>
    </row>
    <row r="364" spans="1:32" ht="15.75" customHeight="1">
      <c r="A364" s="4"/>
      <c r="B364" s="4"/>
      <c r="C364" s="4"/>
      <c r="D364" s="4"/>
      <c r="E364" s="4"/>
      <c r="F364" s="4"/>
      <c r="G364" s="4"/>
      <c r="H364" s="4"/>
      <c r="I364" s="4"/>
      <c r="J364" s="19"/>
      <c r="K364" s="4"/>
      <c r="L364" s="4"/>
      <c r="M364" s="4"/>
      <c r="N364" s="4"/>
      <c r="O364" s="4"/>
      <c r="P364" s="4"/>
      <c r="Q364" s="4"/>
      <c r="R364" s="4"/>
      <c r="S364" s="4"/>
      <c r="T364" s="4"/>
      <c r="U364" s="4"/>
      <c r="V364" s="4"/>
      <c r="W364" s="4"/>
      <c r="X364" s="4"/>
      <c r="Y364" s="4"/>
      <c r="Z364" s="4"/>
      <c r="AA364" s="4"/>
      <c r="AB364" s="4"/>
      <c r="AC364" s="4"/>
      <c r="AD364" s="4"/>
      <c r="AE364" s="4"/>
      <c r="AF364" s="4"/>
    </row>
    <row r="365" spans="1:32" ht="15.75" customHeight="1">
      <c r="A365" s="4"/>
      <c r="B365" s="4"/>
      <c r="C365" s="4"/>
      <c r="D365" s="4"/>
      <c r="E365" s="4"/>
      <c r="F365" s="4"/>
      <c r="G365" s="4"/>
      <c r="H365" s="4"/>
      <c r="I365" s="4"/>
      <c r="J365" s="19"/>
      <c r="K365" s="4"/>
      <c r="L365" s="4"/>
      <c r="M365" s="4"/>
      <c r="N365" s="4"/>
      <c r="O365" s="4"/>
      <c r="P365" s="4"/>
      <c r="Q365" s="4"/>
      <c r="R365" s="4"/>
      <c r="S365" s="4"/>
      <c r="T365" s="4"/>
      <c r="U365" s="4"/>
      <c r="V365" s="4"/>
      <c r="W365" s="4"/>
      <c r="X365" s="4"/>
      <c r="Y365" s="4"/>
      <c r="Z365" s="4"/>
      <c r="AA365" s="4"/>
      <c r="AB365" s="4"/>
      <c r="AC365" s="4"/>
      <c r="AD365" s="4"/>
      <c r="AE365" s="4"/>
      <c r="AF365" s="4"/>
    </row>
    <row r="366" spans="1:32" ht="15.75" customHeight="1">
      <c r="A366" s="4"/>
      <c r="B366" s="4"/>
      <c r="C366" s="4"/>
      <c r="D366" s="4"/>
      <c r="E366" s="4"/>
      <c r="F366" s="4"/>
      <c r="G366" s="4"/>
      <c r="H366" s="4"/>
      <c r="I366" s="4"/>
      <c r="J366" s="19"/>
      <c r="K366" s="4"/>
      <c r="L366" s="4"/>
      <c r="M366" s="4"/>
      <c r="N366" s="4"/>
      <c r="O366" s="4"/>
      <c r="P366" s="4"/>
      <c r="Q366" s="4"/>
      <c r="R366" s="4"/>
      <c r="S366" s="4"/>
      <c r="T366" s="4"/>
      <c r="U366" s="4"/>
      <c r="V366" s="4"/>
      <c r="W366" s="4"/>
      <c r="X366" s="4"/>
      <c r="Y366" s="4"/>
      <c r="Z366" s="4"/>
      <c r="AA366" s="4"/>
      <c r="AB366" s="4"/>
      <c r="AC366" s="4"/>
      <c r="AD366" s="4"/>
      <c r="AE366" s="4"/>
      <c r="AF366" s="4"/>
    </row>
    <row r="367" spans="1:32" ht="15.75" customHeight="1">
      <c r="A367" s="4"/>
      <c r="B367" s="4"/>
      <c r="C367" s="4"/>
      <c r="D367" s="4"/>
      <c r="E367" s="4"/>
      <c r="F367" s="4"/>
      <c r="G367" s="4"/>
      <c r="H367" s="4"/>
      <c r="I367" s="4"/>
      <c r="J367" s="19"/>
      <c r="K367" s="4"/>
      <c r="L367" s="4"/>
      <c r="M367" s="4"/>
      <c r="N367" s="4"/>
      <c r="O367" s="4"/>
      <c r="P367" s="4"/>
      <c r="Q367" s="4"/>
      <c r="R367" s="4"/>
      <c r="S367" s="4"/>
      <c r="T367" s="4"/>
      <c r="U367" s="4"/>
      <c r="V367" s="4"/>
      <c r="W367" s="4"/>
      <c r="X367" s="4"/>
      <c r="Y367" s="4"/>
      <c r="Z367" s="4"/>
      <c r="AA367" s="4"/>
      <c r="AB367" s="4"/>
      <c r="AC367" s="4"/>
      <c r="AD367" s="4"/>
      <c r="AE367" s="4"/>
      <c r="AF367" s="4"/>
    </row>
    <row r="368" spans="1:32" ht="15.75" customHeight="1">
      <c r="A368" s="4"/>
      <c r="B368" s="4"/>
      <c r="C368" s="4"/>
      <c r="D368" s="4"/>
      <c r="E368" s="4"/>
      <c r="F368" s="4"/>
      <c r="G368" s="4"/>
      <c r="H368" s="4"/>
      <c r="I368" s="4"/>
      <c r="J368" s="19"/>
      <c r="K368" s="4"/>
      <c r="L368" s="4"/>
      <c r="M368" s="4"/>
      <c r="N368" s="4"/>
      <c r="O368" s="4"/>
      <c r="P368" s="4"/>
      <c r="Q368" s="4"/>
      <c r="R368" s="4"/>
      <c r="S368" s="4"/>
      <c r="T368" s="4"/>
      <c r="U368" s="4"/>
      <c r="V368" s="4"/>
      <c r="W368" s="4"/>
      <c r="X368" s="4"/>
      <c r="Y368" s="4"/>
      <c r="Z368" s="4"/>
      <c r="AA368" s="4"/>
      <c r="AB368" s="4"/>
      <c r="AC368" s="4"/>
      <c r="AD368" s="4"/>
      <c r="AE368" s="4"/>
      <c r="AF368" s="4"/>
    </row>
    <row r="369" spans="1:32" ht="15.75" customHeight="1">
      <c r="A369" s="4"/>
      <c r="B369" s="4"/>
      <c r="C369" s="4"/>
      <c r="D369" s="4"/>
      <c r="E369" s="4"/>
      <c r="F369" s="4"/>
      <c r="G369" s="4"/>
      <c r="H369" s="4"/>
      <c r="I369" s="4"/>
      <c r="J369" s="19"/>
      <c r="K369" s="4"/>
      <c r="L369" s="4"/>
      <c r="M369" s="4"/>
      <c r="N369" s="4"/>
      <c r="O369" s="4"/>
      <c r="P369" s="4"/>
      <c r="Q369" s="4"/>
      <c r="R369" s="4"/>
      <c r="S369" s="4"/>
      <c r="T369" s="4"/>
      <c r="U369" s="4"/>
      <c r="V369" s="4"/>
      <c r="W369" s="4"/>
      <c r="X369" s="4"/>
      <c r="Y369" s="4"/>
      <c r="Z369" s="4"/>
      <c r="AA369" s="4"/>
      <c r="AB369" s="4"/>
      <c r="AC369" s="4"/>
      <c r="AD369" s="4"/>
      <c r="AE369" s="4"/>
      <c r="AF369" s="4"/>
    </row>
    <row r="370" spans="1:32" ht="15.75" customHeight="1">
      <c r="A370" s="4"/>
      <c r="B370" s="4"/>
      <c r="C370" s="4"/>
      <c r="D370" s="4"/>
      <c r="E370" s="4"/>
      <c r="F370" s="4"/>
      <c r="G370" s="4"/>
      <c r="H370" s="4"/>
      <c r="I370" s="4"/>
      <c r="J370" s="19"/>
      <c r="K370" s="4"/>
      <c r="L370" s="4"/>
      <c r="M370" s="4"/>
      <c r="N370" s="4"/>
      <c r="O370" s="4"/>
      <c r="P370" s="4"/>
      <c r="Q370" s="4"/>
      <c r="R370" s="4"/>
      <c r="S370" s="4"/>
      <c r="T370" s="4"/>
      <c r="U370" s="4"/>
      <c r="V370" s="4"/>
      <c r="W370" s="4"/>
      <c r="X370" s="4"/>
      <c r="Y370" s="4"/>
      <c r="Z370" s="4"/>
      <c r="AA370" s="4"/>
      <c r="AB370" s="4"/>
      <c r="AC370" s="4"/>
      <c r="AD370" s="4"/>
      <c r="AE370" s="4"/>
      <c r="AF370" s="4"/>
    </row>
    <row r="371" spans="1:32" ht="15.75" customHeight="1">
      <c r="A371" s="4"/>
      <c r="B371" s="4"/>
      <c r="C371" s="4"/>
      <c r="D371" s="4"/>
      <c r="E371" s="4"/>
      <c r="F371" s="4"/>
      <c r="G371" s="4"/>
      <c r="H371" s="4"/>
      <c r="I371" s="4"/>
      <c r="J371" s="19"/>
      <c r="K371" s="4"/>
      <c r="L371" s="4"/>
      <c r="M371" s="4"/>
      <c r="N371" s="4"/>
      <c r="O371" s="4"/>
      <c r="P371" s="4"/>
      <c r="Q371" s="4"/>
      <c r="R371" s="4"/>
      <c r="S371" s="4"/>
      <c r="T371" s="4"/>
      <c r="U371" s="4"/>
      <c r="V371" s="4"/>
      <c r="W371" s="4"/>
      <c r="X371" s="4"/>
      <c r="Y371" s="4"/>
      <c r="Z371" s="4"/>
      <c r="AA371" s="4"/>
      <c r="AB371" s="4"/>
      <c r="AC371" s="4"/>
      <c r="AD371" s="4"/>
      <c r="AE371" s="4"/>
      <c r="AF371" s="4"/>
    </row>
    <row r="372" spans="1:32" ht="15.75" customHeight="1">
      <c r="A372" s="4"/>
      <c r="B372" s="4"/>
      <c r="C372" s="4"/>
      <c r="D372" s="4"/>
      <c r="E372" s="4"/>
      <c r="F372" s="4"/>
      <c r="G372" s="4"/>
      <c r="H372" s="4"/>
      <c r="I372" s="4"/>
      <c r="J372" s="19"/>
      <c r="K372" s="4"/>
      <c r="L372" s="4"/>
      <c r="M372" s="4"/>
      <c r="N372" s="4"/>
      <c r="O372" s="4"/>
      <c r="P372" s="4"/>
      <c r="Q372" s="4"/>
      <c r="R372" s="4"/>
      <c r="S372" s="4"/>
      <c r="T372" s="4"/>
      <c r="U372" s="4"/>
      <c r="V372" s="4"/>
      <c r="W372" s="4"/>
      <c r="X372" s="4"/>
      <c r="Y372" s="4"/>
      <c r="Z372" s="4"/>
      <c r="AA372" s="4"/>
      <c r="AB372" s="4"/>
      <c r="AC372" s="4"/>
      <c r="AD372" s="4"/>
      <c r="AE372" s="4"/>
      <c r="AF372" s="4"/>
    </row>
    <row r="373" spans="1:32" ht="15.75" customHeight="1">
      <c r="A373" s="4"/>
      <c r="B373" s="4"/>
      <c r="C373" s="4"/>
      <c r="D373" s="4"/>
      <c r="E373" s="4"/>
      <c r="F373" s="4"/>
      <c r="G373" s="4"/>
      <c r="H373" s="4"/>
      <c r="I373" s="4"/>
      <c r="J373" s="19"/>
      <c r="K373" s="4"/>
      <c r="L373" s="4"/>
      <c r="M373" s="4"/>
      <c r="N373" s="4"/>
      <c r="O373" s="4"/>
      <c r="P373" s="4"/>
      <c r="Q373" s="4"/>
      <c r="R373" s="4"/>
      <c r="S373" s="4"/>
      <c r="T373" s="4"/>
      <c r="U373" s="4"/>
      <c r="V373" s="4"/>
      <c r="W373" s="4"/>
      <c r="X373" s="4"/>
      <c r="Y373" s="4"/>
      <c r="Z373" s="4"/>
      <c r="AA373" s="4"/>
      <c r="AB373" s="4"/>
      <c r="AC373" s="4"/>
      <c r="AD373" s="4"/>
      <c r="AE373" s="4"/>
      <c r="AF373" s="4"/>
    </row>
    <row r="374" spans="1:32" ht="15.75" customHeight="1">
      <c r="A374" s="4"/>
      <c r="B374" s="4"/>
      <c r="C374" s="4"/>
      <c r="D374" s="4"/>
      <c r="E374" s="4"/>
      <c r="F374" s="4"/>
      <c r="G374" s="4"/>
      <c r="H374" s="4"/>
      <c r="I374" s="4"/>
      <c r="J374" s="19"/>
      <c r="K374" s="4"/>
      <c r="L374" s="4"/>
      <c r="M374" s="4"/>
      <c r="N374" s="4"/>
      <c r="O374" s="4"/>
      <c r="P374" s="4"/>
      <c r="Q374" s="4"/>
      <c r="R374" s="4"/>
      <c r="S374" s="4"/>
      <c r="T374" s="4"/>
      <c r="U374" s="4"/>
      <c r="V374" s="4"/>
      <c r="W374" s="4"/>
      <c r="X374" s="4"/>
      <c r="Y374" s="4"/>
      <c r="Z374" s="4"/>
      <c r="AA374" s="4"/>
      <c r="AB374" s="4"/>
      <c r="AC374" s="4"/>
      <c r="AD374" s="4"/>
      <c r="AE374" s="4"/>
      <c r="AF374" s="4"/>
    </row>
    <row r="375" spans="1:32" ht="15.75" customHeight="1">
      <c r="A375" s="4"/>
      <c r="B375" s="4"/>
      <c r="C375" s="4"/>
      <c r="D375" s="4"/>
      <c r="E375" s="4"/>
      <c r="F375" s="4"/>
      <c r="G375" s="4"/>
      <c r="H375" s="4"/>
      <c r="I375" s="4"/>
      <c r="J375" s="19"/>
      <c r="K375" s="4"/>
      <c r="L375" s="4"/>
      <c r="M375" s="4"/>
      <c r="N375" s="4"/>
      <c r="O375" s="4"/>
      <c r="P375" s="4"/>
      <c r="Q375" s="4"/>
      <c r="R375" s="4"/>
      <c r="S375" s="4"/>
      <c r="T375" s="4"/>
      <c r="U375" s="4"/>
      <c r="V375" s="4"/>
      <c r="W375" s="4"/>
      <c r="X375" s="4"/>
      <c r="Y375" s="4"/>
      <c r="Z375" s="4"/>
      <c r="AA375" s="4"/>
      <c r="AB375" s="4"/>
      <c r="AC375" s="4"/>
      <c r="AD375" s="4"/>
      <c r="AE375" s="4"/>
      <c r="AF375" s="4"/>
    </row>
    <row r="376" spans="1:32" ht="15.75" customHeight="1">
      <c r="A376" s="4"/>
      <c r="B376" s="4"/>
      <c r="C376" s="4"/>
      <c r="D376" s="4"/>
      <c r="E376" s="4"/>
      <c r="F376" s="4"/>
      <c r="G376" s="4"/>
      <c r="H376" s="4"/>
      <c r="I376" s="4"/>
      <c r="J376" s="19"/>
      <c r="K376" s="4"/>
      <c r="L376" s="4"/>
      <c r="M376" s="4"/>
      <c r="N376" s="4"/>
      <c r="O376" s="4"/>
      <c r="P376" s="4"/>
      <c r="Q376" s="4"/>
      <c r="R376" s="4"/>
      <c r="S376" s="4"/>
      <c r="T376" s="4"/>
      <c r="U376" s="4"/>
      <c r="V376" s="4"/>
      <c r="W376" s="4"/>
      <c r="X376" s="4"/>
      <c r="Y376" s="4"/>
      <c r="Z376" s="4"/>
      <c r="AA376" s="4"/>
      <c r="AB376" s="4"/>
      <c r="AC376" s="4"/>
      <c r="AD376" s="4"/>
      <c r="AE376" s="4"/>
      <c r="AF376" s="4"/>
    </row>
    <row r="377" spans="1:32" ht="15.75" customHeight="1">
      <c r="A377" s="4"/>
      <c r="B377" s="4"/>
      <c r="C377" s="4"/>
      <c r="D377" s="4"/>
      <c r="E377" s="4"/>
      <c r="F377" s="4"/>
      <c r="G377" s="4"/>
      <c r="H377" s="4"/>
      <c r="I377" s="4"/>
      <c r="J377" s="19"/>
      <c r="K377" s="4"/>
      <c r="L377" s="4"/>
      <c r="M377" s="4"/>
      <c r="N377" s="4"/>
      <c r="O377" s="4"/>
      <c r="P377" s="4"/>
      <c r="Q377" s="4"/>
      <c r="R377" s="4"/>
      <c r="S377" s="4"/>
      <c r="T377" s="4"/>
      <c r="U377" s="4"/>
      <c r="V377" s="4"/>
      <c r="W377" s="4"/>
      <c r="X377" s="4"/>
      <c r="Y377" s="4"/>
      <c r="Z377" s="4"/>
      <c r="AA377" s="4"/>
      <c r="AB377" s="4"/>
      <c r="AC377" s="4"/>
      <c r="AD377" s="4"/>
      <c r="AE377" s="4"/>
      <c r="AF377" s="4"/>
    </row>
    <row r="378" spans="1:32" ht="15.75" customHeight="1">
      <c r="A378" s="4"/>
      <c r="B378" s="4"/>
      <c r="C378" s="4"/>
      <c r="D378" s="4"/>
      <c r="E378" s="4"/>
      <c r="F378" s="4"/>
      <c r="G378" s="4"/>
      <c r="H378" s="4"/>
      <c r="I378" s="4"/>
      <c r="J378" s="19"/>
      <c r="K378" s="4"/>
      <c r="L378" s="4"/>
      <c r="M378" s="4"/>
      <c r="N378" s="4"/>
      <c r="O378" s="4"/>
      <c r="P378" s="4"/>
      <c r="Q378" s="4"/>
      <c r="R378" s="4"/>
      <c r="S378" s="4"/>
      <c r="T378" s="4"/>
      <c r="U378" s="4"/>
      <c r="V378" s="4"/>
      <c r="W378" s="4"/>
      <c r="X378" s="4"/>
      <c r="Y378" s="4"/>
      <c r="Z378" s="4"/>
      <c r="AA378" s="4"/>
      <c r="AB378" s="4"/>
      <c r="AC378" s="4"/>
      <c r="AD378" s="4"/>
      <c r="AE378" s="4"/>
      <c r="AF378" s="4"/>
    </row>
    <row r="379" spans="1:32" ht="15.75" customHeight="1">
      <c r="A379" s="4"/>
      <c r="B379" s="4"/>
      <c r="C379" s="4"/>
      <c r="D379" s="4"/>
      <c r="E379" s="4"/>
      <c r="F379" s="4"/>
      <c r="G379" s="4"/>
      <c r="H379" s="4"/>
      <c r="I379" s="4"/>
      <c r="J379" s="19"/>
      <c r="K379" s="4"/>
      <c r="L379" s="4"/>
      <c r="M379" s="4"/>
      <c r="N379" s="4"/>
      <c r="O379" s="4"/>
      <c r="P379" s="4"/>
      <c r="Q379" s="4"/>
      <c r="R379" s="4"/>
      <c r="S379" s="4"/>
      <c r="T379" s="4"/>
      <c r="U379" s="4"/>
      <c r="V379" s="4"/>
      <c r="W379" s="4"/>
      <c r="X379" s="4"/>
      <c r="Y379" s="4"/>
      <c r="Z379" s="4"/>
      <c r="AA379" s="4"/>
      <c r="AB379" s="4"/>
      <c r="AC379" s="4"/>
      <c r="AD379" s="4"/>
      <c r="AE379" s="4"/>
      <c r="AF379" s="4"/>
    </row>
    <row r="380" spans="1:32" ht="15.75" customHeight="1">
      <c r="A380" s="4"/>
      <c r="B380" s="4"/>
      <c r="C380" s="4"/>
      <c r="D380" s="4"/>
      <c r="E380" s="4"/>
      <c r="F380" s="4"/>
      <c r="G380" s="4"/>
      <c r="H380" s="4"/>
      <c r="I380" s="4"/>
      <c r="J380" s="19"/>
      <c r="K380" s="4"/>
      <c r="L380" s="4"/>
      <c r="M380" s="4"/>
      <c r="N380" s="4"/>
      <c r="O380" s="4"/>
      <c r="P380" s="4"/>
      <c r="Q380" s="4"/>
      <c r="R380" s="4"/>
      <c r="S380" s="4"/>
      <c r="T380" s="4"/>
      <c r="U380" s="4"/>
      <c r="V380" s="4"/>
      <c r="W380" s="4"/>
      <c r="X380" s="4"/>
      <c r="Y380" s="4"/>
      <c r="Z380" s="4"/>
      <c r="AA380" s="4"/>
      <c r="AB380" s="4"/>
      <c r="AC380" s="4"/>
      <c r="AD380" s="4"/>
      <c r="AE380" s="4"/>
      <c r="AF380" s="4"/>
    </row>
    <row r="381" spans="1:32" ht="15.75" customHeight="1">
      <c r="A381" s="4"/>
      <c r="B381" s="4"/>
      <c r="C381" s="4"/>
      <c r="D381" s="4"/>
      <c r="E381" s="4"/>
      <c r="F381" s="4"/>
      <c r="G381" s="4"/>
      <c r="H381" s="4"/>
      <c r="I381" s="4"/>
      <c r="J381" s="19"/>
      <c r="K381" s="4"/>
      <c r="L381" s="4"/>
      <c r="M381" s="4"/>
      <c r="N381" s="4"/>
      <c r="O381" s="4"/>
      <c r="P381" s="4"/>
      <c r="Q381" s="4"/>
      <c r="R381" s="4"/>
      <c r="S381" s="4"/>
      <c r="T381" s="4"/>
      <c r="U381" s="4"/>
      <c r="V381" s="4"/>
      <c r="W381" s="4"/>
      <c r="X381" s="4"/>
      <c r="Y381" s="4"/>
      <c r="Z381" s="4"/>
      <c r="AA381" s="4"/>
      <c r="AB381" s="4"/>
      <c r="AC381" s="4"/>
      <c r="AD381" s="4"/>
      <c r="AE381" s="4"/>
      <c r="AF381" s="4"/>
    </row>
    <row r="382" spans="1:32" ht="15.75" customHeight="1">
      <c r="A382" s="4"/>
      <c r="B382" s="4"/>
      <c r="C382" s="4"/>
      <c r="D382" s="4"/>
      <c r="E382" s="4"/>
      <c r="F382" s="4"/>
      <c r="G382" s="4"/>
      <c r="H382" s="4"/>
      <c r="I382" s="4"/>
      <c r="J382" s="19"/>
      <c r="K382" s="4"/>
      <c r="L382" s="4"/>
      <c r="M382" s="4"/>
      <c r="N382" s="4"/>
      <c r="O382" s="4"/>
      <c r="P382" s="4"/>
      <c r="Q382" s="4"/>
      <c r="R382" s="4"/>
      <c r="S382" s="4"/>
      <c r="T382" s="4"/>
      <c r="U382" s="4"/>
      <c r="V382" s="4"/>
      <c r="W382" s="4"/>
      <c r="X382" s="4"/>
      <c r="Y382" s="4"/>
      <c r="Z382" s="4"/>
      <c r="AA382" s="4"/>
      <c r="AB382" s="4"/>
      <c r="AC382" s="4"/>
      <c r="AD382" s="4"/>
      <c r="AE382" s="4"/>
      <c r="AF382" s="4"/>
    </row>
    <row r="383" spans="1:32" ht="15.75" customHeight="1">
      <c r="A383" s="4"/>
      <c r="B383" s="4"/>
      <c r="C383" s="4"/>
      <c r="D383" s="4"/>
      <c r="E383" s="4"/>
      <c r="F383" s="4"/>
      <c r="G383" s="4"/>
      <c r="H383" s="4"/>
      <c r="I383" s="4"/>
      <c r="J383" s="19"/>
      <c r="K383" s="4"/>
      <c r="L383" s="4"/>
      <c r="M383" s="4"/>
      <c r="N383" s="4"/>
      <c r="O383" s="4"/>
      <c r="P383" s="4"/>
      <c r="Q383" s="4"/>
      <c r="R383" s="4"/>
      <c r="S383" s="4"/>
      <c r="T383" s="4"/>
      <c r="U383" s="4"/>
      <c r="V383" s="4"/>
      <c r="W383" s="4"/>
      <c r="X383" s="4"/>
      <c r="Y383" s="4"/>
      <c r="Z383" s="4"/>
      <c r="AA383" s="4"/>
      <c r="AB383" s="4"/>
      <c r="AC383" s="4"/>
      <c r="AD383" s="4"/>
      <c r="AE383" s="4"/>
      <c r="AF383" s="4"/>
    </row>
    <row r="384" spans="1:32" ht="15.75" customHeight="1">
      <c r="A384" s="4"/>
      <c r="B384" s="4"/>
      <c r="C384" s="4"/>
      <c r="D384" s="4"/>
      <c r="E384" s="4"/>
      <c r="F384" s="4"/>
      <c r="G384" s="4"/>
      <c r="H384" s="4"/>
      <c r="I384" s="4"/>
      <c r="J384" s="19"/>
      <c r="K384" s="4"/>
      <c r="L384" s="4"/>
      <c r="M384" s="4"/>
      <c r="N384" s="4"/>
      <c r="O384" s="4"/>
      <c r="P384" s="4"/>
      <c r="Q384" s="4"/>
      <c r="R384" s="4"/>
      <c r="S384" s="4"/>
      <c r="T384" s="4"/>
      <c r="U384" s="4"/>
      <c r="V384" s="4"/>
      <c r="W384" s="4"/>
      <c r="X384" s="4"/>
      <c r="Y384" s="4"/>
      <c r="Z384" s="4"/>
      <c r="AA384" s="4"/>
      <c r="AB384" s="4"/>
      <c r="AC384" s="4"/>
      <c r="AD384" s="4"/>
      <c r="AE384" s="4"/>
      <c r="AF384" s="4"/>
    </row>
    <row r="385" spans="1:32" ht="15.75" customHeight="1">
      <c r="A385" s="4"/>
      <c r="B385" s="4"/>
      <c r="C385" s="4"/>
      <c r="D385" s="4"/>
      <c r="E385" s="4"/>
      <c r="F385" s="4"/>
      <c r="G385" s="4"/>
      <c r="H385" s="4"/>
      <c r="I385" s="4"/>
      <c r="J385" s="19"/>
      <c r="K385" s="4"/>
      <c r="L385" s="4"/>
      <c r="M385" s="4"/>
      <c r="N385" s="4"/>
      <c r="O385" s="4"/>
      <c r="P385" s="4"/>
      <c r="Q385" s="4"/>
      <c r="R385" s="4"/>
      <c r="S385" s="4"/>
      <c r="T385" s="4"/>
      <c r="U385" s="4"/>
      <c r="V385" s="4"/>
      <c r="W385" s="4"/>
      <c r="X385" s="4"/>
      <c r="Y385" s="4"/>
      <c r="Z385" s="4"/>
      <c r="AA385" s="4"/>
      <c r="AB385" s="4"/>
      <c r="AC385" s="4"/>
      <c r="AD385" s="4"/>
      <c r="AE385" s="4"/>
      <c r="AF385" s="4"/>
    </row>
    <row r="386" spans="1:32" ht="15.75" customHeight="1">
      <c r="A386" s="4"/>
      <c r="B386" s="4"/>
      <c r="C386" s="4"/>
      <c r="D386" s="4"/>
      <c r="E386" s="4"/>
      <c r="F386" s="4"/>
      <c r="G386" s="4"/>
      <c r="H386" s="4"/>
      <c r="I386" s="4"/>
      <c r="J386" s="19"/>
      <c r="K386" s="4"/>
      <c r="L386" s="4"/>
      <c r="M386" s="4"/>
      <c r="N386" s="4"/>
      <c r="O386" s="4"/>
      <c r="P386" s="4"/>
      <c r="Q386" s="4"/>
      <c r="R386" s="4"/>
      <c r="S386" s="4"/>
      <c r="T386" s="4"/>
      <c r="U386" s="4"/>
      <c r="V386" s="4"/>
      <c r="W386" s="4"/>
      <c r="X386" s="4"/>
      <c r="Y386" s="4"/>
      <c r="Z386" s="4"/>
      <c r="AA386" s="4"/>
      <c r="AB386" s="4"/>
      <c r="AC386" s="4"/>
      <c r="AD386" s="4"/>
      <c r="AE386" s="4"/>
      <c r="AF386" s="4"/>
    </row>
    <row r="387" spans="1:32" ht="15.75" customHeight="1">
      <c r="A387" s="4"/>
      <c r="B387" s="4"/>
      <c r="C387" s="4"/>
      <c r="D387" s="4"/>
      <c r="E387" s="4"/>
      <c r="F387" s="4"/>
      <c r="G387" s="4"/>
      <c r="H387" s="4"/>
      <c r="I387" s="4"/>
      <c r="J387" s="19"/>
      <c r="K387" s="4"/>
      <c r="L387" s="4"/>
      <c r="M387" s="4"/>
      <c r="N387" s="4"/>
      <c r="O387" s="4"/>
      <c r="P387" s="4"/>
      <c r="Q387" s="4"/>
      <c r="R387" s="4"/>
      <c r="S387" s="4"/>
      <c r="T387" s="4"/>
      <c r="U387" s="4"/>
      <c r="V387" s="4"/>
      <c r="W387" s="4"/>
      <c r="X387" s="4"/>
      <c r="Y387" s="4"/>
      <c r="Z387" s="4"/>
      <c r="AA387" s="4"/>
      <c r="AB387" s="4"/>
      <c r="AC387" s="4"/>
      <c r="AD387" s="4"/>
      <c r="AE387" s="4"/>
      <c r="AF387" s="4"/>
    </row>
    <row r="388" spans="1:32" ht="15.75" customHeight="1">
      <c r="A388" s="4"/>
      <c r="B388" s="4"/>
      <c r="C388" s="4"/>
      <c r="D388" s="4"/>
      <c r="E388" s="4"/>
      <c r="F388" s="4"/>
      <c r="G388" s="4"/>
      <c r="H388" s="4"/>
      <c r="I388" s="4"/>
      <c r="J388" s="19"/>
      <c r="K388" s="4"/>
      <c r="L388" s="4"/>
      <c r="M388" s="4"/>
      <c r="N388" s="4"/>
      <c r="O388" s="4"/>
      <c r="P388" s="4"/>
      <c r="Q388" s="4"/>
      <c r="R388" s="4"/>
      <c r="S388" s="4"/>
      <c r="T388" s="4"/>
      <c r="U388" s="4"/>
      <c r="V388" s="4"/>
      <c r="W388" s="4"/>
      <c r="X388" s="4"/>
      <c r="Y388" s="4"/>
      <c r="Z388" s="4"/>
      <c r="AA388" s="4"/>
      <c r="AB388" s="4"/>
      <c r="AC388" s="4"/>
      <c r="AD388" s="4"/>
      <c r="AE388" s="4"/>
      <c r="AF388" s="4"/>
    </row>
    <row r="389" spans="1:32" ht="15.75" customHeight="1">
      <c r="A389" s="4"/>
      <c r="B389" s="4"/>
      <c r="C389" s="4"/>
      <c r="D389" s="4"/>
      <c r="E389" s="4"/>
      <c r="F389" s="4"/>
      <c r="G389" s="4"/>
      <c r="H389" s="4"/>
      <c r="I389" s="4"/>
      <c r="J389" s="19"/>
      <c r="K389" s="4"/>
      <c r="L389" s="4"/>
      <c r="M389" s="4"/>
      <c r="N389" s="4"/>
      <c r="O389" s="4"/>
      <c r="P389" s="4"/>
      <c r="Q389" s="4"/>
      <c r="R389" s="4"/>
      <c r="S389" s="4"/>
      <c r="T389" s="4"/>
      <c r="U389" s="4"/>
      <c r="V389" s="4"/>
      <c r="W389" s="4"/>
      <c r="X389" s="4"/>
      <c r="Y389" s="4"/>
      <c r="Z389" s="4"/>
      <c r="AA389" s="4"/>
      <c r="AB389" s="4"/>
      <c r="AC389" s="4"/>
      <c r="AD389" s="4"/>
      <c r="AE389" s="4"/>
      <c r="AF389" s="4"/>
    </row>
    <row r="390" spans="1:32" ht="15.75" customHeight="1">
      <c r="A390" s="4"/>
      <c r="B390" s="4"/>
      <c r="C390" s="4"/>
      <c r="D390" s="4"/>
      <c r="E390" s="4"/>
      <c r="F390" s="4"/>
      <c r="G390" s="4"/>
      <c r="H390" s="4"/>
      <c r="I390" s="4"/>
      <c r="J390" s="19"/>
      <c r="K390" s="4"/>
      <c r="L390" s="4"/>
      <c r="M390" s="4"/>
      <c r="N390" s="4"/>
      <c r="O390" s="4"/>
      <c r="P390" s="4"/>
      <c r="Q390" s="4"/>
      <c r="R390" s="4"/>
      <c r="S390" s="4"/>
      <c r="T390" s="4"/>
      <c r="U390" s="4"/>
      <c r="V390" s="4"/>
      <c r="W390" s="4"/>
      <c r="X390" s="4"/>
      <c r="Y390" s="4"/>
      <c r="Z390" s="4"/>
      <c r="AA390" s="4"/>
      <c r="AB390" s="4"/>
      <c r="AC390" s="4"/>
      <c r="AD390" s="4"/>
      <c r="AE390" s="4"/>
      <c r="AF390" s="4"/>
    </row>
    <row r="391" spans="1:32" ht="15.75" customHeight="1">
      <c r="A391" s="4"/>
      <c r="B391" s="4"/>
      <c r="C391" s="4"/>
      <c r="D391" s="4"/>
      <c r="E391" s="4"/>
      <c r="F391" s="4"/>
      <c r="G391" s="4"/>
      <c r="H391" s="4"/>
      <c r="I391" s="4"/>
      <c r="J391" s="19"/>
      <c r="K391" s="4"/>
      <c r="L391" s="4"/>
      <c r="M391" s="4"/>
      <c r="N391" s="4"/>
      <c r="O391" s="4"/>
      <c r="P391" s="4"/>
      <c r="Q391" s="4"/>
      <c r="R391" s="4"/>
      <c r="S391" s="4"/>
      <c r="T391" s="4"/>
      <c r="U391" s="4"/>
      <c r="V391" s="4"/>
      <c r="W391" s="4"/>
      <c r="X391" s="4"/>
      <c r="Y391" s="4"/>
      <c r="Z391" s="4"/>
      <c r="AA391" s="4"/>
      <c r="AB391" s="4"/>
      <c r="AC391" s="4"/>
      <c r="AD391" s="4"/>
      <c r="AE391" s="4"/>
      <c r="AF391" s="4"/>
    </row>
    <row r="392" spans="1:32" ht="15.75" customHeight="1">
      <c r="A392" s="4"/>
      <c r="B392" s="4"/>
      <c r="C392" s="4"/>
      <c r="D392" s="4"/>
      <c r="E392" s="4"/>
      <c r="F392" s="4"/>
      <c r="G392" s="4"/>
      <c r="H392" s="4"/>
      <c r="I392" s="4"/>
      <c r="J392" s="19"/>
      <c r="K392" s="4"/>
      <c r="L392" s="4"/>
      <c r="M392" s="4"/>
      <c r="N392" s="4"/>
      <c r="O392" s="4"/>
      <c r="P392" s="4"/>
      <c r="Q392" s="4"/>
      <c r="R392" s="4"/>
      <c r="S392" s="4"/>
      <c r="T392" s="4"/>
      <c r="U392" s="4"/>
      <c r="V392" s="4"/>
      <c r="W392" s="4"/>
      <c r="X392" s="4"/>
      <c r="Y392" s="4"/>
      <c r="Z392" s="4"/>
      <c r="AA392" s="4"/>
      <c r="AB392" s="4"/>
      <c r="AC392" s="4"/>
      <c r="AD392" s="4"/>
      <c r="AE392" s="4"/>
      <c r="AF392" s="4"/>
    </row>
    <row r="393" spans="1:32" ht="15.75" customHeight="1">
      <c r="A393" s="4"/>
      <c r="B393" s="4"/>
      <c r="C393" s="4"/>
      <c r="D393" s="4"/>
      <c r="E393" s="4"/>
      <c r="F393" s="4"/>
      <c r="G393" s="4"/>
      <c r="H393" s="4"/>
      <c r="I393" s="4"/>
      <c r="J393" s="19"/>
      <c r="K393" s="4"/>
      <c r="L393" s="4"/>
      <c r="M393" s="4"/>
      <c r="N393" s="4"/>
      <c r="O393" s="4"/>
      <c r="P393" s="4"/>
      <c r="Q393" s="4"/>
      <c r="R393" s="4"/>
      <c r="S393" s="4"/>
      <c r="T393" s="4"/>
      <c r="U393" s="4"/>
      <c r="V393" s="4"/>
      <c r="W393" s="4"/>
      <c r="X393" s="4"/>
      <c r="Y393" s="4"/>
      <c r="Z393" s="4"/>
      <c r="AA393" s="4"/>
      <c r="AB393" s="4"/>
      <c r="AC393" s="4"/>
      <c r="AD393" s="4"/>
      <c r="AE393" s="4"/>
      <c r="AF393" s="4"/>
    </row>
    <row r="394" spans="1:32" ht="15.75" customHeight="1">
      <c r="A394" s="4"/>
      <c r="B394" s="4"/>
      <c r="C394" s="4"/>
      <c r="D394" s="4"/>
      <c r="E394" s="4"/>
      <c r="F394" s="4"/>
      <c r="G394" s="4"/>
      <c r="H394" s="4"/>
      <c r="I394" s="4"/>
      <c r="J394" s="19"/>
      <c r="K394" s="4"/>
      <c r="L394" s="4"/>
      <c r="M394" s="4"/>
      <c r="N394" s="4"/>
      <c r="O394" s="4"/>
      <c r="P394" s="4"/>
      <c r="Q394" s="4"/>
      <c r="R394" s="4"/>
      <c r="S394" s="4"/>
      <c r="T394" s="4"/>
      <c r="U394" s="4"/>
      <c r="V394" s="4"/>
      <c r="W394" s="4"/>
      <c r="X394" s="4"/>
      <c r="Y394" s="4"/>
      <c r="Z394" s="4"/>
      <c r="AA394" s="4"/>
      <c r="AB394" s="4"/>
      <c r="AC394" s="4"/>
      <c r="AD394" s="4"/>
      <c r="AE394" s="4"/>
      <c r="AF394" s="4"/>
    </row>
    <row r="395" spans="1:32" ht="15.75" customHeight="1">
      <c r="A395" s="4"/>
      <c r="B395" s="4"/>
      <c r="C395" s="4"/>
      <c r="D395" s="4"/>
      <c r="E395" s="4"/>
      <c r="F395" s="4"/>
      <c r="G395" s="4"/>
      <c r="H395" s="4"/>
      <c r="I395" s="4"/>
      <c r="J395" s="19"/>
      <c r="K395" s="4"/>
      <c r="L395" s="4"/>
      <c r="M395" s="4"/>
      <c r="N395" s="4"/>
      <c r="O395" s="4"/>
      <c r="P395" s="4"/>
      <c r="Q395" s="4"/>
      <c r="R395" s="4"/>
      <c r="S395" s="4"/>
      <c r="T395" s="4"/>
      <c r="U395" s="4"/>
      <c r="V395" s="4"/>
      <c r="W395" s="4"/>
      <c r="X395" s="4"/>
      <c r="Y395" s="4"/>
      <c r="Z395" s="4"/>
      <c r="AA395" s="4"/>
      <c r="AB395" s="4"/>
      <c r="AC395" s="4"/>
      <c r="AD395" s="4"/>
      <c r="AE395" s="4"/>
      <c r="AF395" s="4"/>
    </row>
    <row r="396" spans="1:32" ht="15.75" customHeight="1">
      <c r="A396" s="4"/>
      <c r="B396" s="4"/>
      <c r="C396" s="4"/>
      <c r="D396" s="4"/>
      <c r="E396" s="4"/>
      <c r="F396" s="4"/>
      <c r="G396" s="4"/>
      <c r="H396" s="4"/>
      <c r="I396" s="4"/>
      <c r="J396" s="19"/>
      <c r="K396" s="4"/>
      <c r="L396" s="4"/>
      <c r="M396" s="4"/>
      <c r="N396" s="4"/>
      <c r="O396" s="4"/>
      <c r="P396" s="4"/>
      <c r="Q396" s="4"/>
      <c r="R396" s="4"/>
      <c r="S396" s="4"/>
      <c r="T396" s="4"/>
      <c r="U396" s="4"/>
      <c r="V396" s="4"/>
      <c r="W396" s="4"/>
      <c r="X396" s="4"/>
      <c r="Y396" s="4"/>
      <c r="Z396" s="4"/>
      <c r="AA396" s="4"/>
      <c r="AB396" s="4"/>
      <c r="AC396" s="4"/>
      <c r="AD396" s="4"/>
      <c r="AE396" s="4"/>
      <c r="AF396" s="4"/>
    </row>
    <row r="397" spans="1:32" ht="15.75" customHeight="1">
      <c r="A397" s="4"/>
      <c r="B397" s="4"/>
      <c r="C397" s="4"/>
      <c r="D397" s="4"/>
      <c r="E397" s="4"/>
      <c r="F397" s="4"/>
      <c r="G397" s="4"/>
      <c r="H397" s="4"/>
      <c r="I397" s="4"/>
      <c r="J397" s="19"/>
      <c r="K397" s="4"/>
      <c r="L397" s="4"/>
      <c r="M397" s="4"/>
      <c r="N397" s="4"/>
      <c r="O397" s="4"/>
      <c r="P397" s="4"/>
      <c r="Q397" s="4"/>
      <c r="R397" s="4"/>
      <c r="S397" s="4"/>
      <c r="T397" s="4"/>
      <c r="U397" s="4"/>
      <c r="V397" s="4"/>
      <c r="W397" s="4"/>
      <c r="X397" s="4"/>
      <c r="Y397" s="4"/>
      <c r="Z397" s="4"/>
      <c r="AA397" s="4"/>
      <c r="AB397" s="4"/>
      <c r="AC397" s="4"/>
      <c r="AD397" s="4"/>
      <c r="AE397" s="4"/>
      <c r="AF397" s="4"/>
    </row>
    <row r="398" spans="1:32" ht="15.75" customHeight="1">
      <c r="A398" s="4"/>
      <c r="B398" s="4"/>
      <c r="C398" s="4"/>
      <c r="D398" s="4"/>
      <c r="E398" s="4"/>
      <c r="F398" s="4"/>
      <c r="G398" s="4"/>
      <c r="H398" s="4"/>
      <c r="I398" s="4"/>
      <c r="J398" s="19"/>
      <c r="K398" s="4"/>
      <c r="L398" s="4"/>
      <c r="M398" s="4"/>
      <c r="N398" s="4"/>
      <c r="O398" s="4"/>
      <c r="P398" s="4"/>
      <c r="Q398" s="4"/>
      <c r="R398" s="4"/>
      <c r="S398" s="4"/>
      <c r="T398" s="4"/>
      <c r="U398" s="4"/>
      <c r="V398" s="4"/>
      <c r="W398" s="4"/>
      <c r="X398" s="4"/>
      <c r="Y398" s="4"/>
      <c r="Z398" s="4"/>
      <c r="AA398" s="4"/>
      <c r="AB398" s="4"/>
      <c r="AC398" s="4"/>
      <c r="AD398" s="4"/>
      <c r="AE398" s="4"/>
      <c r="AF398" s="4"/>
    </row>
    <row r="399" spans="1:32" ht="15.75" customHeight="1">
      <c r="A399" s="4"/>
      <c r="B399" s="4"/>
      <c r="C399" s="4"/>
      <c r="D399" s="4"/>
      <c r="E399" s="4"/>
      <c r="F399" s="4"/>
      <c r="G399" s="4"/>
      <c r="H399" s="4"/>
      <c r="I399" s="4"/>
      <c r="J399" s="19"/>
      <c r="K399" s="4"/>
      <c r="L399" s="4"/>
      <c r="M399" s="4"/>
      <c r="N399" s="4"/>
      <c r="O399" s="4"/>
      <c r="P399" s="4"/>
      <c r="Q399" s="4"/>
      <c r="R399" s="4"/>
      <c r="S399" s="4"/>
      <c r="T399" s="4"/>
      <c r="U399" s="4"/>
      <c r="V399" s="4"/>
      <c r="W399" s="4"/>
      <c r="X399" s="4"/>
      <c r="Y399" s="4"/>
      <c r="Z399" s="4"/>
      <c r="AA399" s="4"/>
      <c r="AB399" s="4"/>
      <c r="AC399" s="4"/>
      <c r="AD399" s="4"/>
      <c r="AE399" s="4"/>
      <c r="AF399" s="4"/>
    </row>
    <row r="400" spans="1:32" ht="15.75" customHeight="1">
      <c r="A400" s="4"/>
      <c r="B400" s="4"/>
      <c r="C400" s="4"/>
      <c r="D400" s="4"/>
      <c r="E400" s="4"/>
      <c r="F400" s="4"/>
      <c r="G400" s="4"/>
      <c r="H400" s="4"/>
      <c r="I400" s="4"/>
      <c r="J400" s="19"/>
      <c r="K400" s="4"/>
      <c r="L400" s="4"/>
      <c r="M400" s="4"/>
      <c r="N400" s="4"/>
      <c r="O400" s="4"/>
      <c r="P400" s="4"/>
      <c r="Q400" s="4"/>
      <c r="R400" s="4"/>
      <c r="S400" s="4"/>
      <c r="T400" s="4"/>
      <c r="U400" s="4"/>
      <c r="V400" s="4"/>
      <c r="W400" s="4"/>
      <c r="X400" s="4"/>
      <c r="Y400" s="4"/>
      <c r="Z400" s="4"/>
      <c r="AA400" s="4"/>
      <c r="AB400" s="4"/>
      <c r="AC400" s="4"/>
      <c r="AD400" s="4"/>
      <c r="AE400" s="4"/>
      <c r="AF400" s="4"/>
    </row>
    <row r="401" spans="1:32" ht="15.75" customHeight="1">
      <c r="A401" s="4"/>
      <c r="B401" s="4"/>
      <c r="C401" s="4"/>
      <c r="D401" s="4"/>
      <c r="E401" s="4"/>
      <c r="F401" s="4"/>
      <c r="G401" s="4"/>
      <c r="H401" s="4"/>
      <c r="I401" s="4"/>
      <c r="J401" s="19"/>
      <c r="K401" s="4"/>
      <c r="L401" s="4"/>
      <c r="M401" s="4"/>
      <c r="N401" s="4"/>
      <c r="O401" s="4"/>
      <c r="P401" s="4"/>
      <c r="Q401" s="4"/>
      <c r="R401" s="4"/>
      <c r="S401" s="4"/>
      <c r="T401" s="4"/>
      <c r="U401" s="4"/>
      <c r="V401" s="4"/>
      <c r="W401" s="4"/>
      <c r="X401" s="4"/>
      <c r="Y401" s="4"/>
      <c r="Z401" s="4"/>
      <c r="AA401" s="4"/>
      <c r="AB401" s="4"/>
      <c r="AC401" s="4"/>
      <c r="AD401" s="4"/>
      <c r="AE401" s="4"/>
      <c r="AF401" s="4"/>
    </row>
    <row r="402" spans="1:32" ht="15.75" customHeight="1">
      <c r="A402" s="4"/>
      <c r="B402" s="4"/>
      <c r="C402" s="4"/>
      <c r="D402" s="4"/>
      <c r="E402" s="4"/>
      <c r="F402" s="4"/>
      <c r="G402" s="4"/>
      <c r="H402" s="4"/>
      <c r="I402" s="4"/>
      <c r="J402" s="19"/>
      <c r="K402" s="4"/>
      <c r="L402" s="4"/>
      <c r="M402" s="4"/>
      <c r="N402" s="4"/>
      <c r="O402" s="4"/>
      <c r="P402" s="4"/>
      <c r="Q402" s="4"/>
      <c r="R402" s="4"/>
      <c r="S402" s="4"/>
      <c r="T402" s="4"/>
      <c r="U402" s="4"/>
      <c r="V402" s="4"/>
      <c r="W402" s="4"/>
      <c r="X402" s="4"/>
      <c r="Y402" s="4"/>
      <c r="Z402" s="4"/>
      <c r="AA402" s="4"/>
      <c r="AB402" s="4"/>
      <c r="AC402" s="4"/>
      <c r="AD402" s="4"/>
      <c r="AE402" s="4"/>
      <c r="AF402" s="4"/>
    </row>
    <row r="403" spans="1:32" ht="15.75" customHeight="1">
      <c r="A403" s="4"/>
      <c r="B403" s="4"/>
      <c r="C403" s="4"/>
      <c r="D403" s="4"/>
      <c r="E403" s="4"/>
      <c r="F403" s="4"/>
      <c r="G403" s="4"/>
      <c r="H403" s="4"/>
      <c r="I403" s="4"/>
      <c r="J403" s="19"/>
      <c r="K403" s="4"/>
      <c r="L403" s="4"/>
      <c r="M403" s="4"/>
      <c r="N403" s="4"/>
      <c r="O403" s="4"/>
      <c r="P403" s="4"/>
      <c r="Q403" s="4"/>
      <c r="R403" s="4"/>
      <c r="S403" s="4"/>
      <c r="T403" s="4"/>
      <c r="U403" s="4"/>
      <c r="V403" s="4"/>
      <c r="W403" s="4"/>
      <c r="X403" s="4"/>
      <c r="Y403" s="4"/>
      <c r="Z403" s="4"/>
      <c r="AA403" s="4"/>
      <c r="AB403" s="4"/>
      <c r="AC403" s="4"/>
      <c r="AD403" s="4"/>
      <c r="AE403" s="4"/>
      <c r="AF403" s="4"/>
    </row>
    <row r="404" spans="1:32" ht="15.75" customHeight="1">
      <c r="A404" s="4"/>
      <c r="B404" s="4"/>
      <c r="C404" s="4"/>
      <c r="D404" s="4"/>
      <c r="E404" s="4"/>
      <c r="F404" s="4"/>
      <c r="G404" s="4"/>
      <c r="H404" s="4"/>
      <c r="I404" s="4"/>
      <c r="J404" s="19"/>
      <c r="K404" s="4"/>
      <c r="L404" s="4"/>
      <c r="M404" s="4"/>
      <c r="N404" s="4"/>
      <c r="O404" s="4"/>
      <c r="P404" s="4"/>
      <c r="Q404" s="4"/>
      <c r="R404" s="4"/>
      <c r="S404" s="4"/>
      <c r="T404" s="4"/>
      <c r="U404" s="4"/>
      <c r="V404" s="4"/>
      <c r="W404" s="4"/>
      <c r="X404" s="4"/>
      <c r="Y404" s="4"/>
      <c r="Z404" s="4"/>
      <c r="AA404" s="4"/>
      <c r="AB404" s="4"/>
      <c r="AC404" s="4"/>
      <c r="AD404" s="4"/>
      <c r="AE404" s="4"/>
      <c r="AF404" s="4"/>
    </row>
    <row r="405" spans="1:32" ht="15.75" customHeight="1">
      <c r="A405" s="4"/>
      <c r="B405" s="4"/>
      <c r="C405" s="4"/>
      <c r="D405" s="4"/>
      <c r="E405" s="4"/>
      <c r="F405" s="4"/>
      <c r="G405" s="4"/>
      <c r="H405" s="4"/>
      <c r="I405" s="4"/>
      <c r="J405" s="19"/>
      <c r="K405" s="4"/>
      <c r="L405" s="4"/>
      <c r="M405" s="4"/>
      <c r="N405" s="4"/>
      <c r="O405" s="4"/>
      <c r="P405" s="4"/>
      <c r="Q405" s="4"/>
      <c r="R405" s="4"/>
      <c r="S405" s="4"/>
      <c r="T405" s="4"/>
      <c r="U405" s="4"/>
      <c r="V405" s="4"/>
      <c r="W405" s="4"/>
      <c r="X405" s="4"/>
      <c r="Y405" s="4"/>
      <c r="Z405" s="4"/>
      <c r="AA405" s="4"/>
      <c r="AB405" s="4"/>
      <c r="AC405" s="4"/>
      <c r="AD405" s="4"/>
      <c r="AE405" s="4"/>
      <c r="AF405" s="4"/>
    </row>
    <row r="406" spans="1:32" ht="15.75" customHeight="1">
      <c r="A406" s="4"/>
      <c r="B406" s="4"/>
      <c r="C406" s="4"/>
      <c r="D406" s="4"/>
      <c r="E406" s="4"/>
      <c r="F406" s="4"/>
      <c r="G406" s="4"/>
      <c r="H406" s="4"/>
      <c r="I406" s="4"/>
      <c r="J406" s="19"/>
      <c r="K406" s="4"/>
      <c r="L406" s="4"/>
      <c r="M406" s="4"/>
      <c r="N406" s="4"/>
      <c r="O406" s="4"/>
      <c r="P406" s="4"/>
      <c r="Q406" s="4"/>
      <c r="R406" s="4"/>
      <c r="S406" s="4"/>
      <c r="T406" s="4"/>
      <c r="U406" s="4"/>
      <c r="V406" s="4"/>
      <c r="W406" s="4"/>
      <c r="X406" s="4"/>
      <c r="Y406" s="4"/>
      <c r="Z406" s="4"/>
      <c r="AA406" s="4"/>
      <c r="AB406" s="4"/>
      <c r="AC406" s="4"/>
      <c r="AD406" s="4"/>
      <c r="AE406" s="4"/>
      <c r="AF406" s="4"/>
    </row>
    <row r="407" spans="1:32" ht="15.75" customHeight="1">
      <c r="A407" s="4"/>
      <c r="B407" s="4"/>
      <c r="C407" s="4"/>
      <c r="D407" s="4"/>
      <c r="E407" s="4"/>
      <c r="F407" s="4"/>
      <c r="G407" s="4"/>
      <c r="H407" s="4"/>
      <c r="I407" s="4"/>
      <c r="J407" s="19"/>
      <c r="K407" s="4"/>
      <c r="L407" s="4"/>
      <c r="M407" s="4"/>
      <c r="N407" s="4"/>
      <c r="O407" s="4"/>
      <c r="P407" s="4"/>
      <c r="Q407" s="4"/>
      <c r="R407" s="4"/>
      <c r="S407" s="4"/>
      <c r="T407" s="4"/>
      <c r="U407" s="4"/>
      <c r="V407" s="4"/>
      <c r="W407" s="4"/>
      <c r="X407" s="4"/>
      <c r="Y407" s="4"/>
      <c r="Z407" s="4"/>
      <c r="AA407" s="4"/>
      <c r="AB407" s="4"/>
      <c r="AC407" s="4"/>
      <c r="AD407" s="4"/>
      <c r="AE407" s="4"/>
      <c r="AF407" s="4"/>
    </row>
    <row r="408" spans="1:32" ht="15.75" customHeight="1">
      <c r="A408" s="4"/>
      <c r="B408" s="4"/>
      <c r="C408" s="4"/>
      <c r="D408" s="4"/>
      <c r="E408" s="4"/>
      <c r="F408" s="4"/>
      <c r="G408" s="4"/>
      <c r="H408" s="4"/>
      <c r="I408" s="4"/>
      <c r="J408" s="19"/>
      <c r="K408" s="4"/>
      <c r="L408" s="4"/>
      <c r="M408" s="4"/>
      <c r="N408" s="4"/>
      <c r="O408" s="4"/>
      <c r="P408" s="4"/>
      <c r="Q408" s="4"/>
      <c r="R408" s="4"/>
      <c r="S408" s="4"/>
      <c r="T408" s="4"/>
      <c r="U408" s="4"/>
      <c r="V408" s="4"/>
      <c r="W408" s="4"/>
      <c r="X408" s="4"/>
      <c r="Y408" s="4"/>
      <c r="Z408" s="4"/>
      <c r="AA408" s="4"/>
      <c r="AB408" s="4"/>
      <c r="AC408" s="4"/>
      <c r="AD408" s="4"/>
      <c r="AE408" s="4"/>
      <c r="AF408" s="4"/>
    </row>
    <row r="409" spans="1:32" ht="15.75" customHeight="1">
      <c r="A409" s="4"/>
      <c r="B409" s="4"/>
      <c r="C409" s="4"/>
      <c r="D409" s="4"/>
      <c r="E409" s="4"/>
      <c r="F409" s="4"/>
      <c r="G409" s="4"/>
      <c r="H409" s="4"/>
      <c r="I409" s="4"/>
      <c r="J409" s="19"/>
      <c r="K409" s="4"/>
      <c r="L409" s="4"/>
      <c r="M409" s="4"/>
      <c r="N409" s="4"/>
      <c r="O409" s="4"/>
      <c r="P409" s="4"/>
      <c r="Q409" s="4"/>
      <c r="R409" s="4"/>
      <c r="S409" s="4"/>
      <c r="T409" s="4"/>
      <c r="U409" s="4"/>
      <c r="V409" s="4"/>
      <c r="W409" s="4"/>
      <c r="X409" s="4"/>
      <c r="Y409" s="4"/>
      <c r="Z409" s="4"/>
      <c r="AA409" s="4"/>
      <c r="AB409" s="4"/>
      <c r="AC409" s="4"/>
      <c r="AD409" s="4"/>
      <c r="AE409" s="4"/>
      <c r="AF409" s="4"/>
    </row>
    <row r="410" spans="1:32" ht="15.75" customHeight="1">
      <c r="A410" s="4"/>
      <c r="B410" s="4"/>
      <c r="C410" s="4"/>
      <c r="D410" s="4"/>
      <c r="E410" s="4"/>
      <c r="F410" s="4"/>
      <c r="G410" s="4"/>
      <c r="H410" s="4"/>
      <c r="I410" s="4"/>
      <c r="J410" s="19"/>
      <c r="K410" s="4"/>
      <c r="L410" s="4"/>
      <c r="M410" s="4"/>
      <c r="N410" s="4"/>
      <c r="O410" s="4"/>
      <c r="P410" s="4"/>
      <c r="Q410" s="4"/>
      <c r="R410" s="4"/>
      <c r="S410" s="4"/>
      <c r="T410" s="4"/>
      <c r="U410" s="4"/>
      <c r="V410" s="4"/>
      <c r="W410" s="4"/>
      <c r="X410" s="4"/>
      <c r="Y410" s="4"/>
      <c r="Z410" s="4"/>
      <c r="AA410" s="4"/>
      <c r="AB410" s="4"/>
      <c r="AC410" s="4"/>
      <c r="AD410" s="4"/>
      <c r="AE410" s="4"/>
      <c r="AF410" s="4"/>
    </row>
    <row r="411" spans="1:32" ht="15.75" customHeight="1">
      <c r="A411" s="4"/>
      <c r="B411" s="4"/>
      <c r="C411" s="4"/>
      <c r="D411" s="4"/>
      <c r="E411" s="4"/>
      <c r="F411" s="4"/>
      <c r="G411" s="4"/>
      <c r="H411" s="4"/>
      <c r="I411" s="4"/>
      <c r="J411" s="19"/>
      <c r="K411" s="4"/>
      <c r="L411" s="4"/>
      <c r="M411" s="4"/>
      <c r="N411" s="4"/>
      <c r="O411" s="4"/>
      <c r="P411" s="4"/>
      <c r="Q411" s="4"/>
      <c r="R411" s="4"/>
      <c r="S411" s="4"/>
      <c r="T411" s="4"/>
      <c r="U411" s="4"/>
      <c r="V411" s="4"/>
      <c r="W411" s="4"/>
      <c r="X411" s="4"/>
      <c r="Y411" s="4"/>
      <c r="Z411" s="4"/>
      <c r="AA411" s="4"/>
      <c r="AB411" s="4"/>
      <c r="AC411" s="4"/>
      <c r="AD411" s="4"/>
      <c r="AE411" s="4"/>
      <c r="AF411" s="4"/>
    </row>
    <row r="412" spans="1:32" ht="15.75" customHeight="1">
      <c r="A412" s="4"/>
      <c r="B412" s="4"/>
      <c r="C412" s="4"/>
      <c r="D412" s="4"/>
      <c r="E412" s="4"/>
      <c r="F412" s="4"/>
      <c r="G412" s="4"/>
      <c r="H412" s="4"/>
      <c r="I412" s="4"/>
      <c r="J412" s="19"/>
      <c r="K412" s="4"/>
      <c r="L412" s="4"/>
      <c r="M412" s="4"/>
      <c r="N412" s="4"/>
      <c r="O412" s="4"/>
      <c r="P412" s="4"/>
      <c r="Q412" s="4"/>
      <c r="R412" s="4"/>
      <c r="S412" s="4"/>
      <c r="T412" s="4"/>
      <c r="U412" s="4"/>
      <c r="V412" s="4"/>
      <c r="W412" s="4"/>
      <c r="X412" s="4"/>
      <c r="Y412" s="4"/>
      <c r="Z412" s="4"/>
      <c r="AA412" s="4"/>
      <c r="AB412" s="4"/>
      <c r="AC412" s="4"/>
      <c r="AD412" s="4"/>
      <c r="AE412" s="4"/>
      <c r="AF412" s="4"/>
    </row>
    <row r="413" spans="1:32" ht="15.75" customHeight="1">
      <c r="A413" s="4"/>
      <c r="B413" s="4"/>
      <c r="C413" s="4"/>
      <c r="D413" s="4"/>
      <c r="E413" s="4"/>
      <c r="F413" s="4"/>
      <c r="G413" s="4"/>
      <c r="H413" s="4"/>
      <c r="I413" s="4"/>
      <c r="J413" s="19"/>
      <c r="K413" s="4"/>
      <c r="L413" s="4"/>
      <c r="M413" s="4"/>
      <c r="N413" s="4"/>
      <c r="O413" s="4"/>
      <c r="P413" s="4"/>
      <c r="Q413" s="4"/>
      <c r="R413" s="4"/>
      <c r="S413" s="4"/>
      <c r="T413" s="4"/>
      <c r="U413" s="4"/>
      <c r="V413" s="4"/>
      <c r="W413" s="4"/>
      <c r="X413" s="4"/>
      <c r="Y413" s="4"/>
      <c r="Z413" s="4"/>
      <c r="AA413" s="4"/>
      <c r="AB413" s="4"/>
      <c r="AC413" s="4"/>
      <c r="AD413" s="4"/>
      <c r="AE413" s="4"/>
      <c r="AF413" s="4"/>
    </row>
    <row r="414" spans="1:32" ht="15.75" customHeight="1">
      <c r="A414" s="4"/>
      <c r="B414" s="4"/>
      <c r="C414" s="4"/>
      <c r="D414" s="4"/>
      <c r="E414" s="4"/>
      <c r="F414" s="4"/>
      <c r="G414" s="4"/>
      <c r="H414" s="4"/>
      <c r="I414" s="4"/>
      <c r="J414" s="19"/>
      <c r="K414" s="4"/>
      <c r="L414" s="4"/>
      <c r="M414" s="4"/>
      <c r="N414" s="4"/>
      <c r="O414" s="4"/>
      <c r="P414" s="4"/>
      <c r="Q414" s="4"/>
      <c r="R414" s="4"/>
      <c r="S414" s="4"/>
      <c r="T414" s="4"/>
      <c r="U414" s="4"/>
      <c r="V414" s="4"/>
      <c r="W414" s="4"/>
      <c r="X414" s="4"/>
      <c r="Y414" s="4"/>
      <c r="Z414" s="4"/>
      <c r="AA414" s="4"/>
      <c r="AB414" s="4"/>
      <c r="AC414" s="4"/>
      <c r="AD414" s="4"/>
      <c r="AE414" s="4"/>
      <c r="AF414" s="4"/>
    </row>
    <row r="415" spans="1:32" ht="15.75" customHeight="1">
      <c r="A415" s="4"/>
      <c r="B415" s="4"/>
      <c r="C415" s="4"/>
      <c r="D415" s="4"/>
      <c r="E415" s="4"/>
      <c r="F415" s="4"/>
      <c r="G415" s="4"/>
      <c r="H415" s="4"/>
      <c r="I415" s="4"/>
      <c r="J415" s="19"/>
      <c r="K415" s="4"/>
      <c r="L415" s="4"/>
      <c r="M415" s="4"/>
      <c r="N415" s="4"/>
      <c r="O415" s="4"/>
      <c r="P415" s="4"/>
      <c r="Q415" s="4"/>
      <c r="R415" s="4"/>
      <c r="S415" s="4"/>
      <c r="T415" s="4"/>
      <c r="U415" s="4"/>
      <c r="V415" s="4"/>
      <c r="W415" s="4"/>
      <c r="X415" s="4"/>
      <c r="Y415" s="4"/>
      <c r="Z415" s="4"/>
      <c r="AA415" s="4"/>
      <c r="AB415" s="4"/>
      <c r="AC415" s="4"/>
      <c r="AD415" s="4"/>
      <c r="AE415" s="4"/>
      <c r="AF415" s="4"/>
    </row>
    <row r="416" spans="1:32" ht="15.75" customHeight="1">
      <c r="A416" s="4"/>
      <c r="B416" s="4"/>
      <c r="C416" s="4"/>
      <c r="D416" s="4"/>
      <c r="E416" s="4"/>
      <c r="F416" s="4"/>
      <c r="G416" s="4"/>
      <c r="H416" s="4"/>
      <c r="I416" s="4"/>
      <c r="J416" s="19"/>
      <c r="K416" s="4"/>
      <c r="L416" s="4"/>
      <c r="M416" s="4"/>
      <c r="N416" s="4"/>
      <c r="O416" s="4"/>
      <c r="P416" s="4"/>
      <c r="Q416" s="4"/>
      <c r="R416" s="4"/>
      <c r="S416" s="4"/>
      <c r="T416" s="4"/>
      <c r="U416" s="4"/>
      <c r="V416" s="4"/>
      <c r="W416" s="4"/>
      <c r="X416" s="4"/>
      <c r="Y416" s="4"/>
      <c r="Z416" s="4"/>
      <c r="AA416" s="4"/>
      <c r="AB416" s="4"/>
      <c r="AC416" s="4"/>
      <c r="AD416" s="4"/>
      <c r="AE416" s="4"/>
      <c r="AF416" s="4"/>
    </row>
    <row r="417" spans="1:32" ht="15.75" customHeight="1">
      <c r="A417" s="4"/>
      <c r="B417" s="4"/>
      <c r="C417" s="4"/>
      <c r="D417" s="4"/>
      <c r="E417" s="4"/>
      <c r="F417" s="4"/>
      <c r="G417" s="4"/>
      <c r="H417" s="4"/>
      <c r="I417" s="4"/>
      <c r="J417" s="19"/>
      <c r="K417" s="4"/>
      <c r="L417" s="4"/>
      <c r="M417" s="4"/>
      <c r="N417" s="4"/>
      <c r="O417" s="4"/>
      <c r="P417" s="4"/>
      <c r="Q417" s="4"/>
      <c r="R417" s="4"/>
      <c r="S417" s="4"/>
      <c r="T417" s="4"/>
      <c r="U417" s="4"/>
      <c r="V417" s="4"/>
      <c r="W417" s="4"/>
      <c r="X417" s="4"/>
      <c r="Y417" s="4"/>
      <c r="Z417" s="4"/>
      <c r="AA417" s="4"/>
      <c r="AB417" s="4"/>
      <c r="AC417" s="4"/>
      <c r="AD417" s="4"/>
      <c r="AE417" s="4"/>
      <c r="AF417" s="4"/>
    </row>
    <row r="418" spans="1:32" ht="15.75" customHeight="1">
      <c r="A418" s="4"/>
      <c r="B418" s="4"/>
      <c r="C418" s="4"/>
      <c r="D418" s="4"/>
      <c r="E418" s="4"/>
      <c r="F418" s="4"/>
      <c r="G418" s="4"/>
      <c r="H418" s="4"/>
      <c r="I418" s="4"/>
      <c r="J418" s="19"/>
      <c r="K418" s="4"/>
      <c r="L418" s="4"/>
      <c r="M418" s="4"/>
      <c r="N418" s="4"/>
      <c r="O418" s="4"/>
      <c r="P418" s="4"/>
      <c r="Q418" s="4"/>
      <c r="R418" s="4"/>
      <c r="S418" s="4"/>
      <c r="T418" s="4"/>
      <c r="U418" s="4"/>
      <c r="V418" s="4"/>
      <c r="W418" s="4"/>
      <c r="X418" s="4"/>
      <c r="Y418" s="4"/>
      <c r="Z418" s="4"/>
      <c r="AA418" s="4"/>
      <c r="AB418" s="4"/>
      <c r="AC418" s="4"/>
      <c r="AD418" s="4"/>
      <c r="AE418" s="4"/>
      <c r="AF418" s="4"/>
    </row>
    <row r="419" spans="1:32" ht="15.75" customHeight="1">
      <c r="A419" s="4"/>
      <c r="B419" s="4"/>
      <c r="C419" s="4"/>
      <c r="D419" s="4"/>
      <c r="E419" s="4"/>
      <c r="F419" s="4"/>
      <c r="G419" s="4"/>
      <c r="H419" s="4"/>
      <c r="I419" s="4"/>
      <c r="J419" s="19"/>
      <c r="K419" s="4"/>
      <c r="L419" s="4"/>
      <c r="M419" s="4"/>
      <c r="N419" s="4"/>
      <c r="O419" s="4"/>
      <c r="P419" s="4"/>
      <c r="Q419" s="4"/>
      <c r="R419" s="4"/>
      <c r="S419" s="4"/>
      <c r="T419" s="4"/>
      <c r="U419" s="4"/>
      <c r="V419" s="4"/>
      <c r="W419" s="4"/>
      <c r="X419" s="4"/>
      <c r="Y419" s="4"/>
      <c r="Z419" s="4"/>
      <c r="AA419" s="4"/>
      <c r="AB419" s="4"/>
      <c r="AC419" s="4"/>
      <c r="AD419" s="4"/>
      <c r="AE419" s="4"/>
      <c r="AF419" s="4"/>
    </row>
    <row r="420" spans="1:32" ht="15.75" customHeight="1">
      <c r="A420" s="4"/>
      <c r="B420" s="4"/>
      <c r="C420" s="4"/>
      <c r="D420" s="4"/>
      <c r="E420" s="4"/>
      <c r="F420" s="4"/>
      <c r="G420" s="4"/>
      <c r="H420" s="4"/>
      <c r="I420" s="4"/>
      <c r="J420" s="19"/>
      <c r="K420" s="4"/>
      <c r="L420" s="4"/>
      <c r="M420" s="4"/>
      <c r="N420" s="4"/>
      <c r="O420" s="4"/>
      <c r="P420" s="4"/>
      <c r="Q420" s="4"/>
      <c r="R420" s="4"/>
      <c r="S420" s="4"/>
      <c r="T420" s="4"/>
      <c r="U420" s="4"/>
      <c r="V420" s="4"/>
      <c r="W420" s="4"/>
      <c r="X420" s="4"/>
      <c r="Y420" s="4"/>
      <c r="Z420" s="4"/>
      <c r="AA420" s="4"/>
      <c r="AB420" s="4"/>
      <c r="AC420" s="4"/>
      <c r="AD420" s="4"/>
      <c r="AE420" s="4"/>
      <c r="AF420" s="4"/>
    </row>
    <row r="421" spans="1:32" ht="15.75" customHeight="1">
      <c r="A421" s="4"/>
      <c r="B421" s="4"/>
      <c r="C421" s="4"/>
      <c r="D421" s="4"/>
      <c r="E421" s="4"/>
      <c r="F421" s="4"/>
      <c r="G421" s="4"/>
      <c r="H421" s="4"/>
      <c r="I421" s="4"/>
      <c r="J421" s="19"/>
      <c r="K421" s="4"/>
      <c r="L421" s="4"/>
      <c r="M421" s="4"/>
      <c r="N421" s="4"/>
      <c r="O421" s="4"/>
      <c r="P421" s="4"/>
      <c r="Q421" s="4"/>
      <c r="R421" s="4"/>
      <c r="S421" s="4"/>
      <c r="T421" s="4"/>
      <c r="U421" s="4"/>
      <c r="V421" s="4"/>
      <c r="W421" s="4"/>
      <c r="X421" s="4"/>
      <c r="Y421" s="4"/>
      <c r="Z421" s="4"/>
      <c r="AA421" s="4"/>
      <c r="AB421" s="4"/>
      <c r="AC421" s="4"/>
      <c r="AD421" s="4"/>
      <c r="AE421" s="4"/>
      <c r="AF421" s="4"/>
    </row>
    <row r="422" spans="1:32" ht="15.75" customHeight="1">
      <c r="A422" s="4"/>
      <c r="B422" s="4"/>
      <c r="C422" s="4"/>
      <c r="D422" s="4"/>
      <c r="E422" s="4"/>
      <c r="F422" s="4"/>
      <c r="G422" s="4"/>
      <c r="H422" s="4"/>
      <c r="I422" s="4"/>
      <c r="J422" s="19"/>
      <c r="K422" s="4"/>
      <c r="L422" s="4"/>
      <c r="M422" s="4"/>
      <c r="N422" s="4"/>
      <c r="O422" s="4"/>
      <c r="P422" s="4"/>
      <c r="Q422" s="4"/>
      <c r="R422" s="4"/>
      <c r="S422" s="4"/>
      <c r="T422" s="4"/>
      <c r="U422" s="4"/>
      <c r="V422" s="4"/>
      <c r="W422" s="4"/>
      <c r="X422" s="4"/>
      <c r="Y422" s="4"/>
      <c r="Z422" s="4"/>
      <c r="AA422" s="4"/>
      <c r="AB422" s="4"/>
      <c r="AC422" s="4"/>
      <c r="AD422" s="4"/>
      <c r="AE422" s="4"/>
      <c r="AF422" s="4"/>
    </row>
    <row r="423" spans="1:32" ht="15.75" customHeight="1">
      <c r="A423" s="4"/>
      <c r="B423" s="4"/>
      <c r="C423" s="4"/>
      <c r="D423" s="4"/>
      <c r="E423" s="4"/>
      <c r="F423" s="4"/>
      <c r="G423" s="4"/>
      <c r="H423" s="4"/>
      <c r="I423" s="4"/>
      <c r="J423" s="19"/>
      <c r="K423" s="4"/>
      <c r="L423" s="4"/>
      <c r="M423" s="4"/>
      <c r="N423" s="4"/>
      <c r="O423" s="4"/>
      <c r="P423" s="4"/>
      <c r="Q423" s="4"/>
      <c r="R423" s="4"/>
      <c r="S423" s="4"/>
      <c r="T423" s="4"/>
      <c r="U423" s="4"/>
      <c r="V423" s="4"/>
      <c r="W423" s="4"/>
      <c r="X423" s="4"/>
      <c r="Y423" s="4"/>
      <c r="Z423" s="4"/>
      <c r="AA423" s="4"/>
      <c r="AB423" s="4"/>
      <c r="AC423" s="4"/>
      <c r="AD423" s="4"/>
      <c r="AE423" s="4"/>
      <c r="AF423" s="4"/>
    </row>
    <row r="424" spans="1:32" ht="15.75" customHeight="1">
      <c r="A424" s="4"/>
      <c r="B424" s="4"/>
      <c r="C424" s="4"/>
      <c r="D424" s="4"/>
      <c r="E424" s="4"/>
      <c r="F424" s="4"/>
      <c r="G424" s="4"/>
      <c r="H424" s="4"/>
      <c r="I424" s="4"/>
      <c r="J424" s="19"/>
      <c r="K424" s="4"/>
      <c r="L424" s="4"/>
      <c r="M424" s="4"/>
      <c r="N424" s="4"/>
      <c r="O424" s="4"/>
      <c r="P424" s="4"/>
      <c r="Q424" s="4"/>
      <c r="R424" s="4"/>
      <c r="S424" s="4"/>
      <c r="T424" s="4"/>
      <c r="U424" s="4"/>
      <c r="V424" s="4"/>
      <c r="W424" s="4"/>
      <c r="X424" s="4"/>
      <c r="Y424" s="4"/>
      <c r="Z424" s="4"/>
      <c r="AA424" s="4"/>
      <c r="AB424" s="4"/>
      <c r="AC424" s="4"/>
      <c r="AD424" s="4"/>
      <c r="AE424" s="4"/>
      <c r="AF424" s="4"/>
    </row>
    <row r="425" spans="1:32" ht="15.75" customHeight="1">
      <c r="A425" s="4"/>
      <c r="B425" s="4"/>
      <c r="C425" s="4"/>
      <c r="D425" s="4"/>
      <c r="E425" s="4"/>
      <c r="F425" s="4"/>
      <c r="G425" s="4"/>
      <c r="H425" s="4"/>
      <c r="I425" s="4"/>
      <c r="J425" s="19"/>
      <c r="K425" s="4"/>
      <c r="L425" s="4"/>
      <c r="M425" s="4"/>
      <c r="N425" s="4"/>
      <c r="O425" s="4"/>
      <c r="P425" s="4"/>
      <c r="Q425" s="4"/>
      <c r="R425" s="4"/>
      <c r="S425" s="4"/>
      <c r="T425" s="4"/>
      <c r="U425" s="4"/>
      <c r="V425" s="4"/>
      <c r="W425" s="4"/>
      <c r="X425" s="4"/>
      <c r="Y425" s="4"/>
      <c r="Z425" s="4"/>
      <c r="AA425" s="4"/>
      <c r="AB425" s="4"/>
      <c r="AC425" s="4"/>
      <c r="AD425" s="4"/>
      <c r="AE425" s="4"/>
      <c r="AF425" s="4"/>
    </row>
    <row r="426" spans="1:32" ht="15.75" customHeight="1">
      <c r="A426" s="4"/>
      <c r="B426" s="4"/>
      <c r="C426" s="4"/>
      <c r="D426" s="4"/>
      <c r="E426" s="4"/>
      <c r="F426" s="4"/>
      <c r="G426" s="4"/>
      <c r="H426" s="4"/>
      <c r="I426" s="4"/>
      <c r="J426" s="19"/>
      <c r="K426" s="4"/>
      <c r="L426" s="4"/>
      <c r="M426" s="4"/>
      <c r="N426" s="4"/>
      <c r="O426" s="4"/>
      <c r="P426" s="4"/>
      <c r="Q426" s="4"/>
      <c r="R426" s="4"/>
      <c r="S426" s="4"/>
      <c r="T426" s="4"/>
      <c r="U426" s="4"/>
      <c r="V426" s="4"/>
      <c r="W426" s="4"/>
      <c r="X426" s="4"/>
      <c r="Y426" s="4"/>
      <c r="Z426" s="4"/>
      <c r="AA426" s="4"/>
      <c r="AB426" s="4"/>
      <c r="AC426" s="4"/>
      <c r="AD426" s="4"/>
      <c r="AE426" s="4"/>
      <c r="AF426" s="4"/>
    </row>
    <row r="427" spans="1:32" ht="15.75" customHeight="1">
      <c r="A427" s="4"/>
      <c r="B427" s="4"/>
      <c r="C427" s="4"/>
      <c r="D427" s="4"/>
      <c r="E427" s="4"/>
      <c r="F427" s="4"/>
      <c r="G427" s="4"/>
      <c r="H427" s="4"/>
      <c r="I427" s="4"/>
      <c r="J427" s="19"/>
      <c r="K427" s="4"/>
      <c r="L427" s="4"/>
      <c r="M427" s="4"/>
      <c r="N427" s="4"/>
      <c r="O427" s="4"/>
      <c r="P427" s="4"/>
      <c r="Q427" s="4"/>
      <c r="R427" s="4"/>
      <c r="S427" s="4"/>
      <c r="T427" s="4"/>
      <c r="U427" s="4"/>
      <c r="V427" s="4"/>
      <c r="W427" s="4"/>
      <c r="X427" s="4"/>
      <c r="Y427" s="4"/>
      <c r="Z427" s="4"/>
      <c r="AA427" s="4"/>
      <c r="AB427" s="4"/>
      <c r="AC427" s="4"/>
      <c r="AD427" s="4"/>
      <c r="AE427" s="4"/>
      <c r="AF427" s="4"/>
    </row>
    <row r="428" spans="1:32" ht="15.75" customHeight="1">
      <c r="A428" s="4"/>
      <c r="B428" s="4"/>
      <c r="C428" s="4"/>
      <c r="D428" s="4"/>
      <c r="E428" s="4"/>
      <c r="F428" s="4"/>
      <c r="G428" s="4"/>
      <c r="H428" s="4"/>
      <c r="I428" s="4"/>
      <c r="J428" s="19"/>
      <c r="K428" s="4"/>
      <c r="L428" s="4"/>
      <c r="M428" s="4"/>
      <c r="N428" s="4"/>
      <c r="O428" s="4"/>
      <c r="P428" s="4"/>
      <c r="Q428" s="4"/>
      <c r="R428" s="4"/>
      <c r="S428" s="4"/>
      <c r="T428" s="4"/>
      <c r="U428" s="4"/>
      <c r="V428" s="4"/>
      <c r="W428" s="4"/>
      <c r="X428" s="4"/>
      <c r="Y428" s="4"/>
      <c r="Z428" s="4"/>
      <c r="AA428" s="4"/>
      <c r="AB428" s="4"/>
      <c r="AC428" s="4"/>
      <c r="AD428" s="4"/>
      <c r="AE428" s="4"/>
      <c r="AF428" s="4"/>
    </row>
    <row r="429" spans="1:32" ht="15.75" customHeight="1">
      <c r="A429" s="4"/>
      <c r="B429" s="4"/>
      <c r="C429" s="4"/>
      <c r="D429" s="4"/>
      <c r="E429" s="4"/>
      <c r="F429" s="4"/>
      <c r="G429" s="4"/>
      <c r="H429" s="4"/>
      <c r="I429" s="4"/>
      <c r="J429" s="19"/>
      <c r="K429" s="4"/>
      <c r="L429" s="4"/>
      <c r="M429" s="4"/>
      <c r="N429" s="4"/>
      <c r="O429" s="4"/>
      <c r="P429" s="4"/>
      <c r="Q429" s="4"/>
      <c r="R429" s="4"/>
      <c r="S429" s="4"/>
      <c r="T429" s="4"/>
      <c r="U429" s="4"/>
      <c r="V429" s="4"/>
      <c r="W429" s="4"/>
      <c r="X429" s="4"/>
      <c r="Y429" s="4"/>
      <c r="Z429" s="4"/>
      <c r="AA429" s="4"/>
      <c r="AB429" s="4"/>
      <c r="AC429" s="4"/>
      <c r="AD429" s="4"/>
      <c r="AE429" s="4"/>
      <c r="AF429" s="4"/>
    </row>
    <row r="430" spans="1:32" ht="15.75" customHeight="1">
      <c r="A430" s="4"/>
      <c r="B430" s="4"/>
      <c r="C430" s="4"/>
      <c r="D430" s="4"/>
      <c r="E430" s="4"/>
      <c r="F430" s="4"/>
      <c r="G430" s="4"/>
      <c r="H430" s="4"/>
      <c r="I430" s="4"/>
      <c r="J430" s="19"/>
      <c r="K430" s="4"/>
      <c r="L430" s="4"/>
      <c r="M430" s="4"/>
      <c r="N430" s="4"/>
      <c r="O430" s="4"/>
      <c r="P430" s="4"/>
      <c r="Q430" s="4"/>
      <c r="R430" s="4"/>
      <c r="S430" s="4"/>
      <c r="T430" s="4"/>
      <c r="U430" s="4"/>
      <c r="V430" s="4"/>
      <c r="W430" s="4"/>
      <c r="X430" s="4"/>
      <c r="Y430" s="4"/>
      <c r="Z430" s="4"/>
      <c r="AA430" s="4"/>
      <c r="AB430" s="4"/>
      <c r="AC430" s="4"/>
      <c r="AD430" s="4"/>
      <c r="AE430" s="4"/>
      <c r="AF430" s="4"/>
    </row>
    <row r="431" spans="1:32" ht="15.75" customHeight="1">
      <c r="A431" s="4"/>
      <c r="B431" s="4"/>
      <c r="C431" s="4"/>
      <c r="D431" s="4"/>
      <c r="E431" s="4"/>
      <c r="F431" s="4"/>
      <c r="G431" s="4"/>
      <c r="H431" s="4"/>
      <c r="I431" s="4"/>
      <c r="J431" s="19"/>
      <c r="K431" s="4"/>
      <c r="L431" s="4"/>
      <c r="M431" s="4"/>
      <c r="N431" s="4"/>
      <c r="O431" s="4"/>
      <c r="P431" s="4"/>
      <c r="Q431" s="4"/>
      <c r="R431" s="4"/>
      <c r="S431" s="4"/>
      <c r="T431" s="4"/>
      <c r="U431" s="4"/>
      <c r="V431" s="4"/>
      <c r="W431" s="4"/>
      <c r="X431" s="4"/>
      <c r="Y431" s="4"/>
      <c r="Z431" s="4"/>
      <c r="AA431" s="4"/>
      <c r="AB431" s="4"/>
      <c r="AC431" s="4"/>
      <c r="AD431" s="4"/>
      <c r="AE431" s="4"/>
      <c r="AF431" s="4"/>
    </row>
    <row r="432" spans="1:32" ht="15.75" customHeight="1">
      <c r="A432" s="4"/>
      <c r="B432" s="4"/>
      <c r="C432" s="4"/>
      <c r="D432" s="4"/>
      <c r="E432" s="4"/>
      <c r="F432" s="4"/>
      <c r="G432" s="4"/>
      <c r="H432" s="4"/>
      <c r="I432" s="4"/>
      <c r="J432" s="19"/>
      <c r="K432" s="4"/>
      <c r="L432" s="4"/>
      <c r="M432" s="4"/>
      <c r="N432" s="4"/>
      <c r="O432" s="4"/>
      <c r="P432" s="4"/>
      <c r="Q432" s="4"/>
      <c r="R432" s="4"/>
      <c r="S432" s="4"/>
      <c r="T432" s="4"/>
      <c r="U432" s="4"/>
      <c r="V432" s="4"/>
      <c r="W432" s="4"/>
      <c r="X432" s="4"/>
      <c r="Y432" s="4"/>
      <c r="Z432" s="4"/>
      <c r="AA432" s="4"/>
      <c r="AB432" s="4"/>
      <c r="AC432" s="4"/>
      <c r="AD432" s="4"/>
      <c r="AE432" s="4"/>
      <c r="AF432" s="4"/>
    </row>
    <row r="433" spans="1:32" ht="15.75" customHeight="1">
      <c r="A433" s="4"/>
      <c r="B433" s="4"/>
      <c r="C433" s="4"/>
      <c r="D433" s="4"/>
      <c r="E433" s="4"/>
      <c r="F433" s="4"/>
      <c r="G433" s="4"/>
      <c r="H433" s="4"/>
      <c r="I433" s="4"/>
      <c r="J433" s="19"/>
      <c r="K433" s="4"/>
      <c r="L433" s="4"/>
      <c r="M433" s="4"/>
      <c r="N433" s="4"/>
      <c r="O433" s="4"/>
      <c r="P433" s="4"/>
      <c r="Q433" s="4"/>
      <c r="R433" s="4"/>
      <c r="S433" s="4"/>
      <c r="T433" s="4"/>
      <c r="U433" s="4"/>
      <c r="V433" s="4"/>
      <c r="W433" s="4"/>
      <c r="X433" s="4"/>
      <c r="Y433" s="4"/>
      <c r="Z433" s="4"/>
      <c r="AA433" s="4"/>
      <c r="AB433" s="4"/>
      <c r="AC433" s="4"/>
      <c r="AD433" s="4"/>
      <c r="AE433" s="4"/>
      <c r="AF433" s="4"/>
    </row>
    <row r="434" spans="1:32" ht="15.75" customHeight="1">
      <c r="A434" s="4"/>
      <c r="B434" s="4"/>
      <c r="C434" s="4"/>
      <c r="D434" s="4"/>
      <c r="E434" s="4"/>
      <c r="F434" s="4"/>
      <c r="G434" s="4"/>
      <c r="H434" s="4"/>
      <c r="I434" s="4"/>
      <c r="J434" s="19"/>
      <c r="K434" s="4"/>
      <c r="L434" s="4"/>
      <c r="M434" s="4"/>
      <c r="N434" s="4"/>
      <c r="O434" s="4"/>
      <c r="P434" s="4"/>
      <c r="Q434" s="4"/>
      <c r="R434" s="4"/>
      <c r="S434" s="4"/>
      <c r="T434" s="4"/>
      <c r="U434" s="4"/>
      <c r="V434" s="4"/>
      <c r="W434" s="4"/>
      <c r="X434" s="4"/>
      <c r="Y434" s="4"/>
      <c r="Z434" s="4"/>
      <c r="AA434" s="4"/>
      <c r="AB434" s="4"/>
      <c r="AC434" s="4"/>
      <c r="AD434" s="4"/>
      <c r="AE434" s="4"/>
      <c r="AF434" s="4"/>
    </row>
    <row r="435" spans="1:32" ht="15.75" customHeight="1">
      <c r="A435" s="4"/>
      <c r="B435" s="4"/>
      <c r="C435" s="4"/>
      <c r="D435" s="4"/>
      <c r="E435" s="4"/>
      <c r="F435" s="4"/>
      <c r="G435" s="4"/>
      <c r="H435" s="4"/>
      <c r="I435" s="4"/>
      <c r="J435" s="19"/>
      <c r="K435" s="4"/>
      <c r="L435" s="4"/>
      <c r="M435" s="4"/>
      <c r="N435" s="4"/>
      <c r="O435" s="4"/>
      <c r="P435" s="4"/>
      <c r="Q435" s="4"/>
      <c r="R435" s="4"/>
      <c r="S435" s="4"/>
      <c r="T435" s="4"/>
      <c r="U435" s="4"/>
      <c r="V435" s="4"/>
      <c r="W435" s="4"/>
      <c r="X435" s="4"/>
      <c r="Y435" s="4"/>
      <c r="Z435" s="4"/>
      <c r="AA435" s="4"/>
      <c r="AB435" s="4"/>
      <c r="AC435" s="4"/>
      <c r="AD435" s="4"/>
      <c r="AE435" s="4"/>
      <c r="AF435" s="4"/>
    </row>
    <row r="436" spans="1:32" ht="15.75" customHeight="1">
      <c r="A436" s="4"/>
      <c r="B436" s="4"/>
      <c r="C436" s="4"/>
      <c r="D436" s="4"/>
      <c r="E436" s="4"/>
      <c r="F436" s="4"/>
      <c r="G436" s="4"/>
      <c r="H436" s="4"/>
      <c r="I436" s="4"/>
      <c r="J436" s="19"/>
      <c r="K436" s="4"/>
      <c r="L436" s="4"/>
      <c r="M436" s="4"/>
      <c r="N436" s="4"/>
      <c r="O436" s="4"/>
      <c r="P436" s="4"/>
      <c r="Q436" s="4"/>
      <c r="R436" s="4"/>
      <c r="S436" s="4"/>
      <c r="T436" s="4"/>
      <c r="U436" s="4"/>
      <c r="V436" s="4"/>
      <c r="W436" s="4"/>
      <c r="X436" s="4"/>
      <c r="Y436" s="4"/>
      <c r="Z436" s="4"/>
      <c r="AA436" s="4"/>
      <c r="AB436" s="4"/>
      <c r="AC436" s="4"/>
      <c r="AD436" s="4"/>
      <c r="AE436" s="4"/>
      <c r="AF436" s="4"/>
    </row>
    <row r="437" spans="1:32" ht="15.75" customHeight="1">
      <c r="A437" s="4"/>
      <c r="B437" s="4"/>
      <c r="C437" s="4"/>
      <c r="D437" s="4"/>
      <c r="E437" s="4"/>
      <c r="F437" s="4"/>
      <c r="G437" s="4"/>
      <c r="H437" s="4"/>
      <c r="I437" s="4"/>
      <c r="J437" s="19"/>
      <c r="K437" s="4"/>
      <c r="L437" s="4"/>
      <c r="M437" s="4"/>
      <c r="N437" s="4"/>
      <c r="O437" s="4"/>
      <c r="P437" s="4"/>
      <c r="Q437" s="4"/>
      <c r="R437" s="4"/>
      <c r="S437" s="4"/>
      <c r="T437" s="4"/>
      <c r="U437" s="4"/>
      <c r="V437" s="4"/>
      <c r="W437" s="4"/>
      <c r="X437" s="4"/>
      <c r="Y437" s="4"/>
      <c r="Z437" s="4"/>
      <c r="AA437" s="4"/>
      <c r="AB437" s="4"/>
      <c r="AC437" s="4"/>
      <c r="AD437" s="4"/>
      <c r="AE437" s="4"/>
      <c r="AF437" s="4"/>
    </row>
    <row r="438" spans="1:32" ht="15.75" customHeight="1">
      <c r="A438" s="4"/>
      <c r="B438" s="4"/>
      <c r="C438" s="4"/>
      <c r="D438" s="4"/>
      <c r="E438" s="4"/>
      <c r="F438" s="4"/>
      <c r="G438" s="4"/>
      <c r="H438" s="4"/>
      <c r="I438" s="4"/>
      <c r="J438" s="19"/>
      <c r="K438" s="4"/>
      <c r="L438" s="4"/>
      <c r="M438" s="4"/>
      <c r="N438" s="4"/>
      <c r="O438" s="4"/>
      <c r="P438" s="4"/>
      <c r="Q438" s="4"/>
      <c r="R438" s="4"/>
      <c r="S438" s="4"/>
      <c r="T438" s="4"/>
      <c r="U438" s="4"/>
      <c r="V438" s="4"/>
      <c r="W438" s="4"/>
      <c r="X438" s="4"/>
      <c r="Y438" s="4"/>
      <c r="Z438" s="4"/>
      <c r="AA438" s="4"/>
      <c r="AB438" s="4"/>
      <c r="AC438" s="4"/>
      <c r="AD438" s="4"/>
      <c r="AE438" s="4"/>
      <c r="AF438" s="4"/>
    </row>
    <row r="439" spans="1:32" ht="15.75" customHeight="1">
      <c r="A439" s="4"/>
      <c r="B439" s="4"/>
      <c r="C439" s="4"/>
      <c r="D439" s="4"/>
      <c r="E439" s="4"/>
      <c r="F439" s="4"/>
      <c r="G439" s="4"/>
      <c r="H439" s="4"/>
      <c r="I439" s="4"/>
      <c r="J439" s="19"/>
      <c r="K439" s="4"/>
      <c r="L439" s="4"/>
      <c r="M439" s="4"/>
      <c r="N439" s="4"/>
      <c r="O439" s="4"/>
      <c r="P439" s="4"/>
      <c r="Q439" s="4"/>
      <c r="R439" s="4"/>
      <c r="S439" s="4"/>
      <c r="T439" s="4"/>
      <c r="U439" s="4"/>
      <c r="V439" s="4"/>
      <c r="W439" s="4"/>
      <c r="X439" s="4"/>
      <c r="Y439" s="4"/>
      <c r="Z439" s="4"/>
      <c r="AA439" s="4"/>
      <c r="AB439" s="4"/>
      <c r="AC439" s="4"/>
      <c r="AD439" s="4"/>
      <c r="AE439" s="4"/>
      <c r="AF439" s="4"/>
    </row>
    <row r="440" spans="1:32" ht="15.75" customHeight="1">
      <c r="A440" s="4"/>
      <c r="B440" s="4"/>
      <c r="C440" s="4"/>
      <c r="D440" s="4"/>
      <c r="E440" s="4"/>
      <c r="F440" s="4"/>
      <c r="G440" s="4"/>
      <c r="H440" s="4"/>
      <c r="I440" s="4"/>
      <c r="J440" s="19"/>
      <c r="K440" s="4"/>
      <c r="L440" s="4"/>
      <c r="M440" s="4"/>
      <c r="N440" s="4"/>
      <c r="O440" s="4"/>
      <c r="P440" s="4"/>
      <c r="Q440" s="4"/>
      <c r="R440" s="4"/>
      <c r="S440" s="4"/>
      <c r="T440" s="4"/>
      <c r="U440" s="4"/>
      <c r="V440" s="4"/>
      <c r="W440" s="4"/>
      <c r="X440" s="4"/>
      <c r="Y440" s="4"/>
      <c r="Z440" s="4"/>
      <c r="AA440" s="4"/>
      <c r="AB440" s="4"/>
      <c r="AC440" s="4"/>
      <c r="AD440" s="4"/>
      <c r="AE440" s="4"/>
      <c r="AF440" s="4"/>
    </row>
    <row r="441" spans="1:32" ht="15.75" customHeight="1">
      <c r="A441" s="4"/>
      <c r="B441" s="4"/>
      <c r="C441" s="4"/>
      <c r="D441" s="4"/>
      <c r="E441" s="4"/>
      <c r="F441" s="4"/>
      <c r="G441" s="4"/>
      <c r="H441" s="4"/>
      <c r="I441" s="4"/>
      <c r="J441" s="19"/>
      <c r="K441" s="4"/>
      <c r="L441" s="4"/>
      <c r="M441" s="4"/>
      <c r="N441" s="4"/>
      <c r="O441" s="4"/>
      <c r="P441" s="4"/>
      <c r="Q441" s="4"/>
      <c r="R441" s="4"/>
      <c r="S441" s="4"/>
      <c r="T441" s="4"/>
      <c r="U441" s="4"/>
      <c r="V441" s="4"/>
      <c r="W441" s="4"/>
      <c r="X441" s="4"/>
      <c r="Y441" s="4"/>
      <c r="Z441" s="4"/>
      <c r="AA441" s="4"/>
      <c r="AB441" s="4"/>
      <c r="AC441" s="4"/>
      <c r="AD441" s="4"/>
      <c r="AE441" s="4"/>
      <c r="AF441" s="4"/>
    </row>
    <row r="442" spans="1:32" ht="15.75" customHeight="1">
      <c r="A442" s="4"/>
      <c r="B442" s="4"/>
      <c r="C442" s="4"/>
      <c r="D442" s="4"/>
      <c r="E442" s="4"/>
      <c r="F442" s="4"/>
      <c r="G442" s="4"/>
      <c r="H442" s="4"/>
      <c r="I442" s="4"/>
      <c r="J442" s="19"/>
      <c r="K442" s="4"/>
      <c r="L442" s="4"/>
      <c r="M442" s="4"/>
      <c r="N442" s="4"/>
      <c r="O442" s="4"/>
      <c r="P442" s="4"/>
      <c r="Q442" s="4"/>
      <c r="R442" s="4"/>
      <c r="S442" s="4"/>
      <c r="T442" s="4"/>
      <c r="U442" s="4"/>
      <c r="V442" s="4"/>
      <c r="W442" s="4"/>
      <c r="X442" s="4"/>
      <c r="Y442" s="4"/>
      <c r="Z442" s="4"/>
      <c r="AA442" s="4"/>
      <c r="AB442" s="4"/>
      <c r="AC442" s="4"/>
      <c r="AD442" s="4"/>
      <c r="AE442" s="4"/>
      <c r="AF442" s="4"/>
    </row>
    <row r="443" spans="1:32" ht="15.75" customHeight="1">
      <c r="A443" s="4"/>
      <c r="B443" s="4"/>
      <c r="C443" s="4"/>
      <c r="D443" s="4"/>
      <c r="E443" s="4"/>
      <c r="F443" s="4"/>
      <c r="G443" s="4"/>
      <c r="H443" s="4"/>
      <c r="I443" s="4"/>
      <c r="J443" s="19"/>
      <c r="K443" s="4"/>
      <c r="L443" s="4"/>
      <c r="M443" s="4"/>
      <c r="N443" s="4"/>
      <c r="O443" s="4"/>
      <c r="P443" s="4"/>
      <c r="Q443" s="4"/>
      <c r="R443" s="4"/>
      <c r="S443" s="4"/>
      <c r="T443" s="4"/>
      <c r="U443" s="4"/>
      <c r="V443" s="4"/>
      <c r="W443" s="4"/>
      <c r="X443" s="4"/>
      <c r="Y443" s="4"/>
      <c r="Z443" s="4"/>
      <c r="AA443" s="4"/>
      <c r="AB443" s="4"/>
      <c r="AC443" s="4"/>
      <c r="AD443" s="4"/>
      <c r="AE443" s="4"/>
      <c r="AF443" s="4"/>
    </row>
    <row r="444" spans="1:32" ht="15.75" customHeight="1">
      <c r="A444" s="4"/>
      <c r="B444" s="4"/>
      <c r="C444" s="4"/>
      <c r="D444" s="4"/>
      <c r="E444" s="4"/>
      <c r="F444" s="4"/>
      <c r="G444" s="4"/>
      <c r="H444" s="4"/>
      <c r="I444" s="4"/>
      <c r="J444" s="19"/>
      <c r="K444" s="4"/>
      <c r="L444" s="4"/>
      <c r="M444" s="4"/>
      <c r="N444" s="4"/>
      <c r="O444" s="4"/>
      <c r="P444" s="4"/>
      <c r="Q444" s="4"/>
      <c r="R444" s="4"/>
      <c r="S444" s="4"/>
      <c r="T444" s="4"/>
      <c r="U444" s="4"/>
      <c r="V444" s="4"/>
      <c r="W444" s="4"/>
      <c r="X444" s="4"/>
      <c r="Y444" s="4"/>
      <c r="Z444" s="4"/>
      <c r="AA444" s="4"/>
      <c r="AB444" s="4"/>
      <c r="AC444" s="4"/>
      <c r="AD444" s="4"/>
      <c r="AE444" s="4"/>
      <c r="AF444" s="4"/>
    </row>
    <row r="445" spans="1:32" ht="15.75" customHeight="1">
      <c r="A445" s="4"/>
      <c r="B445" s="4"/>
      <c r="C445" s="4"/>
      <c r="D445" s="4"/>
      <c r="E445" s="4"/>
      <c r="F445" s="4"/>
      <c r="G445" s="4"/>
      <c r="H445" s="4"/>
      <c r="I445" s="4"/>
      <c r="J445" s="19"/>
      <c r="K445" s="4"/>
      <c r="L445" s="4"/>
      <c r="M445" s="4"/>
      <c r="N445" s="4"/>
      <c r="O445" s="4"/>
      <c r="P445" s="4"/>
      <c r="Q445" s="4"/>
      <c r="R445" s="4"/>
      <c r="S445" s="4"/>
      <c r="T445" s="4"/>
      <c r="U445" s="4"/>
      <c r="V445" s="4"/>
      <c r="W445" s="4"/>
      <c r="X445" s="4"/>
      <c r="Y445" s="4"/>
      <c r="Z445" s="4"/>
      <c r="AA445" s="4"/>
      <c r="AB445" s="4"/>
      <c r="AC445" s="4"/>
      <c r="AD445" s="4"/>
      <c r="AE445" s="4"/>
      <c r="AF445" s="4"/>
    </row>
    <row r="446" spans="1:32" ht="15.75" customHeight="1">
      <c r="A446" s="4"/>
      <c r="B446" s="4"/>
      <c r="C446" s="4"/>
      <c r="D446" s="4"/>
      <c r="E446" s="4"/>
      <c r="F446" s="4"/>
      <c r="G446" s="4"/>
      <c r="H446" s="4"/>
      <c r="I446" s="4"/>
      <c r="J446" s="19"/>
      <c r="K446" s="4"/>
      <c r="L446" s="4"/>
      <c r="M446" s="4"/>
      <c r="N446" s="4"/>
      <c r="O446" s="4"/>
      <c r="P446" s="4"/>
      <c r="Q446" s="4"/>
      <c r="R446" s="4"/>
      <c r="S446" s="4"/>
      <c r="T446" s="4"/>
      <c r="U446" s="4"/>
      <c r="V446" s="4"/>
      <c r="W446" s="4"/>
      <c r="X446" s="4"/>
      <c r="Y446" s="4"/>
      <c r="Z446" s="4"/>
      <c r="AA446" s="4"/>
      <c r="AB446" s="4"/>
      <c r="AC446" s="4"/>
      <c r="AD446" s="4"/>
      <c r="AE446" s="4"/>
      <c r="AF446" s="4"/>
    </row>
    <row r="447" spans="1:32" ht="15.75" customHeight="1">
      <c r="A447" s="4"/>
      <c r="B447" s="4"/>
      <c r="C447" s="4"/>
      <c r="D447" s="4"/>
      <c r="E447" s="4"/>
      <c r="F447" s="4"/>
      <c r="G447" s="4"/>
      <c r="H447" s="4"/>
      <c r="I447" s="4"/>
      <c r="J447" s="19"/>
      <c r="K447" s="4"/>
      <c r="L447" s="4"/>
      <c r="M447" s="4"/>
      <c r="N447" s="4"/>
      <c r="O447" s="4"/>
      <c r="P447" s="4"/>
      <c r="Q447" s="4"/>
      <c r="R447" s="4"/>
      <c r="S447" s="4"/>
      <c r="T447" s="4"/>
      <c r="U447" s="4"/>
      <c r="V447" s="4"/>
      <c r="W447" s="4"/>
      <c r="X447" s="4"/>
      <c r="Y447" s="4"/>
      <c r="Z447" s="4"/>
      <c r="AA447" s="4"/>
      <c r="AB447" s="4"/>
      <c r="AC447" s="4"/>
      <c r="AD447" s="4"/>
      <c r="AE447" s="4"/>
      <c r="AF447" s="4"/>
    </row>
    <row r="448" spans="1:32" ht="15.75" customHeight="1">
      <c r="A448" s="4"/>
      <c r="B448" s="4"/>
      <c r="C448" s="4"/>
      <c r="D448" s="4"/>
      <c r="E448" s="4"/>
      <c r="F448" s="4"/>
      <c r="G448" s="4"/>
      <c r="H448" s="4"/>
      <c r="I448" s="4"/>
      <c r="J448" s="19"/>
      <c r="K448" s="4"/>
      <c r="L448" s="4"/>
      <c r="M448" s="4"/>
      <c r="N448" s="4"/>
      <c r="O448" s="4"/>
      <c r="P448" s="4"/>
      <c r="Q448" s="4"/>
      <c r="R448" s="4"/>
      <c r="S448" s="4"/>
      <c r="T448" s="4"/>
      <c r="U448" s="4"/>
      <c r="V448" s="4"/>
      <c r="W448" s="4"/>
      <c r="X448" s="4"/>
      <c r="Y448" s="4"/>
      <c r="Z448" s="4"/>
      <c r="AA448" s="4"/>
      <c r="AB448" s="4"/>
      <c r="AC448" s="4"/>
      <c r="AD448" s="4"/>
      <c r="AE448" s="4"/>
      <c r="AF448" s="4"/>
    </row>
    <row r="449" spans="1:32" ht="15.75" customHeight="1">
      <c r="A449" s="4"/>
      <c r="B449" s="4"/>
      <c r="C449" s="4"/>
      <c r="D449" s="4"/>
      <c r="E449" s="4"/>
      <c r="F449" s="4"/>
      <c r="G449" s="4"/>
      <c r="H449" s="4"/>
      <c r="I449" s="4"/>
      <c r="J449" s="19"/>
      <c r="K449" s="4"/>
      <c r="L449" s="4"/>
      <c r="M449" s="4"/>
      <c r="N449" s="4"/>
      <c r="O449" s="4"/>
      <c r="P449" s="4"/>
      <c r="Q449" s="4"/>
      <c r="R449" s="4"/>
      <c r="S449" s="4"/>
      <c r="T449" s="4"/>
      <c r="U449" s="4"/>
      <c r="V449" s="4"/>
      <c r="W449" s="4"/>
      <c r="X449" s="4"/>
      <c r="Y449" s="4"/>
      <c r="Z449" s="4"/>
      <c r="AA449" s="4"/>
      <c r="AB449" s="4"/>
      <c r="AC449" s="4"/>
      <c r="AD449" s="4"/>
      <c r="AE449" s="4"/>
      <c r="AF449" s="4"/>
    </row>
    <row r="450" spans="1:32" ht="15.75" customHeight="1">
      <c r="A450" s="4"/>
      <c r="B450" s="4"/>
      <c r="C450" s="4"/>
      <c r="D450" s="4"/>
      <c r="E450" s="4"/>
      <c r="F450" s="4"/>
      <c r="G450" s="4"/>
      <c r="H450" s="4"/>
      <c r="I450" s="4"/>
      <c r="J450" s="19"/>
      <c r="K450" s="4"/>
      <c r="L450" s="4"/>
      <c r="M450" s="4"/>
      <c r="N450" s="4"/>
      <c r="O450" s="4"/>
      <c r="P450" s="4"/>
      <c r="Q450" s="4"/>
      <c r="R450" s="4"/>
      <c r="S450" s="4"/>
      <c r="T450" s="4"/>
      <c r="U450" s="4"/>
      <c r="V450" s="4"/>
      <c r="W450" s="4"/>
      <c r="X450" s="4"/>
      <c r="Y450" s="4"/>
      <c r="Z450" s="4"/>
      <c r="AA450" s="4"/>
      <c r="AB450" s="4"/>
      <c r="AC450" s="4"/>
      <c r="AD450" s="4"/>
      <c r="AE450" s="4"/>
      <c r="AF450" s="4"/>
    </row>
    <row r="451" spans="1:32" ht="15.75" customHeight="1">
      <c r="A451" s="4"/>
      <c r="B451" s="4"/>
      <c r="C451" s="4"/>
      <c r="D451" s="4"/>
      <c r="E451" s="4"/>
      <c r="F451" s="4"/>
      <c r="G451" s="4"/>
      <c r="H451" s="4"/>
      <c r="I451" s="4"/>
      <c r="J451" s="19"/>
      <c r="K451" s="4"/>
      <c r="L451" s="4"/>
      <c r="M451" s="4"/>
      <c r="N451" s="4"/>
      <c r="O451" s="4"/>
      <c r="P451" s="4"/>
      <c r="Q451" s="4"/>
      <c r="R451" s="4"/>
      <c r="S451" s="4"/>
      <c r="T451" s="4"/>
      <c r="U451" s="4"/>
      <c r="V451" s="4"/>
      <c r="W451" s="4"/>
      <c r="X451" s="4"/>
      <c r="Y451" s="4"/>
      <c r="Z451" s="4"/>
      <c r="AA451" s="4"/>
      <c r="AB451" s="4"/>
      <c r="AC451" s="4"/>
      <c r="AD451" s="4"/>
      <c r="AE451" s="4"/>
      <c r="AF451" s="4"/>
    </row>
    <row r="452" spans="1:32" ht="15.75" customHeight="1">
      <c r="A452" s="4"/>
      <c r="B452" s="4"/>
      <c r="C452" s="4"/>
      <c r="D452" s="4"/>
      <c r="E452" s="4"/>
      <c r="F452" s="4"/>
      <c r="G452" s="4"/>
      <c r="H452" s="4"/>
      <c r="I452" s="4"/>
      <c r="J452" s="19"/>
      <c r="K452" s="4"/>
      <c r="L452" s="4"/>
      <c r="M452" s="4"/>
      <c r="N452" s="4"/>
      <c r="O452" s="4"/>
      <c r="P452" s="4"/>
      <c r="Q452" s="4"/>
      <c r="R452" s="4"/>
      <c r="S452" s="4"/>
      <c r="T452" s="4"/>
      <c r="U452" s="4"/>
      <c r="V452" s="4"/>
      <c r="W452" s="4"/>
      <c r="X452" s="4"/>
      <c r="Y452" s="4"/>
      <c r="Z452" s="4"/>
      <c r="AA452" s="4"/>
      <c r="AB452" s="4"/>
      <c r="AC452" s="4"/>
      <c r="AD452" s="4"/>
      <c r="AE452" s="4"/>
      <c r="AF452" s="4"/>
    </row>
    <row r="453" spans="1:32" ht="15.75" customHeight="1">
      <c r="A453" s="4"/>
      <c r="B453" s="4"/>
      <c r="C453" s="4"/>
      <c r="D453" s="4"/>
      <c r="E453" s="4"/>
      <c r="F453" s="4"/>
      <c r="G453" s="4"/>
      <c r="H453" s="4"/>
      <c r="I453" s="4"/>
      <c r="J453" s="19"/>
      <c r="K453" s="4"/>
      <c r="L453" s="4"/>
      <c r="M453" s="4"/>
      <c r="N453" s="4"/>
      <c r="O453" s="4"/>
      <c r="P453" s="4"/>
      <c r="Q453" s="4"/>
      <c r="R453" s="4"/>
      <c r="S453" s="4"/>
      <c r="T453" s="4"/>
      <c r="U453" s="4"/>
      <c r="V453" s="4"/>
      <c r="W453" s="4"/>
      <c r="X453" s="4"/>
      <c r="Y453" s="4"/>
      <c r="Z453" s="4"/>
      <c r="AA453" s="4"/>
      <c r="AB453" s="4"/>
      <c r="AC453" s="4"/>
      <c r="AD453" s="4"/>
      <c r="AE453" s="4"/>
      <c r="AF453" s="4"/>
    </row>
    <row r="454" spans="1:32" ht="15.75" customHeight="1">
      <c r="A454" s="4"/>
      <c r="B454" s="4"/>
      <c r="C454" s="4"/>
      <c r="D454" s="4"/>
      <c r="E454" s="4"/>
      <c r="F454" s="4"/>
      <c r="G454" s="4"/>
      <c r="H454" s="4"/>
      <c r="I454" s="4"/>
      <c r="J454" s="19"/>
      <c r="K454" s="4"/>
      <c r="L454" s="4"/>
      <c r="M454" s="4"/>
      <c r="N454" s="4"/>
      <c r="O454" s="4"/>
      <c r="P454" s="4"/>
      <c r="Q454" s="4"/>
      <c r="R454" s="4"/>
      <c r="S454" s="4"/>
      <c r="T454" s="4"/>
      <c r="U454" s="4"/>
      <c r="V454" s="4"/>
      <c r="W454" s="4"/>
      <c r="X454" s="4"/>
      <c r="Y454" s="4"/>
      <c r="Z454" s="4"/>
      <c r="AA454" s="4"/>
      <c r="AB454" s="4"/>
      <c r="AC454" s="4"/>
      <c r="AD454" s="4"/>
      <c r="AE454" s="4"/>
      <c r="AF454" s="4"/>
    </row>
    <row r="455" spans="1:32" ht="15.75" customHeight="1">
      <c r="A455" s="4"/>
      <c r="B455" s="4"/>
      <c r="C455" s="4"/>
      <c r="D455" s="4"/>
      <c r="E455" s="4"/>
      <c r="F455" s="4"/>
      <c r="G455" s="4"/>
      <c r="H455" s="4"/>
      <c r="I455" s="4"/>
      <c r="J455" s="19"/>
      <c r="K455" s="4"/>
      <c r="L455" s="4"/>
      <c r="M455" s="4"/>
      <c r="N455" s="4"/>
      <c r="O455" s="4"/>
      <c r="P455" s="4"/>
      <c r="Q455" s="4"/>
      <c r="R455" s="4"/>
      <c r="S455" s="4"/>
      <c r="T455" s="4"/>
      <c r="U455" s="4"/>
      <c r="V455" s="4"/>
      <c r="W455" s="4"/>
      <c r="X455" s="4"/>
      <c r="Y455" s="4"/>
      <c r="Z455" s="4"/>
      <c r="AA455" s="4"/>
      <c r="AB455" s="4"/>
      <c r="AC455" s="4"/>
      <c r="AD455" s="4"/>
      <c r="AE455" s="4"/>
      <c r="AF455" s="4"/>
    </row>
    <row r="456" spans="1:32" ht="15.75" customHeight="1">
      <c r="A456" s="4"/>
      <c r="B456" s="4"/>
      <c r="C456" s="4"/>
      <c r="D456" s="4"/>
      <c r="E456" s="4"/>
      <c r="F456" s="4"/>
      <c r="G456" s="4"/>
      <c r="H456" s="4"/>
      <c r="I456" s="4"/>
      <c r="J456" s="19"/>
      <c r="K456" s="4"/>
      <c r="L456" s="4"/>
      <c r="M456" s="4"/>
      <c r="N456" s="4"/>
      <c r="O456" s="4"/>
      <c r="P456" s="4"/>
      <c r="Q456" s="4"/>
      <c r="R456" s="4"/>
      <c r="S456" s="4"/>
      <c r="T456" s="4"/>
      <c r="U456" s="4"/>
      <c r="V456" s="4"/>
      <c r="W456" s="4"/>
      <c r="X456" s="4"/>
      <c r="Y456" s="4"/>
      <c r="Z456" s="4"/>
      <c r="AA456" s="4"/>
      <c r="AB456" s="4"/>
      <c r="AC456" s="4"/>
      <c r="AD456" s="4"/>
      <c r="AE456" s="4"/>
      <c r="AF456" s="4"/>
    </row>
    <row r="457" spans="1:32" ht="15.75" customHeight="1">
      <c r="A457" s="4"/>
      <c r="B457" s="4"/>
      <c r="C457" s="4"/>
      <c r="D457" s="4"/>
      <c r="E457" s="4"/>
      <c r="F457" s="4"/>
      <c r="G457" s="4"/>
      <c r="H457" s="4"/>
      <c r="I457" s="4"/>
      <c r="J457" s="19"/>
      <c r="K457" s="4"/>
      <c r="L457" s="4"/>
      <c r="M457" s="4"/>
      <c r="N457" s="4"/>
      <c r="O457" s="4"/>
      <c r="P457" s="4"/>
      <c r="Q457" s="4"/>
      <c r="R457" s="4"/>
      <c r="S457" s="4"/>
      <c r="T457" s="4"/>
      <c r="U457" s="4"/>
      <c r="V457" s="4"/>
      <c r="W457" s="4"/>
      <c r="X457" s="4"/>
      <c r="Y457" s="4"/>
      <c r="Z457" s="4"/>
      <c r="AA457" s="4"/>
      <c r="AB457" s="4"/>
      <c r="AC457" s="4"/>
      <c r="AD457" s="4"/>
      <c r="AE457" s="4"/>
      <c r="AF457" s="4"/>
    </row>
    <row r="458" spans="1:32" ht="15.75" customHeight="1">
      <c r="A458" s="4"/>
      <c r="B458" s="4"/>
      <c r="C458" s="4"/>
      <c r="D458" s="4"/>
      <c r="E458" s="4"/>
      <c r="F458" s="4"/>
      <c r="G458" s="4"/>
      <c r="H458" s="4"/>
      <c r="I458" s="4"/>
      <c r="J458" s="19"/>
      <c r="K458" s="4"/>
      <c r="L458" s="4"/>
      <c r="M458" s="4"/>
      <c r="N458" s="4"/>
      <c r="O458" s="4"/>
      <c r="P458" s="4"/>
      <c r="Q458" s="4"/>
      <c r="R458" s="4"/>
      <c r="S458" s="4"/>
      <c r="T458" s="4"/>
      <c r="U458" s="4"/>
      <c r="V458" s="4"/>
      <c r="W458" s="4"/>
      <c r="X458" s="4"/>
      <c r="Y458" s="4"/>
      <c r="Z458" s="4"/>
      <c r="AA458" s="4"/>
      <c r="AB458" s="4"/>
      <c r="AC458" s="4"/>
      <c r="AD458" s="4"/>
      <c r="AE458" s="4"/>
      <c r="AF458" s="4"/>
    </row>
    <row r="459" spans="1:32" ht="15.75" customHeight="1">
      <c r="A459" s="4"/>
      <c r="B459" s="4"/>
      <c r="C459" s="4"/>
      <c r="D459" s="4"/>
      <c r="E459" s="4"/>
      <c r="F459" s="4"/>
      <c r="G459" s="4"/>
      <c r="H459" s="4"/>
      <c r="I459" s="4"/>
      <c r="J459" s="19"/>
      <c r="K459" s="4"/>
      <c r="L459" s="4"/>
      <c r="M459" s="4"/>
      <c r="N459" s="4"/>
      <c r="O459" s="4"/>
      <c r="P459" s="4"/>
      <c r="Q459" s="4"/>
      <c r="R459" s="4"/>
      <c r="S459" s="4"/>
      <c r="T459" s="4"/>
      <c r="U459" s="4"/>
      <c r="V459" s="4"/>
      <c r="W459" s="4"/>
      <c r="X459" s="4"/>
      <c r="Y459" s="4"/>
      <c r="Z459" s="4"/>
      <c r="AA459" s="4"/>
      <c r="AB459" s="4"/>
      <c r="AC459" s="4"/>
      <c r="AD459" s="4"/>
      <c r="AE459" s="4"/>
      <c r="AF459" s="4"/>
    </row>
    <row r="460" spans="1:32" ht="15.75" customHeight="1">
      <c r="A460" s="4"/>
      <c r="B460" s="4"/>
      <c r="C460" s="4"/>
      <c r="D460" s="4"/>
      <c r="E460" s="4"/>
      <c r="F460" s="4"/>
      <c r="G460" s="4"/>
      <c r="H460" s="4"/>
      <c r="I460" s="4"/>
      <c r="J460" s="19"/>
      <c r="K460" s="4"/>
      <c r="L460" s="4"/>
      <c r="M460" s="4"/>
      <c r="N460" s="4"/>
      <c r="O460" s="4"/>
      <c r="P460" s="4"/>
      <c r="Q460" s="4"/>
      <c r="R460" s="4"/>
      <c r="S460" s="4"/>
      <c r="T460" s="4"/>
      <c r="U460" s="4"/>
      <c r="V460" s="4"/>
      <c r="W460" s="4"/>
      <c r="X460" s="4"/>
      <c r="Y460" s="4"/>
      <c r="Z460" s="4"/>
      <c r="AA460" s="4"/>
      <c r="AB460" s="4"/>
      <c r="AC460" s="4"/>
      <c r="AD460" s="4"/>
      <c r="AE460" s="4"/>
      <c r="AF460" s="4"/>
    </row>
    <row r="461" spans="1:32" ht="15.75" customHeight="1">
      <c r="A461" s="4"/>
      <c r="B461" s="4"/>
      <c r="C461" s="4"/>
      <c r="D461" s="4"/>
      <c r="E461" s="4"/>
      <c r="F461" s="4"/>
      <c r="G461" s="4"/>
      <c r="H461" s="4"/>
      <c r="I461" s="4"/>
      <c r="J461" s="19"/>
      <c r="K461" s="4"/>
      <c r="L461" s="4"/>
      <c r="M461" s="4"/>
      <c r="N461" s="4"/>
      <c r="O461" s="4"/>
      <c r="P461" s="4"/>
      <c r="Q461" s="4"/>
      <c r="R461" s="4"/>
      <c r="S461" s="4"/>
      <c r="T461" s="4"/>
      <c r="U461" s="4"/>
      <c r="V461" s="4"/>
      <c r="W461" s="4"/>
      <c r="X461" s="4"/>
      <c r="Y461" s="4"/>
      <c r="Z461" s="4"/>
      <c r="AA461" s="4"/>
      <c r="AB461" s="4"/>
      <c r="AC461" s="4"/>
      <c r="AD461" s="4"/>
      <c r="AE461" s="4"/>
      <c r="AF461" s="4"/>
    </row>
    <row r="462" spans="1:32" ht="15.75" customHeight="1">
      <c r="A462" s="4"/>
      <c r="B462" s="4"/>
      <c r="C462" s="4"/>
      <c r="D462" s="4"/>
      <c r="E462" s="4"/>
      <c r="F462" s="4"/>
      <c r="G462" s="4"/>
      <c r="H462" s="4"/>
      <c r="I462" s="4"/>
      <c r="J462" s="19"/>
      <c r="K462" s="4"/>
      <c r="L462" s="4"/>
      <c r="M462" s="4"/>
      <c r="N462" s="4"/>
      <c r="O462" s="4"/>
      <c r="P462" s="4"/>
      <c r="Q462" s="4"/>
      <c r="R462" s="4"/>
      <c r="S462" s="4"/>
      <c r="T462" s="4"/>
      <c r="U462" s="4"/>
      <c r="V462" s="4"/>
      <c r="W462" s="4"/>
      <c r="X462" s="4"/>
      <c r="Y462" s="4"/>
      <c r="Z462" s="4"/>
      <c r="AA462" s="4"/>
      <c r="AB462" s="4"/>
      <c r="AC462" s="4"/>
      <c r="AD462" s="4"/>
      <c r="AE462" s="4"/>
      <c r="AF462" s="4"/>
    </row>
    <row r="463" spans="1:32" ht="15.75" customHeight="1">
      <c r="A463" s="4"/>
      <c r="B463" s="4"/>
      <c r="C463" s="4"/>
      <c r="D463" s="4"/>
      <c r="E463" s="4"/>
      <c r="F463" s="4"/>
      <c r="G463" s="4"/>
      <c r="H463" s="4"/>
      <c r="I463" s="4"/>
      <c r="J463" s="19"/>
      <c r="K463" s="4"/>
      <c r="L463" s="4"/>
      <c r="M463" s="4"/>
      <c r="N463" s="4"/>
      <c r="O463" s="4"/>
      <c r="P463" s="4"/>
      <c r="Q463" s="4"/>
      <c r="R463" s="4"/>
      <c r="S463" s="4"/>
      <c r="T463" s="4"/>
      <c r="U463" s="4"/>
      <c r="V463" s="4"/>
      <c r="W463" s="4"/>
      <c r="X463" s="4"/>
      <c r="Y463" s="4"/>
      <c r="Z463" s="4"/>
      <c r="AA463" s="4"/>
      <c r="AB463" s="4"/>
      <c r="AC463" s="4"/>
      <c r="AD463" s="4"/>
      <c r="AE463" s="4"/>
      <c r="AF463" s="4"/>
    </row>
    <row r="464" spans="1:32" ht="15.75" customHeight="1">
      <c r="A464" s="4"/>
      <c r="B464" s="4"/>
      <c r="C464" s="4"/>
      <c r="D464" s="4"/>
      <c r="E464" s="4"/>
      <c r="F464" s="4"/>
      <c r="G464" s="4"/>
      <c r="H464" s="4"/>
      <c r="I464" s="4"/>
      <c r="J464" s="19"/>
      <c r="K464" s="4"/>
      <c r="L464" s="4"/>
      <c r="M464" s="4"/>
      <c r="N464" s="4"/>
      <c r="O464" s="4"/>
      <c r="P464" s="4"/>
      <c r="Q464" s="4"/>
      <c r="R464" s="4"/>
      <c r="S464" s="4"/>
      <c r="T464" s="4"/>
      <c r="U464" s="4"/>
      <c r="V464" s="4"/>
      <c r="W464" s="4"/>
      <c r="X464" s="4"/>
      <c r="Y464" s="4"/>
      <c r="Z464" s="4"/>
      <c r="AA464" s="4"/>
      <c r="AB464" s="4"/>
      <c r="AC464" s="4"/>
      <c r="AD464" s="4"/>
      <c r="AE464" s="4"/>
      <c r="AF464" s="4"/>
    </row>
    <row r="465" spans="1:32" ht="15.75" customHeight="1">
      <c r="A465" s="4"/>
      <c r="B465" s="4"/>
      <c r="C465" s="4"/>
      <c r="D465" s="4"/>
      <c r="E465" s="4"/>
      <c r="F465" s="4"/>
      <c r="G465" s="4"/>
      <c r="H465" s="4"/>
      <c r="I465" s="4"/>
      <c r="J465" s="19"/>
      <c r="K465" s="4"/>
      <c r="L465" s="4"/>
      <c r="M465" s="4"/>
      <c r="N465" s="4"/>
      <c r="O465" s="4"/>
      <c r="P465" s="4"/>
      <c r="Q465" s="4"/>
      <c r="R465" s="4"/>
      <c r="S465" s="4"/>
      <c r="T465" s="4"/>
      <c r="U465" s="4"/>
      <c r="V465" s="4"/>
      <c r="W465" s="4"/>
      <c r="X465" s="4"/>
      <c r="Y465" s="4"/>
      <c r="Z465" s="4"/>
      <c r="AA465" s="4"/>
      <c r="AB465" s="4"/>
      <c r="AC465" s="4"/>
      <c r="AD465" s="4"/>
      <c r="AE465" s="4"/>
      <c r="AF465" s="4"/>
    </row>
    <row r="466" spans="1:32" ht="15.75" customHeight="1">
      <c r="A466" s="4"/>
      <c r="B466" s="4"/>
      <c r="C466" s="4"/>
      <c r="D466" s="4"/>
      <c r="E466" s="4"/>
      <c r="F466" s="4"/>
      <c r="G466" s="4"/>
      <c r="H466" s="4"/>
      <c r="I466" s="4"/>
      <c r="J466" s="19"/>
      <c r="K466" s="4"/>
      <c r="L466" s="4"/>
      <c r="M466" s="4"/>
      <c r="N466" s="4"/>
      <c r="O466" s="4"/>
      <c r="P466" s="4"/>
      <c r="Q466" s="4"/>
      <c r="R466" s="4"/>
      <c r="S466" s="4"/>
      <c r="T466" s="4"/>
      <c r="U466" s="4"/>
      <c r="V466" s="4"/>
      <c r="W466" s="4"/>
      <c r="X466" s="4"/>
      <c r="Y466" s="4"/>
      <c r="Z466" s="4"/>
      <c r="AA466" s="4"/>
      <c r="AB466" s="4"/>
      <c r="AC466" s="4"/>
      <c r="AD466" s="4"/>
      <c r="AE466" s="4"/>
      <c r="AF466" s="4"/>
    </row>
    <row r="467" spans="1:32" ht="15.75" customHeight="1">
      <c r="A467" s="4"/>
      <c r="B467" s="4"/>
      <c r="C467" s="4"/>
      <c r="D467" s="4"/>
      <c r="E467" s="4"/>
      <c r="F467" s="4"/>
      <c r="G467" s="4"/>
      <c r="H467" s="4"/>
      <c r="I467" s="4"/>
      <c r="J467" s="19"/>
      <c r="K467" s="4"/>
      <c r="L467" s="4"/>
      <c r="M467" s="4"/>
      <c r="N467" s="4"/>
      <c r="O467" s="4"/>
      <c r="P467" s="4"/>
      <c r="Q467" s="4"/>
      <c r="R467" s="4"/>
      <c r="S467" s="4"/>
      <c r="T467" s="4"/>
      <c r="U467" s="4"/>
      <c r="V467" s="4"/>
      <c r="W467" s="4"/>
      <c r="X467" s="4"/>
      <c r="Y467" s="4"/>
      <c r="Z467" s="4"/>
      <c r="AA467" s="4"/>
      <c r="AB467" s="4"/>
      <c r="AC467" s="4"/>
      <c r="AD467" s="4"/>
      <c r="AE467" s="4"/>
      <c r="AF467" s="4"/>
    </row>
    <row r="468" spans="1:32" ht="15.75" customHeight="1">
      <c r="A468" s="4"/>
      <c r="B468" s="4"/>
      <c r="C468" s="4"/>
      <c r="D468" s="4"/>
      <c r="E468" s="4"/>
      <c r="F468" s="4"/>
      <c r="G468" s="4"/>
      <c r="H468" s="4"/>
      <c r="I468" s="4"/>
      <c r="J468" s="19"/>
      <c r="K468" s="4"/>
      <c r="L468" s="4"/>
      <c r="M468" s="4"/>
      <c r="N468" s="4"/>
      <c r="O468" s="4"/>
      <c r="P468" s="4"/>
      <c r="Q468" s="4"/>
      <c r="R468" s="4"/>
      <c r="S468" s="4"/>
      <c r="T468" s="4"/>
      <c r="U468" s="4"/>
      <c r="V468" s="4"/>
      <c r="W468" s="4"/>
      <c r="X468" s="4"/>
      <c r="Y468" s="4"/>
      <c r="Z468" s="4"/>
      <c r="AA468" s="4"/>
      <c r="AB468" s="4"/>
      <c r="AC468" s="4"/>
      <c r="AD468" s="4"/>
      <c r="AE468" s="4"/>
      <c r="AF468" s="4"/>
    </row>
    <row r="469" spans="1:32" ht="15.75" customHeight="1">
      <c r="A469" s="4"/>
      <c r="B469" s="4"/>
      <c r="C469" s="4"/>
      <c r="D469" s="4"/>
      <c r="E469" s="4"/>
      <c r="F469" s="4"/>
      <c r="G469" s="4"/>
      <c r="H469" s="4"/>
      <c r="I469" s="4"/>
      <c r="J469" s="19"/>
      <c r="K469" s="4"/>
      <c r="L469" s="4"/>
      <c r="M469" s="4"/>
      <c r="N469" s="4"/>
      <c r="O469" s="4"/>
      <c r="P469" s="4"/>
      <c r="Q469" s="4"/>
      <c r="R469" s="4"/>
      <c r="S469" s="4"/>
      <c r="T469" s="4"/>
      <c r="U469" s="4"/>
      <c r="V469" s="4"/>
      <c r="W469" s="4"/>
      <c r="X469" s="4"/>
      <c r="Y469" s="4"/>
      <c r="Z469" s="4"/>
      <c r="AA469" s="4"/>
      <c r="AB469" s="4"/>
      <c r="AC469" s="4"/>
      <c r="AD469" s="4"/>
      <c r="AE469" s="4"/>
      <c r="AF469" s="4"/>
    </row>
    <row r="470" spans="1:32" ht="15.75" customHeight="1">
      <c r="A470" s="4"/>
      <c r="B470" s="4"/>
      <c r="C470" s="4"/>
      <c r="D470" s="4"/>
      <c r="E470" s="4"/>
      <c r="F470" s="4"/>
      <c r="G470" s="4"/>
      <c r="H470" s="4"/>
      <c r="I470" s="4"/>
      <c r="J470" s="19"/>
      <c r="K470" s="4"/>
      <c r="L470" s="4"/>
      <c r="M470" s="4"/>
      <c r="N470" s="4"/>
      <c r="O470" s="4"/>
      <c r="P470" s="4"/>
      <c r="Q470" s="4"/>
      <c r="R470" s="4"/>
      <c r="S470" s="4"/>
      <c r="T470" s="4"/>
      <c r="U470" s="4"/>
      <c r="V470" s="4"/>
      <c r="W470" s="4"/>
      <c r="X470" s="4"/>
      <c r="Y470" s="4"/>
      <c r="Z470" s="4"/>
      <c r="AA470" s="4"/>
      <c r="AB470" s="4"/>
      <c r="AC470" s="4"/>
      <c r="AD470" s="4"/>
      <c r="AE470" s="4"/>
      <c r="AF470" s="4"/>
    </row>
    <row r="471" spans="1:32" ht="15.75" customHeight="1">
      <c r="A471" s="4"/>
      <c r="B471" s="4"/>
      <c r="C471" s="4"/>
      <c r="D471" s="4"/>
      <c r="E471" s="4"/>
      <c r="F471" s="4"/>
      <c r="G471" s="4"/>
      <c r="H471" s="4"/>
      <c r="I471" s="4"/>
      <c r="J471" s="19"/>
      <c r="K471" s="4"/>
      <c r="L471" s="4"/>
      <c r="M471" s="4"/>
      <c r="N471" s="4"/>
      <c r="O471" s="4"/>
      <c r="P471" s="4"/>
      <c r="Q471" s="4"/>
      <c r="R471" s="4"/>
      <c r="S471" s="4"/>
      <c r="T471" s="4"/>
      <c r="U471" s="4"/>
      <c r="V471" s="4"/>
      <c r="W471" s="4"/>
      <c r="X471" s="4"/>
      <c r="Y471" s="4"/>
      <c r="Z471" s="4"/>
      <c r="AA471" s="4"/>
      <c r="AB471" s="4"/>
      <c r="AC471" s="4"/>
      <c r="AD471" s="4"/>
      <c r="AE471" s="4"/>
      <c r="AF471" s="4"/>
    </row>
    <row r="472" spans="1:32" ht="15.75" customHeight="1">
      <c r="A472" s="4"/>
      <c r="B472" s="4"/>
      <c r="C472" s="4"/>
      <c r="D472" s="4"/>
      <c r="E472" s="4"/>
      <c r="F472" s="4"/>
      <c r="G472" s="4"/>
      <c r="H472" s="4"/>
      <c r="I472" s="4"/>
      <c r="J472" s="19"/>
      <c r="K472" s="4"/>
      <c r="L472" s="4"/>
      <c r="M472" s="4"/>
      <c r="N472" s="4"/>
      <c r="O472" s="4"/>
      <c r="P472" s="4"/>
      <c r="Q472" s="4"/>
      <c r="R472" s="4"/>
      <c r="S472" s="4"/>
      <c r="T472" s="4"/>
      <c r="U472" s="4"/>
      <c r="V472" s="4"/>
      <c r="W472" s="4"/>
      <c r="X472" s="4"/>
      <c r="Y472" s="4"/>
      <c r="Z472" s="4"/>
      <c r="AA472" s="4"/>
      <c r="AB472" s="4"/>
      <c r="AC472" s="4"/>
      <c r="AD472" s="4"/>
      <c r="AE472" s="4"/>
      <c r="AF472" s="4"/>
    </row>
    <row r="473" spans="1:32" ht="15.75" customHeight="1">
      <c r="A473" s="4"/>
      <c r="B473" s="4"/>
      <c r="C473" s="4"/>
      <c r="D473" s="4"/>
      <c r="E473" s="4"/>
      <c r="F473" s="4"/>
      <c r="G473" s="4"/>
      <c r="H473" s="4"/>
      <c r="I473" s="4"/>
      <c r="J473" s="19"/>
      <c r="K473" s="4"/>
      <c r="L473" s="4"/>
      <c r="M473" s="4"/>
      <c r="N473" s="4"/>
      <c r="O473" s="4"/>
      <c r="P473" s="4"/>
      <c r="Q473" s="4"/>
      <c r="R473" s="4"/>
      <c r="S473" s="4"/>
      <c r="T473" s="4"/>
      <c r="U473" s="4"/>
      <c r="V473" s="4"/>
      <c r="W473" s="4"/>
      <c r="X473" s="4"/>
      <c r="Y473" s="4"/>
      <c r="Z473" s="4"/>
      <c r="AA473" s="4"/>
      <c r="AB473" s="4"/>
      <c r="AC473" s="4"/>
      <c r="AD473" s="4"/>
      <c r="AE473" s="4"/>
      <c r="AF473" s="4"/>
    </row>
    <row r="474" spans="1:32" ht="15.75" customHeight="1">
      <c r="A474" s="4"/>
      <c r="B474" s="4"/>
      <c r="C474" s="4"/>
      <c r="D474" s="4"/>
      <c r="E474" s="4"/>
      <c r="F474" s="4"/>
      <c r="G474" s="4"/>
      <c r="H474" s="4"/>
      <c r="I474" s="4"/>
      <c r="J474" s="19"/>
      <c r="K474" s="4"/>
      <c r="L474" s="4"/>
      <c r="M474" s="4"/>
      <c r="N474" s="4"/>
      <c r="O474" s="4"/>
      <c r="P474" s="4"/>
      <c r="Q474" s="4"/>
      <c r="R474" s="4"/>
      <c r="S474" s="4"/>
      <c r="T474" s="4"/>
      <c r="U474" s="4"/>
      <c r="V474" s="4"/>
      <c r="W474" s="4"/>
      <c r="X474" s="4"/>
      <c r="Y474" s="4"/>
      <c r="Z474" s="4"/>
      <c r="AA474" s="4"/>
      <c r="AB474" s="4"/>
      <c r="AC474" s="4"/>
      <c r="AD474" s="4"/>
      <c r="AE474" s="4"/>
      <c r="AF474" s="4"/>
    </row>
    <row r="475" spans="1:32" ht="15.75" customHeight="1">
      <c r="A475" s="4"/>
      <c r="B475" s="4"/>
      <c r="C475" s="4"/>
      <c r="D475" s="4"/>
      <c r="E475" s="4"/>
      <c r="F475" s="4"/>
      <c r="G475" s="4"/>
      <c r="H475" s="4"/>
      <c r="I475" s="4"/>
      <c r="J475" s="19"/>
      <c r="K475" s="4"/>
      <c r="L475" s="4"/>
      <c r="M475" s="4"/>
      <c r="N475" s="4"/>
      <c r="O475" s="4"/>
      <c r="P475" s="4"/>
      <c r="Q475" s="4"/>
      <c r="R475" s="4"/>
      <c r="S475" s="4"/>
      <c r="T475" s="4"/>
      <c r="U475" s="4"/>
      <c r="V475" s="4"/>
      <c r="W475" s="4"/>
      <c r="X475" s="4"/>
      <c r="Y475" s="4"/>
      <c r="Z475" s="4"/>
      <c r="AA475" s="4"/>
      <c r="AB475" s="4"/>
      <c r="AC475" s="4"/>
      <c r="AD475" s="4"/>
      <c r="AE475" s="4"/>
      <c r="AF475" s="4"/>
    </row>
    <row r="476" spans="1:32" ht="15.75" customHeight="1">
      <c r="A476" s="4"/>
      <c r="B476" s="4"/>
      <c r="C476" s="4"/>
      <c r="D476" s="4"/>
      <c r="E476" s="4"/>
      <c r="F476" s="4"/>
      <c r="G476" s="4"/>
      <c r="H476" s="4"/>
      <c r="I476" s="4"/>
      <c r="J476" s="19"/>
      <c r="K476" s="4"/>
      <c r="L476" s="4"/>
      <c r="M476" s="4"/>
      <c r="N476" s="4"/>
      <c r="O476" s="4"/>
      <c r="P476" s="4"/>
      <c r="Q476" s="4"/>
      <c r="R476" s="4"/>
      <c r="S476" s="4"/>
      <c r="T476" s="4"/>
      <c r="U476" s="4"/>
      <c r="V476" s="4"/>
      <c r="W476" s="4"/>
      <c r="X476" s="4"/>
      <c r="Y476" s="4"/>
      <c r="Z476" s="4"/>
      <c r="AA476" s="4"/>
      <c r="AB476" s="4"/>
      <c r="AC476" s="4"/>
      <c r="AD476" s="4"/>
      <c r="AE476" s="4"/>
      <c r="AF476" s="4"/>
    </row>
    <row r="477" spans="1:32" ht="15.75" customHeight="1">
      <c r="A477" s="4"/>
      <c r="B477" s="4"/>
      <c r="C477" s="4"/>
      <c r="D477" s="4"/>
      <c r="E477" s="4"/>
      <c r="F477" s="4"/>
      <c r="G477" s="4"/>
      <c r="H477" s="4"/>
      <c r="I477" s="4"/>
      <c r="J477" s="19"/>
      <c r="K477" s="4"/>
      <c r="L477" s="4"/>
      <c r="M477" s="4"/>
      <c r="N477" s="4"/>
      <c r="O477" s="4"/>
      <c r="P477" s="4"/>
      <c r="Q477" s="4"/>
      <c r="R477" s="4"/>
      <c r="S477" s="4"/>
      <c r="T477" s="4"/>
      <c r="U477" s="4"/>
      <c r="V477" s="4"/>
      <c r="W477" s="4"/>
      <c r="X477" s="4"/>
      <c r="Y477" s="4"/>
      <c r="Z477" s="4"/>
      <c r="AA477" s="4"/>
      <c r="AB477" s="4"/>
      <c r="AC477" s="4"/>
      <c r="AD477" s="4"/>
      <c r="AE477" s="4"/>
      <c r="AF477" s="4"/>
    </row>
    <row r="478" spans="1:32" ht="15.75" customHeight="1">
      <c r="A478" s="4"/>
      <c r="B478" s="4"/>
      <c r="C478" s="4"/>
      <c r="D478" s="4"/>
      <c r="E478" s="4"/>
      <c r="F478" s="4"/>
      <c r="G478" s="4"/>
      <c r="H478" s="4"/>
      <c r="I478" s="4"/>
      <c r="J478" s="19"/>
      <c r="K478" s="4"/>
      <c r="L478" s="4"/>
      <c r="M478" s="4"/>
      <c r="N478" s="4"/>
      <c r="O478" s="4"/>
      <c r="P478" s="4"/>
      <c r="Q478" s="4"/>
      <c r="R478" s="4"/>
      <c r="S478" s="4"/>
      <c r="T478" s="4"/>
      <c r="U478" s="4"/>
      <c r="V478" s="4"/>
      <c r="W478" s="4"/>
      <c r="X478" s="4"/>
      <c r="Y478" s="4"/>
      <c r="Z478" s="4"/>
      <c r="AA478" s="4"/>
      <c r="AB478" s="4"/>
      <c r="AC478" s="4"/>
      <c r="AD478" s="4"/>
      <c r="AE478" s="4"/>
      <c r="AF478" s="4"/>
    </row>
    <row r="479" spans="1:32" ht="15.75" customHeight="1">
      <c r="A479" s="4"/>
      <c r="B479" s="4"/>
      <c r="C479" s="4"/>
      <c r="D479" s="4"/>
      <c r="E479" s="4"/>
      <c r="F479" s="4"/>
      <c r="G479" s="4"/>
      <c r="H479" s="4"/>
      <c r="I479" s="4"/>
      <c r="J479" s="19"/>
      <c r="K479" s="4"/>
      <c r="L479" s="4"/>
      <c r="M479" s="4"/>
      <c r="N479" s="4"/>
      <c r="O479" s="4"/>
      <c r="P479" s="4"/>
      <c r="Q479" s="4"/>
      <c r="R479" s="4"/>
      <c r="S479" s="4"/>
      <c r="T479" s="4"/>
      <c r="U479" s="4"/>
      <c r="V479" s="4"/>
      <c r="W479" s="4"/>
      <c r="X479" s="4"/>
      <c r="Y479" s="4"/>
      <c r="Z479" s="4"/>
      <c r="AA479" s="4"/>
      <c r="AB479" s="4"/>
      <c r="AC479" s="4"/>
      <c r="AD479" s="4"/>
      <c r="AE479" s="4"/>
      <c r="AF479" s="4"/>
    </row>
    <row r="480" spans="1:32" ht="15.75" customHeight="1">
      <c r="A480" s="4"/>
      <c r="B480" s="4"/>
      <c r="C480" s="4"/>
      <c r="D480" s="4"/>
      <c r="E480" s="4"/>
      <c r="F480" s="4"/>
      <c r="G480" s="4"/>
      <c r="H480" s="4"/>
      <c r="I480" s="4"/>
      <c r="J480" s="19"/>
      <c r="K480" s="4"/>
      <c r="L480" s="4"/>
      <c r="M480" s="4"/>
      <c r="N480" s="4"/>
      <c r="O480" s="4"/>
      <c r="P480" s="4"/>
      <c r="Q480" s="4"/>
      <c r="R480" s="4"/>
      <c r="S480" s="4"/>
      <c r="T480" s="4"/>
      <c r="U480" s="4"/>
      <c r="V480" s="4"/>
      <c r="W480" s="4"/>
      <c r="X480" s="4"/>
      <c r="Y480" s="4"/>
      <c r="Z480" s="4"/>
      <c r="AA480" s="4"/>
      <c r="AB480" s="4"/>
      <c r="AC480" s="4"/>
      <c r="AD480" s="4"/>
      <c r="AE480" s="4"/>
      <c r="AF480" s="4"/>
    </row>
    <row r="481" spans="1:32" ht="15.75" customHeight="1">
      <c r="A481" s="4"/>
      <c r="B481" s="4"/>
      <c r="C481" s="4"/>
      <c r="D481" s="4"/>
      <c r="E481" s="4"/>
      <c r="F481" s="4"/>
      <c r="G481" s="4"/>
      <c r="H481" s="4"/>
      <c r="I481" s="4"/>
      <c r="J481" s="19"/>
      <c r="K481" s="4"/>
      <c r="L481" s="4"/>
      <c r="M481" s="4"/>
      <c r="N481" s="4"/>
      <c r="O481" s="4"/>
      <c r="P481" s="4"/>
      <c r="Q481" s="4"/>
      <c r="R481" s="4"/>
      <c r="S481" s="4"/>
      <c r="T481" s="4"/>
      <c r="U481" s="4"/>
      <c r="V481" s="4"/>
      <c r="W481" s="4"/>
      <c r="X481" s="4"/>
      <c r="Y481" s="4"/>
      <c r="Z481" s="4"/>
      <c r="AA481" s="4"/>
      <c r="AB481" s="4"/>
      <c r="AC481" s="4"/>
      <c r="AD481" s="4"/>
      <c r="AE481" s="4"/>
      <c r="AF481" s="4"/>
    </row>
    <row r="482" spans="1:32" ht="15.75" customHeight="1">
      <c r="A482" s="4"/>
      <c r="B482" s="4"/>
      <c r="C482" s="4"/>
      <c r="D482" s="4"/>
      <c r="E482" s="4"/>
      <c r="F482" s="4"/>
      <c r="G482" s="4"/>
      <c r="H482" s="4"/>
      <c r="I482" s="4"/>
      <c r="J482" s="19"/>
      <c r="K482" s="4"/>
      <c r="L482" s="4"/>
      <c r="M482" s="4"/>
      <c r="N482" s="4"/>
      <c r="O482" s="4"/>
      <c r="P482" s="4"/>
      <c r="Q482" s="4"/>
      <c r="R482" s="4"/>
      <c r="S482" s="4"/>
      <c r="T482" s="4"/>
      <c r="U482" s="4"/>
      <c r="V482" s="4"/>
      <c r="W482" s="4"/>
      <c r="X482" s="4"/>
      <c r="Y482" s="4"/>
      <c r="Z482" s="4"/>
      <c r="AA482" s="4"/>
      <c r="AB482" s="4"/>
      <c r="AC482" s="4"/>
      <c r="AD482" s="4"/>
      <c r="AE482" s="4"/>
      <c r="AF482" s="4"/>
    </row>
    <row r="483" spans="1:32" ht="15.75" customHeight="1">
      <c r="A483" s="4"/>
      <c r="B483" s="4"/>
      <c r="C483" s="4"/>
      <c r="D483" s="4"/>
      <c r="E483" s="4"/>
      <c r="F483" s="4"/>
      <c r="G483" s="4"/>
      <c r="H483" s="4"/>
      <c r="I483" s="4"/>
      <c r="J483" s="19"/>
      <c r="K483" s="4"/>
      <c r="L483" s="4"/>
      <c r="M483" s="4"/>
      <c r="N483" s="4"/>
      <c r="O483" s="4"/>
      <c r="P483" s="4"/>
      <c r="Q483" s="4"/>
      <c r="R483" s="4"/>
      <c r="S483" s="4"/>
      <c r="T483" s="4"/>
      <c r="U483" s="4"/>
      <c r="V483" s="4"/>
      <c r="W483" s="4"/>
      <c r="X483" s="4"/>
      <c r="Y483" s="4"/>
      <c r="Z483" s="4"/>
      <c r="AA483" s="4"/>
      <c r="AB483" s="4"/>
      <c r="AC483" s="4"/>
      <c r="AD483" s="4"/>
      <c r="AE483" s="4"/>
      <c r="AF483" s="4"/>
    </row>
    <row r="484" spans="1:32" ht="15.75" customHeight="1">
      <c r="A484" s="4"/>
      <c r="B484" s="4"/>
      <c r="C484" s="4"/>
      <c r="D484" s="4"/>
      <c r="E484" s="4"/>
      <c r="F484" s="4"/>
      <c r="G484" s="4"/>
      <c r="H484" s="4"/>
      <c r="I484" s="4"/>
      <c r="J484" s="19"/>
      <c r="K484" s="4"/>
      <c r="L484" s="4"/>
      <c r="M484" s="4"/>
      <c r="N484" s="4"/>
      <c r="O484" s="4"/>
      <c r="P484" s="4"/>
      <c r="Q484" s="4"/>
      <c r="R484" s="4"/>
      <c r="S484" s="4"/>
      <c r="T484" s="4"/>
      <c r="U484" s="4"/>
      <c r="V484" s="4"/>
      <c r="W484" s="4"/>
      <c r="X484" s="4"/>
      <c r="Y484" s="4"/>
      <c r="Z484" s="4"/>
      <c r="AA484" s="4"/>
      <c r="AB484" s="4"/>
      <c r="AC484" s="4"/>
      <c r="AD484" s="4"/>
      <c r="AE484" s="4"/>
      <c r="AF484" s="4"/>
    </row>
    <row r="485" spans="1:32" ht="15.75" customHeight="1">
      <c r="A485" s="4"/>
      <c r="B485" s="4"/>
      <c r="C485" s="4"/>
      <c r="D485" s="4"/>
      <c r="E485" s="4"/>
      <c r="F485" s="4"/>
      <c r="G485" s="4"/>
      <c r="H485" s="4"/>
      <c r="I485" s="4"/>
      <c r="J485" s="19"/>
      <c r="K485" s="4"/>
      <c r="L485" s="4"/>
      <c r="M485" s="4"/>
      <c r="N485" s="4"/>
      <c r="O485" s="4"/>
      <c r="P485" s="4"/>
      <c r="Q485" s="4"/>
      <c r="R485" s="4"/>
      <c r="S485" s="4"/>
      <c r="T485" s="4"/>
      <c r="U485" s="4"/>
      <c r="V485" s="4"/>
      <c r="W485" s="4"/>
      <c r="X485" s="4"/>
      <c r="Y485" s="4"/>
      <c r="Z485" s="4"/>
      <c r="AA485" s="4"/>
      <c r="AB485" s="4"/>
      <c r="AC485" s="4"/>
      <c r="AD485" s="4"/>
      <c r="AE485" s="4"/>
      <c r="AF485" s="4"/>
    </row>
    <row r="486" spans="1:32" ht="15.75" customHeight="1">
      <c r="A486" s="4"/>
      <c r="B486" s="4"/>
      <c r="C486" s="4"/>
      <c r="D486" s="4"/>
      <c r="E486" s="4"/>
      <c r="F486" s="4"/>
      <c r="G486" s="4"/>
      <c r="H486" s="4"/>
      <c r="I486" s="4"/>
      <c r="J486" s="19"/>
      <c r="K486" s="4"/>
      <c r="L486" s="4"/>
      <c r="M486" s="4"/>
      <c r="N486" s="4"/>
      <c r="O486" s="4"/>
      <c r="P486" s="4"/>
      <c r="Q486" s="4"/>
      <c r="R486" s="4"/>
      <c r="S486" s="4"/>
      <c r="T486" s="4"/>
      <c r="U486" s="4"/>
      <c r="V486" s="4"/>
      <c r="W486" s="4"/>
      <c r="X486" s="4"/>
      <c r="Y486" s="4"/>
      <c r="Z486" s="4"/>
      <c r="AA486" s="4"/>
      <c r="AB486" s="4"/>
      <c r="AC486" s="4"/>
      <c r="AD486" s="4"/>
      <c r="AE486" s="4"/>
      <c r="AF486" s="4"/>
    </row>
    <row r="487" spans="1:32" ht="15.75" customHeight="1">
      <c r="A487" s="4"/>
      <c r="B487" s="4"/>
      <c r="C487" s="4"/>
      <c r="D487" s="4"/>
      <c r="E487" s="4"/>
      <c r="F487" s="4"/>
      <c r="G487" s="4"/>
      <c r="H487" s="4"/>
      <c r="I487" s="4"/>
      <c r="J487" s="19"/>
      <c r="K487" s="4"/>
      <c r="L487" s="4"/>
      <c r="M487" s="4"/>
      <c r="N487" s="4"/>
      <c r="O487" s="4"/>
      <c r="P487" s="4"/>
      <c r="Q487" s="4"/>
      <c r="R487" s="4"/>
      <c r="S487" s="4"/>
      <c r="T487" s="4"/>
      <c r="U487" s="4"/>
      <c r="V487" s="4"/>
      <c r="W487" s="4"/>
      <c r="X487" s="4"/>
      <c r="Y487" s="4"/>
      <c r="Z487" s="4"/>
      <c r="AA487" s="4"/>
      <c r="AB487" s="4"/>
      <c r="AC487" s="4"/>
      <c r="AD487" s="4"/>
      <c r="AE487" s="4"/>
      <c r="AF487" s="4"/>
    </row>
    <row r="488" spans="1:32" ht="15.75" customHeight="1">
      <c r="A488" s="4"/>
      <c r="B488" s="4"/>
      <c r="C488" s="4"/>
      <c r="D488" s="4"/>
      <c r="E488" s="4"/>
      <c r="F488" s="4"/>
      <c r="G488" s="4"/>
      <c r="H488" s="4"/>
      <c r="I488" s="4"/>
      <c r="J488" s="19"/>
      <c r="K488" s="4"/>
      <c r="L488" s="4"/>
      <c r="M488" s="4"/>
      <c r="N488" s="4"/>
      <c r="O488" s="4"/>
      <c r="P488" s="4"/>
      <c r="Q488" s="4"/>
      <c r="R488" s="4"/>
      <c r="S488" s="4"/>
      <c r="T488" s="4"/>
      <c r="U488" s="4"/>
      <c r="V488" s="4"/>
      <c r="W488" s="4"/>
      <c r="X488" s="4"/>
      <c r="Y488" s="4"/>
      <c r="Z488" s="4"/>
      <c r="AA488" s="4"/>
      <c r="AB488" s="4"/>
      <c r="AC488" s="4"/>
      <c r="AD488" s="4"/>
      <c r="AE488" s="4"/>
      <c r="AF488" s="4"/>
    </row>
    <row r="489" spans="1:32" ht="15.75" customHeight="1">
      <c r="A489" s="4"/>
      <c r="B489" s="4"/>
      <c r="C489" s="4"/>
      <c r="D489" s="4"/>
      <c r="E489" s="4"/>
      <c r="F489" s="4"/>
      <c r="G489" s="4"/>
      <c r="H489" s="4"/>
      <c r="I489" s="4"/>
      <c r="J489" s="19"/>
      <c r="K489" s="4"/>
      <c r="L489" s="4"/>
      <c r="M489" s="4"/>
      <c r="N489" s="4"/>
      <c r="O489" s="4"/>
      <c r="P489" s="4"/>
      <c r="Q489" s="4"/>
      <c r="R489" s="4"/>
      <c r="S489" s="4"/>
      <c r="T489" s="4"/>
      <c r="U489" s="4"/>
      <c r="V489" s="4"/>
      <c r="W489" s="4"/>
      <c r="X489" s="4"/>
      <c r="Y489" s="4"/>
      <c r="Z489" s="4"/>
      <c r="AA489" s="4"/>
      <c r="AB489" s="4"/>
      <c r="AC489" s="4"/>
      <c r="AD489" s="4"/>
      <c r="AE489" s="4"/>
      <c r="AF489" s="4"/>
    </row>
    <row r="490" spans="1:32" ht="15.75" customHeight="1">
      <c r="A490" s="4"/>
      <c r="B490" s="4"/>
      <c r="C490" s="4"/>
      <c r="D490" s="4"/>
      <c r="E490" s="4"/>
      <c r="F490" s="4"/>
      <c r="G490" s="4"/>
      <c r="H490" s="4"/>
      <c r="I490" s="4"/>
      <c r="J490" s="19"/>
      <c r="K490" s="4"/>
      <c r="L490" s="4"/>
      <c r="M490" s="4"/>
      <c r="N490" s="4"/>
      <c r="O490" s="4"/>
      <c r="P490" s="4"/>
      <c r="Q490" s="4"/>
      <c r="R490" s="4"/>
      <c r="S490" s="4"/>
      <c r="T490" s="4"/>
      <c r="U490" s="4"/>
      <c r="V490" s="4"/>
      <c r="W490" s="4"/>
      <c r="X490" s="4"/>
      <c r="Y490" s="4"/>
      <c r="Z490" s="4"/>
      <c r="AA490" s="4"/>
      <c r="AB490" s="4"/>
      <c r="AC490" s="4"/>
      <c r="AD490" s="4"/>
      <c r="AE490" s="4"/>
      <c r="AF490" s="4"/>
    </row>
    <row r="491" spans="1:32" ht="15.75" customHeight="1">
      <c r="A491" s="4"/>
      <c r="B491" s="4"/>
      <c r="C491" s="4"/>
      <c r="D491" s="4"/>
      <c r="E491" s="4"/>
      <c r="F491" s="4"/>
      <c r="G491" s="4"/>
      <c r="H491" s="4"/>
      <c r="I491" s="4"/>
      <c r="J491" s="19"/>
      <c r="K491" s="4"/>
      <c r="L491" s="4"/>
      <c r="M491" s="4"/>
      <c r="N491" s="4"/>
      <c r="O491" s="4"/>
      <c r="P491" s="4"/>
      <c r="Q491" s="4"/>
      <c r="R491" s="4"/>
      <c r="S491" s="4"/>
      <c r="T491" s="4"/>
      <c r="U491" s="4"/>
      <c r="V491" s="4"/>
      <c r="W491" s="4"/>
      <c r="X491" s="4"/>
      <c r="Y491" s="4"/>
      <c r="Z491" s="4"/>
      <c r="AA491" s="4"/>
      <c r="AB491" s="4"/>
      <c r="AC491" s="4"/>
      <c r="AD491" s="4"/>
      <c r="AE491" s="4"/>
      <c r="AF491" s="4"/>
    </row>
    <row r="492" spans="1:32" ht="15.75" customHeight="1">
      <c r="A492" s="4"/>
      <c r="B492" s="4"/>
      <c r="C492" s="4"/>
      <c r="D492" s="4"/>
      <c r="E492" s="4"/>
      <c r="F492" s="4"/>
      <c r="G492" s="4"/>
      <c r="H492" s="4"/>
      <c r="I492" s="4"/>
      <c r="J492" s="19"/>
      <c r="K492" s="4"/>
      <c r="L492" s="4"/>
      <c r="M492" s="4"/>
      <c r="N492" s="4"/>
      <c r="O492" s="4"/>
      <c r="P492" s="4"/>
      <c r="Q492" s="4"/>
      <c r="R492" s="4"/>
      <c r="S492" s="4"/>
      <c r="T492" s="4"/>
      <c r="U492" s="4"/>
      <c r="V492" s="4"/>
      <c r="W492" s="4"/>
      <c r="X492" s="4"/>
      <c r="Y492" s="4"/>
      <c r="Z492" s="4"/>
      <c r="AA492" s="4"/>
      <c r="AB492" s="4"/>
      <c r="AC492" s="4"/>
      <c r="AD492" s="4"/>
      <c r="AE492" s="4"/>
      <c r="AF492" s="4"/>
    </row>
    <row r="493" spans="1:32" ht="15.75" customHeight="1">
      <c r="A493" s="4"/>
      <c r="B493" s="4"/>
      <c r="C493" s="4"/>
      <c r="D493" s="4"/>
      <c r="E493" s="4"/>
      <c r="F493" s="4"/>
      <c r="G493" s="4"/>
      <c r="H493" s="4"/>
      <c r="I493" s="4"/>
      <c r="J493" s="19"/>
      <c r="K493" s="4"/>
      <c r="L493" s="4"/>
      <c r="M493" s="4"/>
      <c r="N493" s="4"/>
      <c r="O493" s="4"/>
      <c r="P493" s="4"/>
      <c r="Q493" s="4"/>
      <c r="R493" s="4"/>
      <c r="S493" s="4"/>
      <c r="T493" s="4"/>
      <c r="U493" s="4"/>
      <c r="V493" s="4"/>
      <c r="W493" s="4"/>
      <c r="X493" s="4"/>
      <c r="Y493" s="4"/>
      <c r="Z493" s="4"/>
      <c r="AA493" s="4"/>
      <c r="AB493" s="4"/>
      <c r="AC493" s="4"/>
      <c r="AD493" s="4"/>
      <c r="AE493" s="4"/>
      <c r="AF493" s="4"/>
    </row>
    <row r="494" spans="1:32" ht="15.75" customHeight="1">
      <c r="A494" s="4"/>
      <c r="B494" s="4"/>
      <c r="C494" s="4"/>
      <c r="D494" s="4"/>
      <c r="E494" s="4"/>
      <c r="F494" s="4"/>
      <c r="G494" s="4"/>
      <c r="H494" s="4"/>
      <c r="I494" s="4"/>
      <c r="J494" s="19"/>
      <c r="K494" s="4"/>
      <c r="L494" s="4"/>
      <c r="M494" s="4"/>
      <c r="N494" s="4"/>
      <c r="O494" s="4"/>
      <c r="P494" s="4"/>
      <c r="Q494" s="4"/>
      <c r="R494" s="4"/>
      <c r="S494" s="4"/>
      <c r="T494" s="4"/>
      <c r="U494" s="4"/>
      <c r="V494" s="4"/>
      <c r="W494" s="4"/>
      <c r="X494" s="4"/>
      <c r="Y494" s="4"/>
      <c r="Z494" s="4"/>
      <c r="AA494" s="4"/>
      <c r="AB494" s="4"/>
      <c r="AC494" s="4"/>
      <c r="AD494" s="4"/>
      <c r="AE494" s="4"/>
      <c r="AF494" s="4"/>
    </row>
    <row r="495" spans="1:32" ht="15.75" customHeight="1">
      <c r="A495" s="4"/>
      <c r="B495" s="4"/>
      <c r="C495" s="4"/>
      <c r="D495" s="4"/>
      <c r="E495" s="4"/>
      <c r="F495" s="4"/>
      <c r="G495" s="4"/>
      <c r="H495" s="4"/>
      <c r="I495" s="4"/>
      <c r="J495" s="19"/>
      <c r="K495" s="4"/>
      <c r="L495" s="4"/>
      <c r="M495" s="4"/>
      <c r="N495" s="4"/>
      <c r="O495" s="4"/>
      <c r="P495" s="4"/>
      <c r="Q495" s="4"/>
      <c r="R495" s="4"/>
      <c r="S495" s="4"/>
      <c r="T495" s="4"/>
      <c r="U495" s="4"/>
      <c r="V495" s="4"/>
      <c r="W495" s="4"/>
      <c r="X495" s="4"/>
      <c r="Y495" s="4"/>
      <c r="Z495" s="4"/>
      <c r="AA495" s="4"/>
      <c r="AB495" s="4"/>
      <c r="AC495" s="4"/>
      <c r="AD495" s="4"/>
      <c r="AE495" s="4"/>
      <c r="AF495" s="4"/>
    </row>
    <row r="496" spans="1:32" ht="15.75" customHeight="1">
      <c r="A496" s="4"/>
      <c r="B496" s="4"/>
      <c r="C496" s="4"/>
      <c r="D496" s="4"/>
      <c r="E496" s="4"/>
      <c r="F496" s="4"/>
      <c r="G496" s="4"/>
      <c r="H496" s="4"/>
      <c r="I496" s="4"/>
      <c r="J496" s="19"/>
      <c r="K496" s="4"/>
      <c r="L496" s="4"/>
      <c r="M496" s="4"/>
      <c r="N496" s="4"/>
      <c r="O496" s="4"/>
      <c r="P496" s="4"/>
      <c r="Q496" s="4"/>
      <c r="R496" s="4"/>
      <c r="S496" s="4"/>
      <c r="T496" s="4"/>
      <c r="U496" s="4"/>
      <c r="V496" s="4"/>
      <c r="W496" s="4"/>
      <c r="X496" s="4"/>
      <c r="Y496" s="4"/>
      <c r="Z496" s="4"/>
      <c r="AA496" s="4"/>
      <c r="AB496" s="4"/>
      <c r="AC496" s="4"/>
      <c r="AD496" s="4"/>
      <c r="AE496" s="4"/>
      <c r="AF496" s="4"/>
    </row>
    <row r="497" spans="1:32" ht="15.75" customHeight="1">
      <c r="A497" s="4"/>
      <c r="B497" s="4"/>
      <c r="C497" s="4"/>
      <c r="D497" s="4"/>
      <c r="E497" s="4"/>
      <c r="F497" s="4"/>
      <c r="G497" s="4"/>
      <c r="H497" s="4"/>
      <c r="I497" s="4"/>
      <c r="J497" s="19"/>
      <c r="K497" s="4"/>
      <c r="L497" s="4"/>
      <c r="M497" s="4"/>
      <c r="N497" s="4"/>
      <c r="O497" s="4"/>
      <c r="P497" s="4"/>
      <c r="Q497" s="4"/>
      <c r="R497" s="4"/>
      <c r="S497" s="4"/>
      <c r="T497" s="4"/>
      <c r="U497" s="4"/>
      <c r="V497" s="4"/>
      <c r="W497" s="4"/>
      <c r="X497" s="4"/>
      <c r="Y497" s="4"/>
      <c r="Z497" s="4"/>
      <c r="AA497" s="4"/>
      <c r="AB497" s="4"/>
      <c r="AC497" s="4"/>
      <c r="AD497" s="4"/>
      <c r="AE497" s="4"/>
      <c r="AF497" s="4"/>
    </row>
    <row r="498" spans="1:32" ht="15.75" customHeight="1">
      <c r="A498" s="4"/>
      <c r="B498" s="4"/>
      <c r="C498" s="4"/>
      <c r="D498" s="4"/>
      <c r="E498" s="4"/>
      <c r="F498" s="4"/>
      <c r="G498" s="4"/>
      <c r="H498" s="4"/>
      <c r="I498" s="4"/>
      <c r="J498" s="19"/>
      <c r="K498" s="4"/>
      <c r="L498" s="4"/>
      <c r="M498" s="4"/>
      <c r="N498" s="4"/>
      <c r="O498" s="4"/>
      <c r="P498" s="4"/>
      <c r="Q498" s="4"/>
      <c r="R498" s="4"/>
      <c r="S498" s="4"/>
      <c r="T498" s="4"/>
      <c r="U498" s="4"/>
      <c r="V498" s="4"/>
      <c r="W498" s="4"/>
      <c r="X498" s="4"/>
      <c r="Y498" s="4"/>
      <c r="Z498" s="4"/>
      <c r="AA498" s="4"/>
      <c r="AB498" s="4"/>
      <c r="AC498" s="4"/>
      <c r="AD498" s="4"/>
      <c r="AE498" s="4"/>
      <c r="AF498" s="4"/>
    </row>
    <row r="499" spans="1:32" ht="15.75" customHeight="1">
      <c r="A499" s="4"/>
      <c r="B499" s="4"/>
      <c r="C499" s="4"/>
      <c r="D499" s="4"/>
      <c r="E499" s="4"/>
      <c r="F499" s="4"/>
      <c r="G499" s="4"/>
      <c r="H499" s="4"/>
      <c r="I499" s="4"/>
      <c r="J499" s="19"/>
      <c r="K499" s="4"/>
      <c r="L499" s="4"/>
      <c r="M499" s="4"/>
      <c r="N499" s="4"/>
      <c r="O499" s="4"/>
      <c r="P499" s="4"/>
      <c r="Q499" s="4"/>
      <c r="R499" s="4"/>
      <c r="S499" s="4"/>
      <c r="T499" s="4"/>
      <c r="U499" s="4"/>
      <c r="V499" s="4"/>
      <c r="W499" s="4"/>
      <c r="X499" s="4"/>
      <c r="Y499" s="4"/>
      <c r="Z499" s="4"/>
      <c r="AA499" s="4"/>
      <c r="AB499" s="4"/>
      <c r="AC499" s="4"/>
      <c r="AD499" s="4"/>
      <c r="AE499" s="4"/>
      <c r="AF499" s="4"/>
    </row>
    <row r="500" spans="1:32" ht="15.75" customHeight="1">
      <c r="A500" s="4"/>
      <c r="B500" s="4"/>
      <c r="C500" s="4"/>
      <c r="D500" s="4"/>
      <c r="E500" s="4"/>
      <c r="F500" s="4"/>
      <c r="G500" s="4"/>
      <c r="H500" s="4"/>
      <c r="I500" s="4"/>
      <c r="J500" s="19"/>
      <c r="K500" s="4"/>
      <c r="L500" s="4"/>
      <c r="M500" s="4"/>
      <c r="N500" s="4"/>
      <c r="O500" s="4"/>
      <c r="P500" s="4"/>
      <c r="Q500" s="4"/>
      <c r="R500" s="4"/>
      <c r="S500" s="4"/>
      <c r="T500" s="4"/>
      <c r="U500" s="4"/>
      <c r="V500" s="4"/>
      <c r="W500" s="4"/>
      <c r="X500" s="4"/>
      <c r="Y500" s="4"/>
      <c r="Z500" s="4"/>
      <c r="AA500" s="4"/>
      <c r="AB500" s="4"/>
      <c r="AC500" s="4"/>
      <c r="AD500" s="4"/>
      <c r="AE500" s="4"/>
      <c r="AF500" s="4"/>
    </row>
    <row r="501" spans="1:32" ht="15.75" customHeight="1">
      <c r="A501" s="4"/>
      <c r="B501" s="4"/>
      <c r="C501" s="4"/>
      <c r="D501" s="4"/>
      <c r="E501" s="4"/>
      <c r="F501" s="4"/>
      <c r="G501" s="4"/>
      <c r="H501" s="4"/>
      <c r="I501" s="4"/>
      <c r="J501" s="19"/>
      <c r="K501" s="4"/>
      <c r="L501" s="4"/>
      <c r="M501" s="4"/>
      <c r="N501" s="4"/>
      <c r="O501" s="4"/>
      <c r="P501" s="4"/>
      <c r="Q501" s="4"/>
      <c r="R501" s="4"/>
      <c r="S501" s="4"/>
      <c r="T501" s="4"/>
      <c r="U501" s="4"/>
      <c r="V501" s="4"/>
      <c r="W501" s="4"/>
      <c r="X501" s="4"/>
      <c r="Y501" s="4"/>
      <c r="Z501" s="4"/>
      <c r="AA501" s="4"/>
      <c r="AB501" s="4"/>
      <c r="AC501" s="4"/>
      <c r="AD501" s="4"/>
      <c r="AE501" s="4"/>
      <c r="AF501" s="4"/>
    </row>
    <row r="502" spans="1:32" ht="15.75" customHeight="1">
      <c r="A502" s="4"/>
      <c r="B502" s="4"/>
      <c r="C502" s="4"/>
      <c r="D502" s="4"/>
      <c r="E502" s="4"/>
      <c r="F502" s="4"/>
      <c r="G502" s="4"/>
      <c r="H502" s="4"/>
      <c r="I502" s="4"/>
      <c r="J502" s="19"/>
      <c r="K502" s="4"/>
      <c r="L502" s="4"/>
      <c r="M502" s="4"/>
      <c r="N502" s="4"/>
      <c r="O502" s="4"/>
      <c r="P502" s="4"/>
      <c r="Q502" s="4"/>
      <c r="R502" s="4"/>
      <c r="S502" s="4"/>
      <c r="T502" s="4"/>
      <c r="U502" s="4"/>
      <c r="V502" s="4"/>
      <c r="W502" s="4"/>
      <c r="X502" s="4"/>
      <c r="Y502" s="4"/>
      <c r="Z502" s="4"/>
      <c r="AA502" s="4"/>
      <c r="AB502" s="4"/>
      <c r="AC502" s="4"/>
      <c r="AD502" s="4"/>
      <c r="AE502" s="4"/>
      <c r="AF502" s="4"/>
    </row>
    <row r="503" spans="1:32" ht="15.75" customHeight="1">
      <c r="A503" s="4"/>
      <c r="B503" s="4"/>
      <c r="C503" s="4"/>
      <c r="D503" s="4"/>
      <c r="E503" s="4"/>
      <c r="F503" s="4"/>
      <c r="G503" s="4"/>
      <c r="H503" s="4"/>
      <c r="I503" s="4"/>
      <c r="J503" s="19"/>
      <c r="K503" s="4"/>
      <c r="L503" s="4"/>
      <c r="M503" s="4"/>
      <c r="N503" s="4"/>
      <c r="O503" s="4"/>
      <c r="P503" s="4"/>
      <c r="Q503" s="4"/>
      <c r="R503" s="4"/>
      <c r="S503" s="4"/>
      <c r="T503" s="4"/>
      <c r="U503" s="4"/>
      <c r="V503" s="4"/>
      <c r="W503" s="4"/>
      <c r="X503" s="4"/>
      <c r="Y503" s="4"/>
      <c r="Z503" s="4"/>
      <c r="AA503" s="4"/>
      <c r="AB503" s="4"/>
      <c r="AC503" s="4"/>
      <c r="AD503" s="4"/>
      <c r="AE503" s="4"/>
      <c r="AF503" s="4"/>
    </row>
    <row r="504" spans="1:32" ht="15.75" customHeight="1">
      <c r="A504" s="4"/>
      <c r="B504" s="4"/>
      <c r="C504" s="4"/>
      <c r="D504" s="4"/>
      <c r="E504" s="4"/>
      <c r="F504" s="4"/>
      <c r="G504" s="4"/>
      <c r="H504" s="4"/>
      <c r="I504" s="4"/>
      <c r="J504" s="19"/>
      <c r="K504" s="4"/>
      <c r="L504" s="4"/>
      <c r="M504" s="4"/>
      <c r="N504" s="4"/>
      <c r="O504" s="4"/>
      <c r="P504" s="4"/>
      <c r="Q504" s="4"/>
      <c r="R504" s="4"/>
      <c r="S504" s="4"/>
      <c r="T504" s="4"/>
      <c r="U504" s="4"/>
      <c r="V504" s="4"/>
      <c r="W504" s="4"/>
      <c r="X504" s="4"/>
      <c r="Y504" s="4"/>
      <c r="Z504" s="4"/>
      <c r="AA504" s="4"/>
      <c r="AB504" s="4"/>
      <c r="AC504" s="4"/>
      <c r="AD504" s="4"/>
      <c r="AE504" s="4"/>
      <c r="AF504" s="4"/>
    </row>
    <row r="505" spans="1:32" ht="15.75" customHeight="1">
      <c r="A505" s="4"/>
      <c r="B505" s="4"/>
      <c r="C505" s="4"/>
      <c r="D505" s="4"/>
      <c r="E505" s="4"/>
      <c r="F505" s="4"/>
      <c r="G505" s="4"/>
      <c r="H505" s="4"/>
      <c r="I505" s="4"/>
      <c r="J505" s="19"/>
      <c r="K505" s="4"/>
      <c r="L505" s="4"/>
      <c r="M505" s="4"/>
      <c r="N505" s="4"/>
      <c r="O505" s="4"/>
      <c r="P505" s="4"/>
      <c r="Q505" s="4"/>
      <c r="R505" s="4"/>
      <c r="S505" s="4"/>
      <c r="T505" s="4"/>
      <c r="U505" s="4"/>
      <c r="V505" s="4"/>
      <c r="W505" s="4"/>
      <c r="X505" s="4"/>
      <c r="Y505" s="4"/>
      <c r="Z505" s="4"/>
      <c r="AA505" s="4"/>
      <c r="AB505" s="4"/>
      <c r="AC505" s="4"/>
      <c r="AD505" s="4"/>
      <c r="AE505" s="4"/>
      <c r="AF505" s="4"/>
    </row>
    <row r="506" spans="1:32" ht="15.75" customHeight="1">
      <c r="A506" s="4"/>
      <c r="B506" s="4"/>
      <c r="C506" s="4"/>
      <c r="D506" s="4"/>
      <c r="E506" s="4"/>
      <c r="F506" s="4"/>
      <c r="G506" s="4"/>
      <c r="H506" s="4"/>
      <c r="I506" s="4"/>
      <c r="J506" s="19"/>
      <c r="K506" s="4"/>
      <c r="L506" s="4"/>
      <c r="M506" s="4"/>
      <c r="N506" s="4"/>
      <c r="O506" s="4"/>
      <c r="P506" s="4"/>
      <c r="Q506" s="4"/>
      <c r="R506" s="4"/>
      <c r="S506" s="4"/>
      <c r="T506" s="4"/>
      <c r="U506" s="4"/>
      <c r="V506" s="4"/>
      <c r="W506" s="4"/>
      <c r="X506" s="4"/>
      <c r="Y506" s="4"/>
      <c r="Z506" s="4"/>
      <c r="AA506" s="4"/>
      <c r="AB506" s="4"/>
      <c r="AC506" s="4"/>
      <c r="AD506" s="4"/>
      <c r="AE506" s="4"/>
      <c r="AF506" s="4"/>
    </row>
    <row r="507" spans="1:32" ht="15.75" customHeight="1">
      <c r="A507" s="4"/>
      <c r="B507" s="4"/>
      <c r="C507" s="4"/>
      <c r="D507" s="4"/>
      <c r="E507" s="4"/>
      <c r="F507" s="4"/>
      <c r="G507" s="4"/>
      <c r="H507" s="4"/>
      <c r="I507" s="4"/>
      <c r="J507" s="19"/>
      <c r="K507" s="4"/>
      <c r="L507" s="4"/>
      <c r="M507" s="4"/>
      <c r="N507" s="4"/>
      <c r="O507" s="4"/>
      <c r="P507" s="4"/>
      <c r="Q507" s="4"/>
      <c r="R507" s="4"/>
      <c r="S507" s="4"/>
      <c r="T507" s="4"/>
      <c r="U507" s="4"/>
      <c r="V507" s="4"/>
      <c r="W507" s="4"/>
      <c r="X507" s="4"/>
      <c r="Y507" s="4"/>
      <c r="Z507" s="4"/>
      <c r="AA507" s="4"/>
      <c r="AB507" s="4"/>
      <c r="AC507" s="4"/>
      <c r="AD507" s="4"/>
      <c r="AE507" s="4"/>
      <c r="AF507" s="4"/>
    </row>
    <row r="508" spans="1:32" ht="15.75" customHeight="1">
      <c r="A508" s="4"/>
      <c r="B508" s="4"/>
      <c r="C508" s="4"/>
      <c r="D508" s="4"/>
      <c r="E508" s="4"/>
      <c r="F508" s="4"/>
      <c r="G508" s="4"/>
      <c r="H508" s="4"/>
      <c r="I508" s="4"/>
      <c r="J508" s="19"/>
      <c r="K508" s="4"/>
      <c r="L508" s="4"/>
      <c r="M508" s="4"/>
      <c r="N508" s="4"/>
      <c r="O508" s="4"/>
      <c r="P508" s="4"/>
      <c r="Q508" s="4"/>
      <c r="R508" s="4"/>
      <c r="S508" s="4"/>
      <c r="T508" s="4"/>
      <c r="U508" s="4"/>
      <c r="V508" s="4"/>
      <c r="W508" s="4"/>
      <c r="X508" s="4"/>
      <c r="Y508" s="4"/>
      <c r="Z508" s="4"/>
      <c r="AA508" s="4"/>
      <c r="AB508" s="4"/>
      <c r="AC508" s="4"/>
      <c r="AD508" s="4"/>
      <c r="AE508" s="4"/>
      <c r="AF508" s="4"/>
    </row>
    <row r="509" spans="1:32" ht="15.75" customHeight="1">
      <c r="A509" s="4"/>
      <c r="B509" s="4"/>
      <c r="C509" s="4"/>
      <c r="D509" s="4"/>
      <c r="E509" s="4"/>
      <c r="F509" s="4"/>
      <c r="G509" s="4"/>
      <c r="H509" s="4"/>
      <c r="I509" s="4"/>
      <c r="J509" s="19"/>
      <c r="K509" s="4"/>
      <c r="L509" s="4"/>
      <c r="M509" s="4"/>
      <c r="N509" s="4"/>
      <c r="O509" s="4"/>
      <c r="P509" s="4"/>
      <c r="Q509" s="4"/>
      <c r="R509" s="4"/>
      <c r="S509" s="4"/>
      <c r="T509" s="4"/>
      <c r="U509" s="4"/>
      <c r="V509" s="4"/>
      <c r="W509" s="4"/>
      <c r="X509" s="4"/>
      <c r="Y509" s="4"/>
      <c r="Z509" s="4"/>
      <c r="AA509" s="4"/>
      <c r="AB509" s="4"/>
      <c r="AC509" s="4"/>
      <c r="AD509" s="4"/>
      <c r="AE509" s="4"/>
      <c r="AF509" s="4"/>
    </row>
    <row r="510" spans="1:32" ht="15.75" customHeight="1">
      <c r="A510" s="4"/>
      <c r="B510" s="4"/>
      <c r="C510" s="4"/>
      <c r="D510" s="4"/>
      <c r="E510" s="4"/>
      <c r="F510" s="4"/>
      <c r="G510" s="4"/>
      <c r="H510" s="4"/>
      <c r="I510" s="4"/>
      <c r="J510" s="19"/>
      <c r="K510" s="4"/>
      <c r="L510" s="4"/>
      <c r="M510" s="4"/>
      <c r="N510" s="4"/>
      <c r="O510" s="4"/>
      <c r="P510" s="4"/>
      <c r="Q510" s="4"/>
      <c r="R510" s="4"/>
      <c r="S510" s="4"/>
      <c r="T510" s="4"/>
      <c r="U510" s="4"/>
      <c r="V510" s="4"/>
      <c r="W510" s="4"/>
      <c r="X510" s="4"/>
      <c r="Y510" s="4"/>
      <c r="Z510" s="4"/>
      <c r="AA510" s="4"/>
      <c r="AB510" s="4"/>
      <c r="AC510" s="4"/>
      <c r="AD510" s="4"/>
      <c r="AE510" s="4"/>
      <c r="AF510" s="4"/>
    </row>
    <row r="511" spans="1:32" ht="15.75" customHeight="1">
      <c r="A511" s="4"/>
      <c r="B511" s="4"/>
      <c r="C511" s="4"/>
      <c r="D511" s="4"/>
      <c r="E511" s="4"/>
      <c r="F511" s="4"/>
      <c r="G511" s="4"/>
      <c r="H511" s="4"/>
      <c r="I511" s="4"/>
      <c r="J511" s="19"/>
      <c r="K511" s="4"/>
      <c r="L511" s="4"/>
      <c r="M511" s="4"/>
      <c r="N511" s="4"/>
      <c r="O511" s="4"/>
      <c r="P511" s="4"/>
      <c r="Q511" s="4"/>
      <c r="R511" s="4"/>
      <c r="S511" s="4"/>
      <c r="T511" s="4"/>
      <c r="U511" s="4"/>
      <c r="V511" s="4"/>
      <c r="W511" s="4"/>
      <c r="X511" s="4"/>
      <c r="Y511" s="4"/>
      <c r="Z511" s="4"/>
      <c r="AA511" s="4"/>
      <c r="AB511" s="4"/>
      <c r="AC511" s="4"/>
      <c r="AD511" s="4"/>
      <c r="AE511" s="4"/>
      <c r="AF511" s="4"/>
    </row>
    <row r="512" spans="1:32" ht="15.75" customHeight="1">
      <c r="A512" s="4"/>
      <c r="B512" s="4"/>
      <c r="C512" s="4"/>
      <c r="D512" s="4"/>
      <c r="E512" s="4"/>
      <c r="F512" s="4"/>
      <c r="G512" s="4"/>
      <c r="H512" s="4"/>
      <c r="I512" s="4"/>
      <c r="J512" s="19"/>
      <c r="K512" s="4"/>
      <c r="L512" s="4"/>
      <c r="M512" s="4"/>
      <c r="N512" s="4"/>
      <c r="O512" s="4"/>
      <c r="P512" s="4"/>
      <c r="Q512" s="4"/>
      <c r="R512" s="4"/>
      <c r="S512" s="4"/>
      <c r="T512" s="4"/>
      <c r="U512" s="4"/>
      <c r="V512" s="4"/>
      <c r="W512" s="4"/>
      <c r="X512" s="4"/>
      <c r="Y512" s="4"/>
      <c r="Z512" s="4"/>
      <c r="AA512" s="4"/>
      <c r="AB512" s="4"/>
      <c r="AC512" s="4"/>
      <c r="AD512" s="4"/>
      <c r="AE512" s="4"/>
      <c r="AF512" s="4"/>
    </row>
    <row r="513" spans="1:32" ht="15.75" customHeight="1">
      <c r="A513" s="4"/>
      <c r="B513" s="4"/>
      <c r="C513" s="4"/>
      <c r="D513" s="4"/>
      <c r="E513" s="4"/>
      <c r="F513" s="4"/>
      <c r="G513" s="4"/>
      <c r="H513" s="4"/>
      <c r="I513" s="4"/>
      <c r="J513" s="19"/>
      <c r="K513" s="4"/>
      <c r="L513" s="4"/>
      <c r="M513" s="4"/>
      <c r="N513" s="4"/>
      <c r="O513" s="4"/>
      <c r="P513" s="4"/>
      <c r="Q513" s="4"/>
      <c r="R513" s="4"/>
      <c r="S513" s="4"/>
      <c r="T513" s="4"/>
      <c r="U513" s="4"/>
      <c r="V513" s="4"/>
      <c r="W513" s="4"/>
      <c r="X513" s="4"/>
      <c r="Y513" s="4"/>
      <c r="Z513" s="4"/>
      <c r="AA513" s="4"/>
      <c r="AB513" s="4"/>
      <c r="AC513" s="4"/>
      <c r="AD513" s="4"/>
      <c r="AE513" s="4"/>
      <c r="AF513" s="4"/>
    </row>
    <row r="514" spans="1:32" ht="15.75" customHeight="1">
      <c r="A514" s="4"/>
      <c r="B514" s="4"/>
      <c r="C514" s="4"/>
      <c r="D514" s="4"/>
      <c r="E514" s="4"/>
      <c r="F514" s="4"/>
      <c r="G514" s="4"/>
      <c r="H514" s="4"/>
      <c r="I514" s="4"/>
      <c r="J514" s="19"/>
      <c r="K514" s="4"/>
      <c r="L514" s="4"/>
      <c r="M514" s="4"/>
      <c r="N514" s="4"/>
      <c r="O514" s="4"/>
      <c r="P514" s="4"/>
      <c r="Q514" s="4"/>
      <c r="R514" s="4"/>
      <c r="S514" s="4"/>
      <c r="T514" s="4"/>
      <c r="U514" s="4"/>
      <c r="V514" s="4"/>
      <c r="W514" s="4"/>
      <c r="X514" s="4"/>
      <c r="Y514" s="4"/>
      <c r="Z514" s="4"/>
      <c r="AA514" s="4"/>
      <c r="AB514" s="4"/>
      <c r="AC514" s="4"/>
      <c r="AD514" s="4"/>
      <c r="AE514" s="4"/>
      <c r="AF514" s="4"/>
    </row>
    <row r="515" spans="1:32" ht="15.75" customHeight="1">
      <c r="A515" s="4"/>
      <c r="B515" s="4"/>
      <c r="C515" s="4"/>
      <c r="D515" s="4"/>
      <c r="E515" s="4"/>
      <c r="F515" s="4"/>
      <c r="G515" s="4"/>
      <c r="H515" s="4"/>
      <c r="I515" s="4"/>
      <c r="J515" s="19"/>
      <c r="K515" s="4"/>
      <c r="L515" s="4"/>
      <c r="M515" s="4"/>
      <c r="N515" s="4"/>
      <c r="O515" s="4"/>
      <c r="P515" s="4"/>
      <c r="Q515" s="4"/>
      <c r="R515" s="4"/>
      <c r="S515" s="4"/>
      <c r="T515" s="4"/>
      <c r="U515" s="4"/>
      <c r="V515" s="4"/>
      <c r="W515" s="4"/>
      <c r="X515" s="4"/>
      <c r="Y515" s="4"/>
      <c r="Z515" s="4"/>
      <c r="AA515" s="4"/>
      <c r="AB515" s="4"/>
      <c r="AC515" s="4"/>
      <c r="AD515" s="4"/>
      <c r="AE515" s="4"/>
      <c r="AF515" s="4"/>
    </row>
    <row r="516" spans="1:32" ht="15.75" customHeight="1">
      <c r="A516" s="4"/>
      <c r="B516" s="4"/>
      <c r="C516" s="4"/>
      <c r="D516" s="4"/>
      <c r="E516" s="4"/>
      <c r="F516" s="4"/>
      <c r="G516" s="4"/>
      <c r="H516" s="4"/>
      <c r="I516" s="4"/>
      <c r="J516" s="19"/>
      <c r="K516" s="4"/>
      <c r="L516" s="4"/>
      <c r="M516" s="4"/>
      <c r="N516" s="4"/>
      <c r="O516" s="4"/>
      <c r="P516" s="4"/>
      <c r="Q516" s="4"/>
      <c r="R516" s="4"/>
      <c r="S516" s="4"/>
      <c r="T516" s="4"/>
      <c r="U516" s="4"/>
      <c r="V516" s="4"/>
      <c r="W516" s="4"/>
      <c r="X516" s="4"/>
      <c r="Y516" s="4"/>
      <c r="Z516" s="4"/>
      <c r="AA516" s="4"/>
      <c r="AB516" s="4"/>
      <c r="AC516" s="4"/>
      <c r="AD516" s="4"/>
      <c r="AE516" s="4"/>
      <c r="AF516" s="4"/>
    </row>
    <row r="517" spans="1:32" ht="15.75" customHeight="1">
      <c r="A517" s="4"/>
      <c r="B517" s="4"/>
      <c r="C517" s="4"/>
      <c r="D517" s="4"/>
      <c r="E517" s="4"/>
      <c r="F517" s="4"/>
      <c r="G517" s="4"/>
      <c r="H517" s="4"/>
      <c r="I517" s="4"/>
      <c r="J517" s="19"/>
      <c r="K517" s="4"/>
      <c r="L517" s="4"/>
      <c r="M517" s="4"/>
      <c r="N517" s="4"/>
      <c r="O517" s="4"/>
      <c r="P517" s="4"/>
      <c r="Q517" s="4"/>
      <c r="R517" s="4"/>
      <c r="S517" s="4"/>
      <c r="T517" s="4"/>
      <c r="U517" s="4"/>
      <c r="V517" s="4"/>
      <c r="W517" s="4"/>
      <c r="X517" s="4"/>
      <c r="Y517" s="4"/>
      <c r="Z517" s="4"/>
      <c r="AA517" s="4"/>
      <c r="AB517" s="4"/>
      <c r="AC517" s="4"/>
      <c r="AD517" s="4"/>
      <c r="AE517" s="4"/>
      <c r="AF517" s="4"/>
    </row>
    <row r="518" spans="1:32" ht="15.75" customHeight="1">
      <c r="A518" s="4"/>
      <c r="B518" s="4"/>
      <c r="C518" s="4"/>
      <c r="D518" s="4"/>
      <c r="E518" s="4"/>
      <c r="F518" s="4"/>
      <c r="G518" s="4"/>
      <c r="H518" s="4"/>
      <c r="I518" s="4"/>
      <c r="J518" s="19"/>
      <c r="K518" s="4"/>
      <c r="L518" s="4"/>
      <c r="M518" s="4"/>
      <c r="N518" s="4"/>
      <c r="O518" s="4"/>
      <c r="P518" s="4"/>
      <c r="Q518" s="4"/>
      <c r="R518" s="4"/>
      <c r="S518" s="4"/>
      <c r="T518" s="4"/>
      <c r="U518" s="4"/>
      <c r="V518" s="4"/>
      <c r="W518" s="4"/>
      <c r="X518" s="4"/>
      <c r="Y518" s="4"/>
      <c r="Z518" s="4"/>
      <c r="AA518" s="4"/>
      <c r="AB518" s="4"/>
      <c r="AC518" s="4"/>
      <c r="AD518" s="4"/>
      <c r="AE518" s="4"/>
      <c r="AF518" s="4"/>
    </row>
    <row r="519" spans="1:32" ht="15.75" customHeight="1">
      <c r="A519" s="4"/>
      <c r="B519" s="4"/>
      <c r="C519" s="4"/>
      <c r="D519" s="4"/>
      <c r="E519" s="4"/>
      <c r="F519" s="4"/>
      <c r="G519" s="4"/>
      <c r="H519" s="4"/>
      <c r="I519" s="4"/>
      <c r="J519" s="19"/>
      <c r="K519" s="4"/>
      <c r="L519" s="4"/>
      <c r="M519" s="4"/>
      <c r="N519" s="4"/>
      <c r="O519" s="4"/>
      <c r="P519" s="4"/>
      <c r="Q519" s="4"/>
      <c r="R519" s="4"/>
      <c r="S519" s="4"/>
      <c r="T519" s="4"/>
      <c r="U519" s="4"/>
      <c r="V519" s="4"/>
      <c r="W519" s="4"/>
      <c r="X519" s="4"/>
      <c r="Y519" s="4"/>
      <c r="Z519" s="4"/>
      <c r="AA519" s="4"/>
      <c r="AB519" s="4"/>
      <c r="AC519" s="4"/>
      <c r="AD519" s="4"/>
      <c r="AE519" s="4"/>
      <c r="AF519" s="4"/>
    </row>
    <row r="520" spans="1:32" ht="15.75" customHeight="1">
      <c r="A520" s="4"/>
      <c r="B520" s="4"/>
      <c r="C520" s="4"/>
      <c r="D520" s="4"/>
      <c r="E520" s="4"/>
      <c r="F520" s="4"/>
      <c r="G520" s="4"/>
      <c r="H520" s="4"/>
      <c r="I520" s="4"/>
      <c r="J520" s="19"/>
      <c r="K520" s="4"/>
      <c r="L520" s="4"/>
      <c r="M520" s="4"/>
      <c r="N520" s="4"/>
      <c r="O520" s="4"/>
      <c r="P520" s="4"/>
      <c r="Q520" s="4"/>
      <c r="R520" s="4"/>
      <c r="S520" s="4"/>
      <c r="T520" s="4"/>
      <c r="U520" s="4"/>
      <c r="V520" s="4"/>
      <c r="W520" s="4"/>
      <c r="X520" s="4"/>
      <c r="Y520" s="4"/>
      <c r="Z520" s="4"/>
      <c r="AA520" s="4"/>
      <c r="AB520" s="4"/>
      <c r="AC520" s="4"/>
      <c r="AD520" s="4"/>
      <c r="AE520" s="4"/>
      <c r="AF520" s="4"/>
    </row>
    <row r="521" spans="1:32" ht="15.75" customHeight="1">
      <c r="A521" s="4"/>
      <c r="B521" s="4"/>
      <c r="C521" s="4"/>
      <c r="D521" s="4"/>
      <c r="E521" s="4"/>
      <c r="F521" s="4"/>
      <c r="G521" s="4"/>
      <c r="H521" s="4"/>
      <c r="I521" s="4"/>
      <c r="J521" s="19"/>
      <c r="K521" s="4"/>
      <c r="L521" s="4"/>
      <c r="M521" s="4"/>
      <c r="N521" s="4"/>
      <c r="O521" s="4"/>
      <c r="P521" s="4"/>
      <c r="Q521" s="4"/>
      <c r="R521" s="4"/>
      <c r="S521" s="4"/>
      <c r="T521" s="4"/>
      <c r="U521" s="4"/>
      <c r="V521" s="4"/>
      <c r="W521" s="4"/>
      <c r="X521" s="4"/>
      <c r="Y521" s="4"/>
      <c r="Z521" s="4"/>
      <c r="AA521" s="4"/>
      <c r="AB521" s="4"/>
      <c r="AC521" s="4"/>
      <c r="AD521" s="4"/>
      <c r="AE521" s="4"/>
      <c r="AF521" s="4"/>
    </row>
    <row r="522" spans="1:32" ht="15.75" customHeight="1">
      <c r="A522" s="4"/>
      <c r="B522" s="4"/>
      <c r="C522" s="4"/>
      <c r="D522" s="4"/>
      <c r="E522" s="4"/>
      <c r="F522" s="4"/>
      <c r="G522" s="4"/>
      <c r="H522" s="4"/>
      <c r="I522" s="4"/>
      <c r="J522" s="19"/>
      <c r="K522" s="4"/>
      <c r="L522" s="4"/>
      <c r="M522" s="4"/>
      <c r="N522" s="4"/>
      <c r="O522" s="4"/>
      <c r="P522" s="4"/>
      <c r="Q522" s="4"/>
      <c r="R522" s="4"/>
      <c r="S522" s="4"/>
      <c r="T522" s="4"/>
      <c r="U522" s="4"/>
      <c r="V522" s="4"/>
      <c r="W522" s="4"/>
      <c r="X522" s="4"/>
      <c r="Y522" s="4"/>
      <c r="Z522" s="4"/>
      <c r="AA522" s="4"/>
      <c r="AB522" s="4"/>
      <c r="AC522" s="4"/>
      <c r="AD522" s="4"/>
      <c r="AE522" s="4"/>
      <c r="AF522" s="4"/>
    </row>
    <row r="523" spans="1:32" ht="15.75" customHeight="1">
      <c r="A523" s="4"/>
      <c r="B523" s="4"/>
      <c r="C523" s="4"/>
      <c r="D523" s="4"/>
      <c r="E523" s="4"/>
      <c r="F523" s="4"/>
      <c r="G523" s="4"/>
      <c r="H523" s="4"/>
      <c r="I523" s="4"/>
      <c r="J523" s="19"/>
      <c r="K523" s="4"/>
      <c r="L523" s="4"/>
      <c r="M523" s="4"/>
      <c r="N523" s="4"/>
      <c r="O523" s="4"/>
      <c r="P523" s="4"/>
      <c r="Q523" s="4"/>
      <c r="R523" s="4"/>
      <c r="S523" s="4"/>
      <c r="T523" s="4"/>
      <c r="U523" s="4"/>
      <c r="V523" s="4"/>
      <c r="W523" s="4"/>
      <c r="X523" s="4"/>
      <c r="Y523" s="4"/>
      <c r="Z523" s="4"/>
      <c r="AA523" s="4"/>
      <c r="AB523" s="4"/>
      <c r="AC523" s="4"/>
      <c r="AD523" s="4"/>
      <c r="AE523" s="4"/>
      <c r="AF523" s="4"/>
    </row>
    <row r="524" spans="1:32" ht="15.75" customHeight="1">
      <c r="A524" s="4"/>
      <c r="B524" s="4"/>
      <c r="C524" s="4"/>
      <c r="D524" s="4"/>
      <c r="E524" s="4"/>
      <c r="F524" s="4"/>
      <c r="G524" s="4"/>
      <c r="H524" s="4"/>
      <c r="I524" s="4"/>
      <c r="J524" s="19"/>
      <c r="K524" s="4"/>
      <c r="L524" s="4"/>
      <c r="M524" s="4"/>
      <c r="N524" s="4"/>
      <c r="O524" s="4"/>
      <c r="P524" s="4"/>
      <c r="Q524" s="4"/>
      <c r="R524" s="4"/>
      <c r="S524" s="4"/>
      <c r="T524" s="4"/>
      <c r="U524" s="4"/>
      <c r="V524" s="4"/>
      <c r="W524" s="4"/>
      <c r="X524" s="4"/>
      <c r="Y524" s="4"/>
      <c r="Z524" s="4"/>
      <c r="AA524" s="4"/>
      <c r="AB524" s="4"/>
      <c r="AC524" s="4"/>
      <c r="AD524" s="4"/>
      <c r="AE524" s="4"/>
      <c r="AF524" s="4"/>
    </row>
    <row r="525" spans="1:32" ht="15.75" customHeight="1">
      <c r="A525" s="4"/>
      <c r="B525" s="4"/>
      <c r="C525" s="4"/>
      <c r="D525" s="4"/>
      <c r="E525" s="4"/>
      <c r="F525" s="4"/>
      <c r="G525" s="4"/>
      <c r="H525" s="4"/>
      <c r="I525" s="4"/>
      <c r="J525" s="19"/>
      <c r="K525" s="4"/>
      <c r="L525" s="4"/>
      <c r="M525" s="4"/>
      <c r="N525" s="4"/>
      <c r="O525" s="4"/>
      <c r="P525" s="4"/>
      <c r="Q525" s="4"/>
      <c r="R525" s="4"/>
      <c r="S525" s="4"/>
      <c r="T525" s="4"/>
      <c r="U525" s="4"/>
      <c r="V525" s="4"/>
      <c r="W525" s="4"/>
      <c r="X525" s="4"/>
      <c r="Y525" s="4"/>
      <c r="Z525" s="4"/>
      <c r="AA525" s="4"/>
      <c r="AB525" s="4"/>
      <c r="AC525" s="4"/>
      <c r="AD525" s="4"/>
      <c r="AE525" s="4"/>
      <c r="AF525" s="4"/>
    </row>
    <row r="526" spans="1:32" ht="15.75" customHeight="1">
      <c r="A526" s="4"/>
      <c r="B526" s="4"/>
      <c r="C526" s="4"/>
      <c r="D526" s="4"/>
      <c r="E526" s="4"/>
      <c r="F526" s="4"/>
      <c r="G526" s="4"/>
      <c r="H526" s="4"/>
      <c r="I526" s="4"/>
      <c r="J526" s="19"/>
      <c r="K526" s="4"/>
      <c r="L526" s="4"/>
      <c r="M526" s="4"/>
      <c r="N526" s="4"/>
      <c r="O526" s="4"/>
      <c r="P526" s="4"/>
      <c r="Q526" s="4"/>
      <c r="R526" s="4"/>
      <c r="S526" s="4"/>
      <c r="T526" s="4"/>
      <c r="U526" s="4"/>
      <c r="V526" s="4"/>
      <c r="W526" s="4"/>
      <c r="X526" s="4"/>
      <c r="Y526" s="4"/>
      <c r="Z526" s="4"/>
      <c r="AA526" s="4"/>
      <c r="AB526" s="4"/>
      <c r="AC526" s="4"/>
      <c r="AD526" s="4"/>
      <c r="AE526" s="4"/>
      <c r="AF526" s="4"/>
    </row>
    <row r="527" spans="1:32" ht="15.75" customHeight="1">
      <c r="A527" s="4"/>
      <c r="B527" s="4"/>
      <c r="C527" s="4"/>
      <c r="D527" s="4"/>
      <c r="E527" s="4"/>
      <c r="F527" s="4"/>
      <c r="G527" s="4"/>
      <c r="H527" s="4"/>
      <c r="I527" s="4"/>
      <c r="J527" s="19"/>
      <c r="K527" s="4"/>
      <c r="L527" s="4"/>
      <c r="M527" s="4"/>
      <c r="N527" s="4"/>
      <c r="O527" s="4"/>
      <c r="P527" s="4"/>
      <c r="Q527" s="4"/>
      <c r="R527" s="4"/>
      <c r="S527" s="4"/>
      <c r="T527" s="4"/>
      <c r="U527" s="4"/>
      <c r="V527" s="4"/>
      <c r="W527" s="4"/>
      <c r="X527" s="4"/>
      <c r="Y527" s="4"/>
      <c r="Z527" s="4"/>
      <c r="AA527" s="4"/>
      <c r="AB527" s="4"/>
      <c r="AC527" s="4"/>
      <c r="AD527" s="4"/>
      <c r="AE527" s="4"/>
      <c r="AF527" s="4"/>
    </row>
    <row r="528" spans="1:32" ht="15.75" customHeight="1">
      <c r="A528" s="4"/>
      <c r="B528" s="4"/>
      <c r="C528" s="4"/>
      <c r="D528" s="4"/>
      <c r="E528" s="4"/>
      <c r="F528" s="4"/>
      <c r="G528" s="4"/>
      <c r="H528" s="4"/>
      <c r="I528" s="4"/>
      <c r="J528" s="19"/>
      <c r="K528" s="4"/>
      <c r="L528" s="4"/>
      <c r="M528" s="4"/>
      <c r="N528" s="4"/>
      <c r="O528" s="4"/>
      <c r="P528" s="4"/>
      <c r="Q528" s="4"/>
      <c r="R528" s="4"/>
      <c r="S528" s="4"/>
      <c r="T528" s="4"/>
      <c r="U528" s="4"/>
      <c r="V528" s="4"/>
      <c r="W528" s="4"/>
      <c r="X528" s="4"/>
      <c r="Y528" s="4"/>
      <c r="Z528" s="4"/>
      <c r="AA528" s="4"/>
      <c r="AB528" s="4"/>
      <c r="AC528" s="4"/>
      <c r="AD528" s="4"/>
      <c r="AE528" s="4"/>
      <c r="AF528" s="4"/>
    </row>
    <row r="529" spans="1:32" ht="15.75" customHeight="1">
      <c r="A529" s="4"/>
      <c r="B529" s="4"/>
      <c r="C529" s="4"/>
      <c r="D529" s="4"/>
      <c r="E529" s="4"/>
      <c r="F529" s="4"/>
      <c r="G529" s="4"/>
      <c r="H529" s="4"/>
      <c r="I529" s="4"/>
      <c r="J529" s="19"/>
      <c r="K529" s="4"/>
      <c r="L529" s="4"/>
      <c r="M529" s="4"/>
      <c r="N529" s="4"/>
      <c r="O529" s="4"/>
      <c r="P529" s="4"/>
      <c r="Q529" s="4"/>
      <c r="R529" s="4"/>
      <c r="S529" s="4"/>
      <c r="T529" s="4"/>
      <c r="U529" s="4"/>
      <c r="V529" s="4"/>
      <c r="W529" s="4"/>
      <c r="X529" s="4"/>
      <c r="Y529" s="4"/>
      <c r="Z529" s="4"/>
      <c r="AA529" s="4"/>
      <c r="AB529" s="4"/>
      <c r="AC529" s="4"/>
      <c r="AD529" s="4"/>
      <c r="AE529" s="4"/>
      <c r="AF529" s="4"/>
    </row>
    <row r="530" spans="1:32" ht="15.75" customHeight="1">
      <c r="A530" s="4"/>
      <c r="B530" s="4"/>
      <c r="C530" s="4"/>
      <c r="D530" s="4"/>
      <c r="E530" s="4"/>
      <c r="F530" s="4"/>
      <c r="G530" s="4"/>
      <c r="H530" s="4"/>
      <c r="I530" s="4"/>
      <c r="J530" s="19"/>
      <c r="K530" s="4"/>
      <c r="L530" s="4"/>
      <c r="M530" s="4"/>
      <c r="N530" s="4"/>
      <c r="O530" s="4"/>
      <c r="P530" s="4"/>
      <c r="Q530" s="4"/>
      <c r="R530" s="4"/>
      <c r="S530" s="4"/>
      <c r="T530" s="4"/>
      <c r="U530" s="4"/>
      <c r="V530" s="4"/>
      <c r="W530" s="4"/>
      <c r="X530" s="4"/>
      <c r="Y530" s="4"/>
      <c r="Z530" s="4"/>
      <c r="AA530" s="4"/>
      <c r="AB530" s="4"/>
      <c r="AC530" s="4"/>
      <c r="AD530" s="4"/>
      <c r="AE530" s="4"/>
      <c r="AF530" s="4"/>
    </row>
    <row r="531" spans="1:32" ht="15.75" customHeight="1">
      <c r="A531" s="4"/>
      <c r="B531" s="4"/>
      <c r="C531" s="4"/>
      <c r="D531" s="4"/>
      <c r="E531" s="4"/>
      <c r="F531" s="4"/>
      <c r="G531" s="4"/>
      <c r="H531" s="4"/>
      <c r="I531" s="4"/>
      <c r="J531" s="19"/>
      <c r="K531" s="4"/>
      <c r="L531" s="4"/>
      <c r="M531" s="4"/>
      <c r="N531" s="4"/>
      <c r="O531" s="4"/>
      <c r="P531" s="4"/>
      <c r="Q531" s="4"/>
      <c r="R531" s="4"/>
      <c r="S531" s="4"/>
      <c r="T531" s="4"/>
      <c r="U531" s="4"/>
      <c r="V531" s="4"/>
      <c r="W531" s="4"/>
      <c r="X531" s="4"/>
      <c r="Y531" s="4"/>
      <c r="Z531" s="4"/>
      <c r="AA531" s="4"/>
      <c r="AB531" s="4"/>
      <c r="AC531" s="4"/>
      <c r="AD531" s="4"/>
      <c r="AE531" s="4"/>
      <c r="AF531" s="4"/>
    </row>
    <row r="532" spans="1:32" ht="15.75" customHeight="1">
      <c r="A532" s="4"/>
      <c r="B532" s="4"/>
      <c r="C532" s="4"/>
      <c r="D532" s="4"/>
      <c r="E532" s="4"/>
      <c r="F532" s="4"/>
      <c r="G532" s="4"/>
      <c r="H532" s="4"/>
      <c r="I532" s="4"/>
      <c r="J532" s="19"/>
      <c r="K532" s="4"/>
      <c r="L532" s="4"/>
      <c r="M532" s="4"/>
      <c r="N532" s="4"/>
      <c r="O532" s="4"/>
      <c r="P532" s="4"/>
      <c r="Q532" s="4"/>
      <c r="R532" s="4"/>
      <c r="S532" s="4"/>
      <c r="T532" s="4"/>
      <c r="U532" s="4"/>
      <c r="V532" s="4"/>
      <c r="W532" s="4"/>
      <c r="X532" s="4"/>
      <c r="Y532" s="4"/>
      <c r="Z532" s="4"/>
      <c r="AA532" s="4"/>
      <c r="AB532" s="4"/>
      <c r="AC532" s="4"/>
      <c r="AD532" s="4"/>
      <c r="AE532" s="4"/>
      <c r="AF532" s="4"/>
    </row>
    <row r="533" spans="1:32" ht="15.75" customHeight="1">
      <c r="A533" s="4"/>
      <c r="B533" s="4"/>
      <c r="C533" s="4"/>
      <c r="D533" s="4"/>
      <c r="E533" s="4"/>
      <c r="F533" s="4"/>
      <c r="G533" s="4"/>
      <c r="H533" s="4"/>
      <c r="I533" s="4"/>
      <c r="J533" s="19"/>
      <c r="K533" s="4"/>
      <c r="L533" s="4"/>
      <c r="M533" s="4"/>
      <c r="N533" s="4"/>
      <c r="O533" s="4"/>
      <c r="P533" s="4"/>
      <c r="Q533" s="4"/>
      <c r="R533" s="4"/>
      <c r="S533" s="4"/>
      <c r="T533" s="4"/>
      <c r="U533" s="4"/>
      <c r="V533" s="4"/>
      <c r="W533" s="4"/>
      <c r="X533" s="4"/>
      <c r="Y533" s="4"/>
      <c r="Z533" s="4"/>
      <c r="AA533" s="4"/>
      <c r="AB533" s="4"/>
      <c r="AC533" s="4"/>
      <c r="AD533" s="4"/>
      <c r="AE533" s="4"/>
      <c r="AF533" s="4"/>
    </row>
    <row r="534" spans="1:32" ht="15.75" customHeight="1">
      <c r="A534" s="4"/>
      <c r="B534" s="4"/>
      <c r="C534" s="4"/>
      <c r="D534" s="4"/>
      <c r="E534" s="4"/>
      <c r="F534" s="4"/>
      <c r="G534" s="4"/>
      <c r="H534" s="4"/>
      <c r="I534" s="4"/>
      <c r="J534" s="19"/>
      <c r="K534" s="4"/>
      <c r="L534" s="4"/>
      <c r="M534" s="4"/>
      <c r="N534" s="4"/>
      <c r="O534" s="4"/>
      <c r="P534" s="4"/>
      <c r="Q534" s="4"/>
      <c r="R534" s="4"/>
      <c r="S534" s="4"/>
      <c r="T534" s="4"/>
      <c r="U534" s="4"/>
      <c r="V534" s="4"/>
      <c r="W534" s="4"/>
      <c r="X534" s="4"/>
      <c r="Y534" s="4"/>
      <c r="Z534" s="4"/>
      <c r="AA534" s="4"/>
      <c r="AB534" s="4"/>
      <c r="AC534" s="4"/>
      <c r="AD534" s="4"/>
      <c r="AE534" s="4"/>
      <c r="AF534" s="4"/>
    </row>
    <row r="535" spans="1:32" ht="15.75" customHeight="1">
      <c r="A535" s="4"/>
      <c r="B535" s="4"/>
      <c r="C535" s="4"/>
      <c r="D535" s="4"/>
      <c r="E535" s="4"/>
      <c r="F535" s="4"/>
      <c r="G535" s="4"/>
      <c r="H535" s="4"/>
      <c r="I535" s="4"/>
      <c r="J535" s="19"/>
      <c r="K535" s="4"/>
      <c r="L535" s="4"/>
      <c r="M535" s="4"/>
      <c r="N535" s="4"/>
      <c r="O535" s="4"/>
      <c r="P535" s="4"/>
      <c r="Q535" s="4"/>
      <c r="R535" s="4"/>
      <c r="S535" s="4"/>
      <c r="T535" s="4"/>
      <c r="U535" s="4"/>
      <c r="V535" s="4"/>
      <c r="W535" s="4"/>
      <c r="X535" s="4"/>
      <c r="Y535" s="4"/>
      <c r="Z535" s="4"/>
      <c r="AA535" s="4"/>
      <c r="AB535" s="4"/>
      <c r="AC535" s="4"/>
      <c r="AD535" s="4"/>
      <c r="AE535" s="4"/>
      <c r="AF535" s="4"/>
    </row>
    <row r="536" spans="1:32" ht="15.75" customHeight="1">
      <c r="A536" s="4"/>
      <c r="B536" s="4"/>
      <c r="C536" s="4"/>
      <c r="D536" s="4"/>
      <c r="E536" s="4"/>
      <c r="F536" s="4"/>
      <c r="G536" s="4"/>
      <c r="H536" s="4"/>
      <c r="I536" s="4"/>
      <c r="J536" s="19"/>
      <c r="K536" s="4"/>
      <c r="L536" s="4"/>
      <c r="M536" s="4"/>
      <c r="N536" s="4"/>
      <c r="O536" s="4"/>
      <c r="P536" s="4"/>
      <c r="Q536" s="4"/>
      <c r="R536" s="4"/>
      <c r="S536" s="4"/>
      <c r="T536" s="4"/>
      <c r="U536" s="4"/>
      <c r="V536" s="4"/>
      <c r="W536" s="4"/>
      <c r="X536" s="4"/>
      <c r="Y536" s="4"/>
      <c r="Z536" s="4"/>
      <c r="AA536" s="4"/>
      <c r="AB536" s="4"/>
      <c r="AC536" s="4"/>
      <c r="AD536" s="4"/>
      <c r="AE536" s="4"/>
      <c r="AF536" s="4"/>
    </row>
    <row r="537" spans="1:32" ht="15.75" customHeight="1">
      <c r="A537" s="4"/>
      <c r="B537" s="4"/>
      <c r="C537" s="4"/>
      <c r="D537" s="4"/>
      <c r="E537" s="4"/>
      <c r="F537" s="4"/>
      <c r="G537" s="4"/>
      <c r="H537" s="4"/>
      <c r="I537" s="4"/>
      <c r="J537" s="19"/>
      <c r="K537" s="4"/>
      <c r="L537" s="4"/>
      <c r="M537" s="4"/>
      <c r="N537" s="4"/>
      <c r="O537" s="4"/>
      <c r="P537" s="4"/>
      <c r="Q537" s="4"/>
      <c r="R537" s="4"/>
      <c r="S537" s="4"/>
      <c r="T537" s="4"/>
      <c r="U537" s="4"/>
      <c r="V537" s="4"/>
      <c r="W537" s="4"/>
      <c r="X537" s="4"/>
      <c r="Y537" s="4"/>
      <c r="Z537" s="4"/>
      <c r="AA537" s="4"/>
      <c r="AB537" s="4"/>
      <c r="AC537" s="4"/>
      <c r="AD537" s="4"/>
      <c r="AE537" s="4"/>
      <c r="AF537" s="4"/>
    </row>
    <row r="538" spans="1:32" ht="15.75" customHeight="1">
      <c r="A538" s="4"/>
      <c r="B538" s="4"/>
      <c r="C538" s="4"/>
      <c r="D538" s="4"/>
      <c r="E538" s="4"/>
      <c r="F538" s="4"/>
      <c r="G538" s="4"/>
      <c r="H538" s="4"/>
      <c r="I538" s="4"/>
      <c r="J538" s="19"/>
      <c r="K538" s="4"/>
      <c r="L538" s="4"/>
      <c r="M538" s="4"/>
      <c r="N538" s="4"/>
      <c r="O538" s="4"/>
      <c r="P538" s="4"/>
      <c r="Q538" s="4"/>
      <c r="R538" s="4"/>
      <c r="S538" s="4"/>
      <c r="T538" s="4"/>
      <c r="U538" s="4"/>
      <c r="V538" s="4"/>
      <c r="W538" s="4"/>
      <c r="X538" s="4"/>
      <c r="Y538" s="4"/>
      <c r="Z538" s="4"/>
      <c r="AA538" s="4"/>
      <c r="AB538" s="4"/>
      <c r="AC538" s="4"/>
      <c r="AD538" s="4"/>
      <c r="AE538" s="4"/>
      <c r="AF538" s="4"/>
    </row>
    <row r="539" spans="1:32" ht="15.75" customHeight="1">
      <c r="A539" s="4"/>
      <c r="B539" s="4"/>
      <c r="C539" s="4"/>
      <c r="D539" s="4"/>
      <c r="E539" s="4"/>
      <c r="F539" s="4"/>
      <c r="G539" s="4"/>
      <c r="H539" s="4"/>
      <c r="I539" s="4"/>
      <c r="J539" s="19"/>
      <c r="K539" s="4"/>
      <c r="L539" s="4"/>
      <c r="M539" s="4"/>
      <c r="N539" s="4"/>
      <c r="O539" s="4"/>
      <c r="P539" s="4"/>
      <c r="Q539" s="4"/>
      <c r="R539" s="4"/>
      <c r="S539" s="4"/>
      <c r="T539" s="4"/>
      <c r="U539" s="4"/>
      <c r="V539" s="4"/>
      <c r="W539" s="4"/>
      <c r="X539" s="4"/>
      <c r="Y539" s="4"/>
      <c r="Z539" s="4"/>
      <c r="AA539" s="4"/>
      <c r="AB539" s="4"/>
      <c r="AC539" s="4"/>
      <c r="AD539" s="4"/>
      <c r="AE539" s="4"/>
      <c r="AF539" s="4"/>
    </row>
    <row r="540" spans="1:32" ht="15.75" customHeight="1">
      <c r="A540" s="4"/>
      <c r="B540" s="4"/>
      <c r="C540" s="4"/>
      <c r="D540" s="4"/>
      <c r="E540" s="4"/>
      <c r="F540" s="4"/>
      <c r="G540" s="4"/>
      <c r="H540" s="4"/>
      <c r="I540" s="4"/>
      <c r="J540" s="19"/>
      <c r="K540" s="4"/>
      <c r="L540" s="4"/>
      <c r="M540" s="4"/>
      <c r="N540" s="4"/>
      <c r="O540" s="4"/>
      <c r="P540" s="4"/>
      <c r="Q540" s="4"/>
      <c r="R540" s="4"/>
      <c r="S540" s="4"/>
      <c r="T540" s="4"/>
      <c r="U540" s="4"/>
      <c r="V540" s="4"/>
      <c r="W540" s="4"/>
      <c r="X540" s="4"/>
      <c r="Y540" s="4"/>
      <c r="Z540" s="4"/>
      <c r="AA540" s="4"/>
      <c r="AB540" s="4"/>
      <c r="AC540" s="4"/>
      <c r="AD540" s="4"/>
      <c r="AE540" s="4"/>
      <c r="AF540" s="4"/>
    </row>
    <row r="541" spans="1:32" ht="15.75" customHeight="1">
      <c r="A541" s="4"/>
      <c r="B541" s="4"/>
      <c r="C541" s="4"/>
      <c r="D541" s="4"/>
      <c r="E541" s="4"/>
      <c r="F541" s="4"/>
      <c r="G541" s="4"/>
      <c r="H541" s="4"/>
      <c r="I541" s="4"/>
      <c r="J541" s="19"/>
      <c r="K541" s="4"/>
      <c r="L541" s="4"/>
      <c r="M541" s="4"/>
      <c r="N541" s="4"/>
      <c r="O541" s="4"/>
      <c r="P541" s="4"/>
      <c r="Q541" s="4"/>
      <c r="R541" s="4"/>
      <c r="S541" s="4"/>
      <c r="T541" s="4"/>
      <c r="U541" s="4"/>
      <c r="V541" s="4"/>
      <c r="W541" s="4"/>
      <c r="X541" s="4"/>
      <c r="Y541" s="4"/>
      <c r="Z541" s="4"/>
      <c r="AA541" s="4"/>
      <c r="AB541" s="4"/>
      <c r="AC541" s="4"/>
      <c r="AD541" s="4"/>
      <c r="AE541" s="4"/>
      <c r="AF541" s="4"/>
    </row>
    <row r="542" spans="1:32" ht="15.75" customHeight="1">
      <c r="A542" s="4"/>
      <c r="B542" s="4"/>
      <c r="C542" s="4"/>
      <c r="D542" s="4"/>
      <c r="E542" s="4"/>
      <c r="F542" s="4"/>
      <c r="G542" s="4"/>
      <c r="H542" s="4"/>
      <c r="I542" s="4"/>
      <c r="J542" s="19"/>
      <c r="K542" s="4"/>
      <c r="L542" s="4"/>
      <c r="M542" s="4"/>
      <c r="N542" s="4"/>
      <c r="O542" s="4"/>
      <c r="P542" s="4"/>
      <c r="Q542" s="4"/>
      <c r="R542" s="4"/>
      <c r="S542" s="4"/>
      <c r="T542" s="4"/>
      <c r="U542" s="4"/>
      <c r="V542" s="4"/>
      <c r="W542" s="4"/>
      <c r="X542" s="4"/>
      <c r="Y542" s="4"/>
      <c r="Z542" s="4"/>
      <c r="AA542" s="4"/>
      <c r="AB542" s="4"/>
      <c r="AC542" s="4"/>
      <c r="AD542" s="4"/>
      <c r="AE542" s="4"/>
      <c r="AF542" s="4"/>
    </row>
    <row r="543" spans="1:32" ht="15.75" customHeight="1">
      <c r="A543" s="4"/>
      <c r="B543" s="4"/>
      <c r="C543" s="4"/>
      <c r="D543" s="4"/>
      <c r="E543" s="4"/>
      <c r="F543" s="4"/>
      <c r="G543" s="4"/>
      <c r="H543" s="4"/>
      <c r="I543" s="4"/>
      <c r="J543" s="19"/>
      <c r="K543" s="4"/>
      <c r="L543" s="4"/>
      <c r="M543" s="4"/>
      <c r="N543" s="4"/>
      <c r="O543" s="4"/>
      <c r="P543" s="4"/>
      <c r="Q543" s="4"/>
      <c r="R543" s="4"/>
      <c r="S543" s="4"/>
      <c r="T543" s="4"/>
      <c r="U543" s="4"/>
      <c r="V543" s="4"/>
      <c r="W543" s="4"/>
      <c r="X543" s="4"/>
      <c r="Y543" s="4"/>
      <c r="Z543" s="4"/>
      <c r="AA543" s="4"/>
      <c r="AB543" s="4"/>
      <c r="AC543" s="4"/>
      <c r="AD543" s="4"/>
      <c r="AE543" s="4"/>
      <c r="AF543" s="4"/>
    </row>
    <row r="544" spans="1:32" ht="15.75" customHeight="1">
      <c r="A544" s="4"/>
      <c r="B544" s="4"/>
      <c r="C544" s="4"/>
      <c r="D544" s="4"/>
      <c r="E544" s="4"/>
      <c r="F544" s="4"/>
      <c r="G544" s="4"/>
      <c r="H544" s="4"/>
      <c r="I544" s="4"/>
      <c r="J544" s="19"/>
      <c r="K544" s="4"/>
      <c r="L544" s="4"/>
      <c r="M544" s="4"/>
      <c r="N544" s="4"/>
      <c r="O544" s="4"/>
      <c r="P544" s="4"/>
      <c r="Q544" s="4"/>
      <c r="R544" s="4"/>
      <c r="S544" s="4"/>
      <c r="T544" s="4"/>
      <c r="U544" s="4"/>
      <c r="V544" s="4"/>
      <c r="W544" s="4"/>
      <c r="X544" s="4"/>
      <c r="Y544" s="4"/>
      <c r="Z544" s="4"/>
      <c r="AA544" s="4"/>
      <c r="AB544" s="4"/>
      <c r="AC544" s="4"/>
      <c r="AD544" s="4"/>
      <c r="AE544" s="4"/>
      <c r="AF544" s="4"/>
    </row>
    <row r="545" spans="1:32" ht="15.75" customHeight="1">
      <c r="A545" s="4"/>
      <c r="B545" s="4"/>
      <c r="C545" s="4"/>
      <c r="D545" s="4"/>
      <c r="E545" s="4"/>
      <c r="F545" s="4"/>
      <c r="G545" s="4"/>
      <c r="H545" s="4"/>
      <c r="I545" s="4"/>
      <c r="J545" s="19"/>
      <c r="K545" s="4"/>
      <c r="L545" s="4"/>
      <c r="M545" s="4"/>
      <c r="N545" s="4"/>
      <c r="O545" s="4"/>
      <c r="P545" s="4"/>
      <c r="Q545" s="4"/>
      <c r="R545" s="4"/>
      <c r="S545" s="4"/>
      <c r="T545" s="4"/>
      <c r="U545" s="4"/>
      <c r="V545" s="4"/>
      <c r="W545" s="4"/>
      <c r="X545" s="4"/>
      <c r="Y545" s="4"/>
      <c r="Z545" s="4"/>
      <c r="AA545" s="4"/>
      <c r="AB545" s="4"/>
      <c r="AC545" s="4"/>
      <c r="AD545" s="4"/>
      <c r="AE545" s="4"/>
      <c r="AF545" s="4"/>
    </row>
    <row r="546" spans="1:32" ht="15.75" customHeight="1">
      <c r="A546" s="4"/>
      <c r="B546" s="4"/>
      <c r="C546" s="4"/>
      <c r="D546" s="4"/>
      <c r="E546" s="4"/>
      <c r="F546" s="4"/>
      <c r="G546" s="4"/>
      <c r="H546" s="4"/>
      <c r="I546" s="4"/>
      <c r="J546" s="19"/>
      <c r="K546" s="4"/>
      <c r="L546" s="4"/>
      <c r="M546" s="4"/>
      <c r="N546" s="4"/>
      <c r="O546" s="4"/>
      <c r="P546" s="4"/>
      <c r="Q546" s="4"/>
      <c r="R546" s="4"/>
      <c r="S546" s="4"/>
      <c r="T546" s="4"/>
      <c r="U546" s="4"/>
      <c r="V546" s="4"/>
      <c r="W546" s="4"/>
      <c r="X546" s="4"/>
      <c r="Y546" s="4"/>
      <c r="Z546" s="4"/>
      <c r="AA546" s="4"/>
      <c r="AB546" s="4"/>
      <c r="AC546" s="4"/>
      <c r="AD546" s="4"/>
      <c r="AE546" s="4"/>
      <c r="AF546" s="4"/>
    </row>
    <row r="547" spans="1:32" ht="15.75" customHeight="1">
      <c r="A547" s="4"/>
      <c r="B547" s="4"/>
      <c r="C547" s="4"/>
      <c r="D547" s="4"/>
      <c r="E547" s="4"/>
      <c r="F547" s="4"/>
      <c r="G547" s="4"/>
      <c r="H547" s="4"/>
      <c r="I547" s="4"/>
      <c r="J547" s="19"/>
      <c r="K547" s="4"/>
      <c r="L547" s="4"/>
      <c r="M547" s="4"/>
      <c r="N547" s="4"/>
      <c r="O547" s="4"/>
      <c r="P547" s="4"/>
      <c r="Q547" s="4"/>
      <c r="R547" s="4"/>
      <c r="S547" s="4"/>
      <c r="T547" s="4"/>
      <c r="U547" s="4"/>
      <c r="V547" s="4"/>
      <c r="W547" s="4"/>
      <c r="X547" s="4"/>
      <c r="Y547" s="4"/>
      <c r="Z547" s="4"/>
      <c r="AA547" s="4"/>
      <c r="AB547" s="4"/>
      <c r="AC547" s="4"/>
      <c r="AD547" s="4"/>
      <c r="AE547" s="4"/>
      <c r="AF547" s="4"/>
    </row>
    <row r="548" spans="1:32" ht="15.75" customHeight="1">
      <c r="A548" s="4"/>
      <c r="B548" s="4"/>
      <c r="C548" s="4"/>
      <c r="D548" s="4"/>
      <c r="E548" s="4"/>
      <c r="F548" s="4"/>
      <c r="G548" s="4"/>
      <c r="H548" s="4"/>
      <c r="I548" s="4"/>
      <c r="J548" s="19"/>
      <c r="K548" s="4"/>
      <c r="L548" s="4"/>
      <c r="M548" s="4"/>
      <c r="N548" s="4"/>
      <c r="O548" s="4"/>
      <c r="P548" s="4"/>
      <c r="Q548" s="4"/>
      <c r="R548" s="4"/>
      <c r="S548" s="4"/>
      <c r="T548" s="4"/>
      <c r="U548" s="4"/>
      <c r="V548" s="4"/>
      <c r="W548" s="4"/>
      <c r="X548" s="4"/>
      <c r="Y548" s="4"/>
      <c r="Z548" s="4"/>
      <c r="AA548" s="4"/>
      <c r="AB548" s="4"/>
      <c r="AC548" s="4"/>
      <c r="AD548" s="4"/>
      <c r="AE548" s="4"/>
      <c r="AF548" s="4"/>
    </row>
    <row r="549" spans="1:32" ht="15.75" customHeight="1">
      <c r="A549" s="4"/>
      <c r="B549" s="4"/>
      <c r="C549" s="4"/>
      <c r="D549" s="4"/>
      <c r="E549" s="4"/>
      <c r="F549" s="4"/>
      <c r="G549" s="4"/>
      <c r="H549" s="4"/>
      <c r="I549" s="4"/>
      <c r="J549" s="19"/>
      <c r="K549" s="4"/>
      <c r="L549" s="4"/>
      <c r="M549" s="4"/>
      <c r="N549" s="4"/>
      <c r="O549" s="4"/>
      <c r="P549" s="4"/>
      <c r="Q549" s="4"/>
      <c r="R549" s="4"/>
      <c r="S549" s="4"/>
      <c r="T549" s="4"/>
      <c r="U549" s="4"/>
      <c r="V549" s="4"/>
      <c r="W549" s="4"/>
      <c r="X549" s="4"/>
      <c r="Y549" s="4"/>
      <c r="Z549" s="4"/>
      <c r="AA549" s="4"/>
      <c r="AB549" s="4"/>
      <c r="AC549" s="4"/>
      <c r="AD549" s="4"/>
      <c r="AE549" s="4"/>
      <c r="AF549" s="4"/>
    </row>
    <row r="550" spans="1:32" ht="15.75" customHeight="1">
      <c r="A550" s="4"/>
      <c r="B550" s="4"/>
      <c r="C550" s="4"/>
      <c r="D550" s="4"/>
      <c r="E550" s="4"/>
      <c r="F550" s="4"/>
      <c r="G550" s="4"/>
      <c r="H550" s="4"/>
      <c r="I550" s="4"/>
      <c r="J550" s="19"/>
      <c r="K550" s="4"/>
      <c r="L550" s="4"/>
      <c r="M550" s="4"/>
      <c r="N550" s="4"/>
      <c r="O550" s="4"/>
      <c r="P550" s="4"/>
      <c r="Q550" s="4"/>
      <c r="R550" s="4"/>
      <c r="S550" s="4"/>
      <c r="T550" s="4"/>
      <c r="U550" s="4"/>
      <c r="V550" s="4"/>
      <c r="W550" s="4"/>
      <c r="X550" s="4"/>
      <c r="Y550" s="4"/>
      <c r="Z550" s="4"/>
      <c r="AA550" s="4"/>
      <c r="AB550" s="4"/>
      <c r="AC550" s="4"/>
      <c r="AD550" s="4"/>
      <c r="AE550" s="4"/>
      <c r="AF550" s="4"/>
    </row>
    <row r="551" spans="1:32" ht="15.75" customHeight="1">
      <c r="A551" s="4"/>
      <c r="B551" s="4"/>
      <c r="C551" s="4"/>
      <c r="D551" s="4"/>
      <c r="E551" s="4"/>
      <c r="F551" s="4"/>
      <c r="G551" s="4"/>
      <c r="H551" s="4"/>
      <c r="I551" s="4"/>
      <c r="J551" s="19"/>
      <c r="K551" s="4"/>
      <c r="L551" s="4"/>
      <c r="M551" s="4"/>
      <c r="N551" s="4"/>
      <c r="O551" s="4"/>
      <c r="P551" s="4"/>
      <c r="Q551" s="4"/>
      <c r="R551" s="4"/>
      <c r="S551" s="4"/>
      <c r="T551" s="4"/>
      <c r="U551" s="4"/>
      <c r="V551" s="4"/>
      <c r="W551" s="4"/>
      <c r="X551" s="4"/>
      <c r="Y551" s="4"/>
      <c r="Z551" s="4"/>
      <c r="AA551" s="4"/>
      <c r="AB551" s="4"/>
      <c r="AC551" s="4"/>
      <c r="AD551" s="4"/>
      <c r="AE551" s="4"/>
      <c r="AF551" s="4"/>
    </row>
    <row r="552" spans="1:32" ht="15.75" customHeight="1">
      <c r="A552" s="4"/>
      <c r="B552" s="4"/>
      <c r="C552" s="4"/>
      <c r="D552" s="4"/>
      <c r="E552" s="4"/>
      <c r="F552" s="4"/>
      <c r="G552" s="4"/>
      <c r="H552" s="4"/>
      <c r="I552" s="4"/>
      <c r="J552" s="19"/>
      <c r="K552" s="4"/>
      <c r="L552" s="4"/>
      <c r="M552" s="4"/>
      <c r="N552" s="4"/>
      <c r="O552" s="4"/>
      <c r="P552" s="4"/>
      <c r="Q552" s="4"/>
      <c r="R552" s="4"/>
      <c r="S552" s="4"/>
      <c r="T552" s="4"/>
      <c r="U552" s="4"/>
      <c r="V552" s="4"/>
      <c r="W552" s="4"/>
      <c r="X552" s="4"/>
      <c r="Y552" s="4"/>
      <c r="Z552" s="4"/>
      <c r="AA552" s="4"/>
      <c r="AB552" s="4"/>
      <c r="AC552" s="4"/>
      <c r="AD552" s="4"/>
      <c r="AE552" s="4"/>
      <c r="AF552" s="4"/>
    </row>
    <row r="553" spans="1:32" ht="15.75" customHeight="1">
      <c r="A553" s="4"/>
      <c r="B553" s="4"/>
      <c r="C553" s="4"/>
      <c r="D553" s="4"/>
      <c r="E553" s="4"/>
      <c r="F553" s="4"/>
      <c r="G553" s="4"/>
      <c r="H553" s="4"/>
      <c r="I553" s="4"/>
      <c r="J553" s="19"/>
      <c r="K553" s="4"/>
      <c r="L553" s="4"/>
      <c r="M553" s="4"/>
      <c r="N553" s="4"/>
      <c r="O553" s="4"/>
      <c r="P553" s="4"/>
      <c r="Q553" s="4"/>
      <c r="R553" s="4"/>
      <c r="S553" s="4"/>
      <c r="T553" s="4"/>
      <c r="U553" s="4"/>
      <c r="V553" s="4"/>
      <c r="W553" s="4"/>
      <c r="X553" s="4"/>
      <c r="Y553" s="4"/>
      <c r="Z553" s="4"/>
      <c r="AA553" s="4"/>
      <c r="AB553" s="4"/>
      <c r="AC553" s="4"/>
      <c r="AD553" s="4"/>
      <c r="AE553" s="4"/>
      <c r="AF553" s="4"/>
    </row>
    <row r="554" spans="1:32" ht="15.75" customHeight="1">
      <c r="A554" s="4"/>
      <c r="B554" s="4"/>
      <c r="C554" s="4"/>
      <c r="D554" s="4"/>
      <c r="E554" s="4"/>
      <c r="F554" s="4"/>
      <c r="G554" s="4"/>
      <c r="H554" s="4"/>
      <c r="I554" s="4"/>
      <c r="J554" s="19"/>
      <c r="K554" s="4"/>
      <c r="L554" s="4"/>
      <c r="M554" s="4"/>
      <c r="N554" s="4"/>
      <c r="O554" s="4"/>
      <c r="P554" s="4"/>
      <c r="Q554" s="4"/>
      <c r="R554" s="4"/>
      <c r="S554" s="4"/>
      <c r="T554" s="4"/>
      <c r="U554" s="4"/>
      <c r="V554" s="4"/>
      <c r="W554" s="4"/>
      <c r="X554" s="4"/>
      <c r="Y554" s="4"/>
      <c r="Z554" s="4"/>
      <c r="AA554" s="4"/>
      <c r="AB554" s="4"/>
      <c r="AC554" s="4"/>
      <c r="AD554" s="4"/>
      <c r="AE554" s="4"/>
      <c r="AF554" s="4"/>
    </row>
    <row r="555" spans="1:32" ht="15.75" customHeight="1">
      <c r="A555" s="4"/>
      <c r="B555" s="4"/>
      <c r="C555" s="4"/>
      <c r="D555" s="4"/>
      <c r="E555" s="4"/>
      <c r="F555" s="4"/>
      <c r="G555" s="4"/>
      <c r="H555" s="4"/>
      <c r="I555" s="4"/>
      <c r="J555" s="19"/>
      <c r="K555" s="4"/>
      <c r="L555" s="4"/>
      <c r="M555" s="4"/>
      <c r="N555" s="4"/>
      <c r="O555" s="4"/>
      <c r="P555" s="4"/>
      <c r="Q555" s="4"/>
      <c r="R555" s="4"/>
      <c r="S555" s="4"/>
      <c r="T555" s="4"/>
      <c r="U555" s="4"/>
      <c r="V555" s="4"/>
      <c r="W555" s="4"/>
      <c r="X555" s="4"/>
      <c r="Y555" s="4"/>
      <c r="Z555" s="4"/>
      <c r="AA555" s="4"/>
      <c r="AB555" s="4"/>
      <c r="AC555" s="4"/>
      <c r="AD555" s="4"/>
      <c r="AE555" s="4"/>
      <c r="AF555" s="4"/>
    </row>
    <row r="556" spans="1:32" ht="15.75" customHeight="1">
      <c r="A556" s="4"/>
      <c r="B556" s="4"/>
      <c r="C556" s="4"/>
      <c r="D556" s="4"/>
      <c r="E556" s="4"/>
      <c r="F556" s="4"/>
      <c r="G556" s="4"/>
      <c r="H556" s="4"/>
      <c r="I556" s="4"/>
      <c r="J556" s="19"/>
      <c r="K556" s="4"/>
      <c r="L556" s="4"/>
      <c r="M556" s="4"/>
      <c r="N556" s="4"/>
      <c r="O556" s="4"/>
      <c r="P556" s="4"/>
      <c r="Q556" s="4"/>
      <c r="R556" s="4"/>
      <c r="S556" s="4"/>
      <c r="T556" s="4"/>
      <c r="U556" s="4"/>
      <c r="V556" s="4"/>
      <c r="W556" s="4"/>
      <c r="X556" s="4"/>
      <c r="Y556" s="4"/>
      <c r="Z556" s="4"/>
      <c r="AA556" s="4"/>
      <c r="AB556" s="4"/>
      <c r="AC556" s="4"/>
      <c r="AD556" s="4"/>
      <c r="AE556" s="4"/>
      <c r="AF556" s="4"/>
    </row>
    <row r="557" spans="1:32" ht="15.75" customHeight="1">
      <c r="A557" s="4"/>
      <c r="B557" s="4"/>
      <c r="C557" s="4"/>
      <c r="D557" s="4"/>
      <c r="E557" s="4"/>
      <c r="F557" s="4"/>
      <c r="G557" s="4"/>
      <c r="H557" s="4"/>
      <c r="I557" s="4"/>
      <c r="J557" s="19"/>
      <c r="K557" s="4"/>
      <c r="L557" s="4"/>
      <c r="M557" s="4"/>
      <c r="N557" s="4"/>
      <c r="O557" s="4"/>
      <c r="P557" s="4"/>
      <c r="Q557" s="4"/>
      <c r="R557" s="4"/>
      <c r="S557" s="4"/>
      <c r="T557" s="4"/>
      <c r="U557" s="4"/>
      <c r="V557" s="4"/>
      <c r="W557" s="4"/>
      <c r="X557" s="4"/>
      <c r="Y557" s="4"/>
      <c r="Z557" s="4"/>
      <c r="AA557" s="4"/>
      <c r="AB557" s="4"/>
      <c r="AC557" s="4"/>
      <c r="AD557" s="4"/>
      <c r="AE557" s="4"/>
      <c r="AF557" s="4"/>
    </row>
    <row r="558" spans="1:32" ht="15.75" customHeight="1">
      <c r="A558" s="4"/>
      <c r="B558" s="4"/>
      <c r="C558" s="4"/>
      <c r="D558" s="4"/>
      <c r="E558" s="4"/>
      <c r="F558" s="4"/>
      <c r="G558" s="4"/>
      <c r="H558" s="4"/>
      <c r="I558" s="4"/>
      <c r="J558" s="19"/>
      <c r="K558" s="4"/>
      <c r="L558" s="4"/>
      <c r="M558" s="4"/>
      <c r="N558" s="4"/>
      <c r="O558" s="4"/>
      <c r="P558" s="4"/>
      <c r="Q558" s="4"/>
      <c r="R558" s="4"/>
      <c r="S558" s="4"/>
      <c r="T558" s="4"/>
      <c r="U558" s="4"/>
      <c r="V558" s="4"/>
      <c r="W558" s="4"/>
      <c r="X558" s="4"/>
      <c r="Y558" s="4"/>
      <c r="Z558" s="4"/>
      <c r="AA558" s="4"/>
      <c r="AB558" s="4"/>
      <c r="AC558" s="4"/>
      <c r="AD558" s="4"/>
      <c r="AE558" s="4"/>
      <c r="AF558" s="4"/>
    </row>
    <row r="559" spans="1:32" ht="15.75" customHeight="1">
      <c r="A559" s="4"/>
      <c r="B559" s="4"/>
      <c r="C559" s="4"/>
      <c r="D559" s="4"/>
      <c r="E559" s="4"/>
      <c r="F559" s="4"/>
      <c r="G559" s="4"/>
      <c r="H559" s="4"/>
      <c r="I559" s="4"/>
      <c r="J559" s="19"/>
      <c r="K559" s="4"/>
      <c r="L559" s="4"/>
      <c r="M559" s="4"/>
      <c r="N559" s="4"/>
      <c r="O559" s="4"/>
      <c r="P559" s="4"/>
      <c r="Q559" s="4"/>
      <c r="R559" s="4"/>
      <c r="S559" s="4"/>
      <c r="T559" s="4"/>
      <c r="U559" s="4"/>
      <c r="V559" s="4"/>
      <c r="W559" s="4"/>
      <c r="X559" s="4"/>
      <c r="Y559" s="4"/>
      <c r="Z559" s="4"/>
      <c r="AA559" s="4"/>
      <c r="AB559" s="4"/>
      <c r="AC559" s="4"/>
      <c r="AD559" s="4"/>
      <c r="AE559" s="4"/>
      <c r="AF559" s="4"/>
    </row>
    <row r="560" spans="1:32" ht="15.75" customHeight="1">
      <c r="A560" s="4"/>
      <c r="B560" s="4"/>
      <c r="C560" s="4"/>
      <c r="D560" s="4"/>
      <c r="E560" s="4"/>
      <c r="F560" s="4"/>
      <c r="G560" s="4"/>
      <c r="H560" s="4"/>
      <c r="I560" s="4"/>
      <c r="J560" s="19"/>
      <c r="K560" s="4"/>
      <c r="L560" s="4"/>
      <c r="M560" s="4"/>
      <c r="N560" s="4"/>
      <c r="O560" s="4"/>
      <c r="P560" s="4"/>
      <c r="Q560" s="4"/>
      <c r="R560" s="4"/>
      <c r="S560" s="4"/>
      <c r="T560" s="4"/>
      <c r="U560" s="4"/>
      <c r="V560" s="4"/>
      <c r="W560" s="4"/>
      <c r="X560" s="4"/>
      <c r="Y560" s="4"/>
      <c r="Z560" s="4"/>
      <c r="AA560" s="4"/>
      <c r="AB560" s="4"/>
      <c r="AC560" s="4"/>
      <c r="AD560" s="4"/>
      <c r="AE560" s="4"/>
      <c r="AF560" s="4"/>
    </row>
    <row r="561" spans="1:32" ht="15.75" customHeight="1">
      <c r="A561" s="4"/>
      <c r="B561" s="4"/>
      <c r="C561" s="4"/>
      <c r="D561" s="4"/>
      <c r="E561" s="4"/>
      <c r="F561" s="4"/>
      <c r="G561" s="4"/>
      <c r="H561" s="4"/>
      <c r="I561" s="4"/>
      <c r="J561" s="19"/>
      <c r="K561" s="4"/>
      <c r="L561" s="4"/>
      <c r="M561" s="4"/>
      <c r="N561" s="4"/>
      <c r="O561" s="4"/>
      <c r="P561" s="4"/>
      <c r="Q561" s="4"/>
      <c r="R561" s="4"/>
      <c r="S561" s="4"/>
      <c r="T561" s="4"/>
      <c r="U561" s="4"/>
      <c r="V561" s="4"/>
      <c r="W561" s="4"/>
      <c r="X561" s="4"/>
      <c r="Y561" s="4"/>
      <c r="Z561" s="4"/>
      <c r="AA561" s="4"/>
      <c r="AB561" s="4"/>
      <c r="AC561" s="4"/>
      <c r="AD561" s="4"/>
      <c r="AE561" s="4"/>
      <c r="AF561" s="4"/>
    </row>
    <row r="562" spans="1:32" ht="15.75" customHeight="1">
      <c r="A562" s="4"/>
      <c r="B562" s="4"/>
      <c r="C562" s="4"/>
      <c r="D562" s="4"/>
      <c r="E562" s="4"/>
      <c r="F562" s="4"/>
      <c r="G562" s="4"/>
      <c r="H562" s="4"/>
      <c r="I562" s="4"/>
      <c r="J562" s="19"/>
      <c r="K562" s="4"/>
      <c r="L562" s="4"/>
      <c r="M562" s="4"/>
      <c r="N562" s="4"/>
      <c r="O562" s="4"/>
      <c r="P562" s="4"/>
      <c r="Q562" s="4"/>
      <c r="R562" s="4"/>
      <c r="S562" s="4"/>
      <c r="T562" s="4"/>
      <c r="U562" s="4"/>
      <c r="V562" s="4"/>
      <c r="W562" s="4"/>
      <c r="X562" s="4"/>
      <c r="Y562" s="4"/>
      <c r="Z562" s="4"/>
      <c r="AA562" s="4"/>
      <c r="AB562" s="4"/>
      <c r="AC562" s="4"/>
      <c r="AD562" s="4"/>
      <c r="AE562" s="4"/>
      <c r="AF562" s="4"/>
    </row>
    <row r="563" spans="1:32" ht="15.75" customHeight="1">
      <c r="A563" s="4"/>
      <c r="B563" s="4"/>
      <c r="C563" s="4"/>
      <c r="D563" s="4"/>
      <c r="E563" s="4"/>
      <c r="F563" s="4"/>
      <c r="G563" s="4"/>
      <c r="H563" s="4"/>
      <c r="I563" s="4"/>
      <c r="J563" s="19"/>
      <c r="K563" s="4"/>
      <c r="L563" s="4"/>
      <c r="M563" s="4"/>
      <c r="N563" s="4"/>
      <c r="O563" s="4"/>
      <c r="P563" s="4"/>
      <c r="Q563" s="4"/>
      <c r="R563" s="4"/>
      <c r="S563" s="4"/>
      <c r="T563" s="4"/>
      <c r="U563" s="4"/>
      <c r="V563" s="4"/>
      <c r="W563" s="4"/>
      <c r="X563" s="4"/>
      <c r="Y563" s="4"/>
      <c r="Z563" s="4"/>
      <c r="AA563" s="4"/>
      <c r="AB563" s="4"/>
      <c r="AC563" s="4"/>
      <c r="AD563" s="4"/>
      <c r="AE563" s="4"/>
      <c r="AF563" s="4"/>
    </row>
    <row r="564" spans="1:32" ht="15.75" customHeight="1">
      <c r="A564" s="4"/>
      <c r="B564" s="4"/>
      <c r="C564" s="4"/>
      <c r="D564" s="4"/>
      <c r="E564" s="4"/>
      <c r="F564" s="4"/>
      <c r="G564" s="4"/>
      <c r="H564" s="4"/>
      <c r="I564" s="4"/>
      <c r="J564" s="19"/>
      <c r="K564" s="4"/>
      <c r="L564" s="4"/>
      <c r="M564" s="4"/>
      <c r="N564" s="4"/>
      <c r="O564" s="4"/>
      <c r="P564" s="4"/>
      <c r="Q564" s="4"/>
      <c r="R564" s="4"/>
      <c r="S564" s="4"/>
      <c r="T564" s="4"/>
      <c r="U564" s="4"/>
      <c r="V564" s="4"/>
      <c r="W564" s="4"/>
      <c r="X564" s="4"/>
      <c r="Y564" s="4"/>
      <c r="Z564" s="4"/>
      <c r="AA564" s="4"/>
      <c r="AB564" s="4"/>
      <c r="AC564" s="4"/>
      <c r="AD564" s="4"/>
      <c r="AE564" s="4"/>
      <c r="AF564" s="4"/>
    </row>
    <row r="565" spans="1:32" ht="15.75" customHeight="1">
      <c r="A565" s="4"/>
      <c r="B565" s="4"/>
      <c r="C565" s="4"/>
      <c r="D565" s="4"/>
      <c r="E565" s="4"/>
      <c r="F565" s="4"/>
      <c r="G565" s="4"/>
      <c r="H565" s="4"/>
      <c r="I565" s="4"/>
      <c r="J565" s="19"/>
      <c r="K565" s="4"/>
      <c r="L565" s="4"/>
      <c r="M565" s="4"/>
      <c r="N565" s="4"/>
      <c r="O565" s="4"/>
      <c r="P565" s="4"/>
      <c r="Q565" s="4"/>
      <c r="R565" s="4"/>
      <c r="S565" s="4"/>
      <c r="T565" s="4"/>
      <c r="U565" s="4"/>
      <c r="V565" s="4"/>
      <c r="W565" s="4"/>
      <c r="X565" s="4"/>
      <c r="Y565" s="4"/>
      <c r="Z565" s="4"/>
      <c r="AA565" s="4"/>
      <c r="AB565" s="4"/>
      <c r="AC565" s="4"/>
      <c r="AD565" s="4"/>
      <c r="AE565" s="4"/>
      <c r="AF565" s="4"/>
    </row>
    <row r="566" spans="1:32" ht="15.75" customHeight="1">
      <c r="A566" s="4"/>
      <c r="B566" s="4"/>
      <c r="C566" s="4"/>
      <c r="D566" s="4"/>
      <c r="E566" s="4"/>
      <c r="F566" s="4"/>
      <c r="G566" s="4"/>
      <c r="H566" s="4"/>
      <c r="I566" s="4"/>
      <c r="J566" s="19"/>
      <c r="K566" s="4"/>
      <c r="L566" s="4"/>
      <c r="M566" s="4"/>
      <c r="N566" s="4"/>
      <c r="O566" s="4"/>
      <c r="P566" s="4"/>
      <c r="Q566" s="4"/>
      <c r="R566" s="4"/>
      <c r="S566" s="4"/>
      <c r="T566" s="4"/>
      <c r="U566" s="4"/>
      <c r="V566" s="4"/>
      <c r="W566" s="4"/>
      <c r="X566" s="4"/>
      <c r="Y566" s="4"/>
      <c r="Z566" s="4"/>
      <c r="AA566" s="4"/>
      <c r="AB566" s="4"/>
      <c r="AC566" s="4"/>
      <c r="AD566" s="4"/>
      <c r="AE566" s="4"/>
      <c r="AF566" s="4"/>
    </row>
    <row r="567" spans="1:32" ht="15.75" customHeight="1">
      <c r="A567" s="4"/>
      <c r="B567" s="4"/>
      <c r="C567" s="4"/>
      <c r="D567" s="4"/>
      <c r="E567" s="4"/>
      <c r="F567" s="4"/>
      <c r="G567" s="4"/>
      <c r="H567" s="4"/>
      <c r="I567" s="4"/>
      <c r="J567" s="19"/>
      <c r="K567" s="4"/>
      <c r="L567" s="4"/>
      <c r="M567" s="4"/>
      <c r="N567" s="4"/>
      <c r="O567" s="4"/>
      <c r="P567" s="4"/>
      <c r="Q567" s="4"/>
      <c r="R567" s="4"/>
      <c r="S567" s="4"/>
      <c r="T567" s="4"/>
      <c r="U567" s="4"/>
      <c r="V567" s="4"/>
      <c r="W567" s="4"/>
      <c r="X567" s="4"/>
      <c r="Y567" s="4"/>
      <c r="Z567" s="4"/>
      <c r="AA567" s="4"/>
      <c r="AB567" s="4"/>
      <c r="AC567" s="4"/>
      <c r="AD567" s="4"/>
      <c r="AE567" s="4"/>
      <c r="AF567" s="4"/>
    </row>
    <row r="568" spans="1:32" ht="15.75" customHeight="1">
      <c r="A568" s="4"/>
      <c r="B568" s="4"/>
      <c r="C568" s="4"/>
      <c r="D568" s="4"/>
      <c r="E568" s="4"/>
      <c r="F568" s="4"/>
      <c r="G568" s="4"/>
      <c r="H568" s="4"/>
      <c r="I568" s="4"/>
      <c r="J568" s="19"/>
      <c r="K568" s="4"/>
      <c r="L568" s="4"/>
      <c r="M568" s="4"/>
      <c r="N568" s="4"/>
      <c r="O568" s="4"/>
      <c r="P568" s="4"/>
      <c r="Q568" s="4"/>
      <c r="R568" s="4"/>
      <c r="S568" s="4"/>
      <c r="T568" s="4"/>
      <c r="U568" s="4"/>
      <c r="V568" s="4"/>
      <c r="W568" s="4"/>
      <c r="X568" s="4"/>
      <c r="Y568" s="4"/>
      <c r="Z568" s="4"/>
      <c r="AA568" s="4"/>
      <c r="AB568" s="4"/>
      <c r="AC568" s="4"/>
      <c r="AD568" s="4"/>
      <c r="AE568" s="4"/>
      <c r="AF568" s="4"/>
    </row>
    <row r="569" spans="1:32" ht="15.75" customHeight="1">
      <c r="A569" s="4"/>
      <c r="B569" s="4"/>
      <c r="C569" s="4"/>
      <c r="D569" s="4"/>
      <c r="E569" s="4"/>
      <c r="F569" s="4"/>
      <c r="G569" s="4"/>
      <c r="H569" s="4"/>
      <c r="I569" s="4"/>
      <c r="J569" s="19"/>
      <c r="K569" s="4"/>
      <c r="L569" s="4"/>
      <c r="M569" s="4"/>
      <c r="N569" s="4"/>
      <c r="O569" s="4"/>
      <c r="P569" s="4"/>
      <c r="Q569" s="4"/>
      <c r="R569" s="4"/>
      <c r="S569" s="4"/>
      <c r="T569" s="4"/>
      <c r="U569" s="4"/>
      <c r="V569" s="4"/>
      <c r="W569" s="4"/>
      <c r="X569" s="4"/>
      <c r="Y569" s="4"/>
      <c r="Z569" s="4"/>
      <c r="AA569" s="4"/>
      <c r="AB569" s="4"/>
      <c r="AC569" s="4"/>
      <c r="AD569" s="4"/>
      <c r="AE569" s="4"/>
      <c r="AF569" s="4"/>
    </row>
    <row r="570" spans="1:32" ht="15.75" customHeight="1">
      <c r="A570" s="4"/>
      <c r="B570" s="4"/>
      <c r="C570" s="4"/>
      <c r="D570" s="4"/>
      <c r="E570" s="4"/>
      <c r="F570" s="4"/>
      <c r="G570" s="4"/>
      <c r="H570" s="4"/>
      <c r="I570" s="4"/>
      <c r="J570" s="19"/>
      <c r="K570" s="4"/>
      <c r="L570" s="4"/>
      <c r="M570" s="4"/>
      <c r="N570" s="4"/>
      <c r="O570" s="4"/>
      <c r="P570" s="4"/>
      <c r="Q570" s="4"/>
      <c r="R570" s="4"/>
      <c r="S570" s="4"/>
      <c r="T570" s="4"/>
      <c r="U570" s="4"/>
      <c r="V570" s="4"/>
      <c r="W570" s="4"/>
      <c r="X570" s="4"/>
      <c r="Y570" s="4"/>
      <c r="Z570" s="4"/>
      <c r="AA570" s="4"/>
      <c r="AB570" s="4"/>
      <c r="AC570" s="4"/>
      <c r="AD570" s="4"/>
      <c r="AE570" s="4"/>
      <c r="AF570" s="4"/>
    </row>
    <row r="571" spans="1:32" ht="15.75" customHeight="1">
      <c r="A571" s="4"/>
      <c r="B571" s="4"/>
      <c r="C571" s="4"/>
      <c r="D571" s="4"/>
      <c r="E571" s="4"/>
      <c r="F571" s="4"/>
      <c r="G571" s="4"/>
      <c r="H571" s="4"/>
      <c r="I571" s="4"/>
      <c r="J571" s="19"/>
      <c r="K571" s="4"/>
      <c r="L571" s="4"/>
      <c r="M571" s="4"/>
      <c r="N571" s="4"/>
      <c r="O571" s="4"/>
      <c r="P571" s="4"/>
      <c r="Q571" s="4"/>
      <c r="R571" s="4"/>
      <c r="S571" s="4"/>
      <c r="T571" s="4"/>
      <c r="U571" s="4"/>
      <c r="V571" s="4"/>
      <c r="W571" s="4"/>
      <c r="X571" s="4"/>
      <c r="Y571" s="4"/>
      <c r="Z571" s="4"/>
      <c r="AA571" s="4"/>
      <c r="AB571" s="4"/>
      <c r="AC571" s="4"/>
      <c r="AD571" s="4"/>
      <c r="AE571" s="4"/>
      <c r="AF571" s="4"/>
    </row>
    <row r="572" spans="1:32" ht="15.75" customHeight="1">
      <c r="A572" s="4"/>
      <c r="B572" s="4"/>
      <c r="C572" s="4"/>
      <c r="D572" s="4"/>
      <c r="E572" s="4"/>
      <c r="F572" s="4"/>
      <c r="G572" s="4"/>
      <c r="H572" s="4"/>
      <c r="I572" s="4"/>
      <c r="J572" s="19"/>
      <c r="K572" s="4"/>
      <c r="L572" s="4"/>
      <c r="M572" s="4"/>
      <c r="N572" s="4"/>
      <c r="O572" s="4"/>
      <c r="P572" s="4"/>
      <c r="Q572" s="4"/>
      <c r="R572" s="4"/>
      <c r="S572" s="4"/>
      <c r="T572" s="4"/>
      <c r="U572" s="4"/>
      <c r="V572" s="4"/>
      <c r="W572" s="4"/>
      <c r="X572" s="4"/>
      <c r="Y572" s="4"/>
      <c r="Z572" s="4"/>
      <c r="AA572" s="4"/>
      <c r="AB572" s="4"/>
      <c r="AC572" s="4"/>
      <c r="AD572" s="4"/>
      <c r="AE572" s="4"/>
      <c r="AF572" s="4"/>
    </row>
    <row r="573" spans="1:32" ht="15.75" customHeight="1">
      <c r="A573" s="4"/>
      <c r="B573" s="4"/>
      <c r="C573" s="4"/>
      <c r="D573" s="4"/>
      <c r="E573" s="4"/>
      <c r="F573" s="4"/>
      <c r="G573" s="4"/>
      <c r="H573" s="4"/>
      <c r="I573" s="4"/>
      <c r="J573" s="19"/>
      <c r="K573" s="4"/>
      <c r="L573" s="4"/>
      <c r="M573" s="4"/>
      <c r="N573" s="4"/>
      <c r="O573" s="4"/>
      <c r="P573" s="4"/>
      <c r="Q573" s="4"/>
      <c r="R573" s="4"/>
      <c r="S573" s="4"/>
      <c r="T573" s="4"/>
      <c r="U573" s="4"/>
      <c r="V573" s="4"/>
      <c r="W573" s="4"/>
      <c r="X573" s="4"/>
      <c r="Y573" s="4"/>
      <c r="Z573" s="4"/>
      <c r="AA573" s="4"/>
      <c r="AB573" s="4"/>
      <c r="AC573" s="4"/>
      <c r="AD573" s="4"/>
      <c r="AE573" s="4"/>
      <c r="AF573" s="4"/>
    </row>
    <row r="574" spans="1:32" ht="15.75" customHeight="1">
      <c r="A574" s="4"/>
      <c r="B574" s="4"/>
      <c r="C574" s="4"/>
      <c r="D574" s="4"/>
      <c r="E574" s="4"/>
      <c r="F574" s="4"/>
      <c r="G574" s="4"/>
      <c r="H574" s="4"/>
      <c r="I574" s="4"/>
      <c r="J574" s="19"/>
      <c r="K574" s="4"/>
      <c r="L574" s="4"/>
      <c r="M574" s="4"/>
      <c r="N574" s="4"/>
      <c r="O574" s="4"/>
      <c r="P574" s="4"/>
      <c r="Q574" s="4"/>
      <c r="R574" s="4"/>
      <c r="S574" s="4"/>
      <c r="T574" s="4"/>
      <c r="U574" s="4"/>
      <c r="V574" s="4"/>
      <c r="W574" s="4"/>
      <c r="X574" s="4"/>
      <c r="Y574" s="4"/>
      <c r="Z574" s="4"/>
      <c r="AA574" s="4"/>
      <c r="AB574" s="4"/>
      <c r="AC574" s="4"/>
      <c r="AD574" s="4"/>
      <c r="AE574" s="4"/>
      <c r="AF574" s="4"/>
    </row>
    <row r="575" spans="1:32" ht="15.75" customHeight="1">
      <c r="A575" s="4"/>
      <c r="B575" s="4"/>
      <c r="C575" s="4"/>
      <c r="D575" s="4"/>
      <c r="E575" s="4"/>
      <c r="F575" s="4"/>
      <c r="G575" s="4"/>
      <c r="H575" s="4"/>
      <c r="I575" s="4"/>
      <c r="J575" s="19"/>
      <c r="K575" s="4"/>
      <c r="L575" s="4"/>
      <c r="M575" s="4"/>
      <c r="N575" s="4"/>
      <c r="O575" s="4"/>
      <c r="P575" s="4"/>
      <c r="Q575" s="4"/>
      <c r="R575" s="4"/>
      <c r="S575" s="4"/>
      <c r="T575" s="4"/>
      <c r="U575" s="4"/>
      <c r="V575" s="4"/>
      <c r="W575" s="4"/>
      <c r="X575" s="4"/>
      <c r="Y575" s="4"/>
      <c r="Z575" s="4"/>
      <c r="AA575" s="4"/>
      <c r="AB575" s="4"/>
      <c r="AC575" s="4"/>
      <c r="AD575" s="4"/>
      <c r="AE575" s="4"/>
      <c r="AF575" s="4"/>
    </row>
    <row r="576" spans="1:32" ht="15.75" customHeight="1">
      <c r="A576" s="4"/>
      <c r="B576" s="4"/>
      <c r="C576" s="4"/>
      <c r="D576" s="4"/>
      <c r="E576" s="4"/>
      <c r="F576" s="4"/>
      <c r="G576" s="4"/>
      <c r="H576" s="4"/>
      <c r="I576" s="4"/>
      <c r="J576" s="19"/>
      <c r="K576" s="4"/>
      <c r="L576" s="4"/>
      <c r="M576" s="4"/>
      <c r="N576" s="4"/>
      <c r="O576" s="4"/>
      <c r="P576" s="4"/>
      <c r="Q576" s="4"/>
      <c r="R576" s="4"/>
      <c r="S576" s="4"/>
      <c r="T576" s="4"/>
      <c r="U576" s="4"/>
      <c r="V576" s="4"/>
      <c r="W576" s="4"/>
      <c r="X576" s="4"/>
      <c r="Y576" s="4"/>
      <c r="Z576" s="4"/>
      <c r="AA576" s="4"/>
      <c r="AB576" s="4"/>
      <c r="AC576" s="4"/>
      <c r="AD576" s="4"/>
      <c r="AE576" s="4"/>
      <c r="AF576" s="4"/>
    </row>
    <row r="577" spans="1:32" ht="15.75" customHeight="1">
      <c r="A577" s="4"/>
      <c r="B577" s="4"/>
      <c r="C577" s="4"/>
      <c r="D577" s="4"/>
      <c r="E577" s="4"/>
      <c r="F577" s="4"/>
      <c r="G577" s="4"/>
      <c r="H577" s="4"/>
      <c r="I577" s="4"/>
      <c r="J577" s="19"/>
      <c r="K577" s="4"/>
      <c r="L577" s="4"/>
      <c r="M577" s="4"/>
      <c r="N577" s="4"/>
      <c r="O577" s="4"/>
      <c r="P577" s="4"/>
      <c r="Q577" s="4"/>
      <c r="R577" s="4"/>
      <c r="S577" s="4"/>
      <c r="T577" s="4"/>
      <c r="U577" s="4"/>
      <c r="V577" s="4"/>
      <c r="W577" s="4"/>
      <c r="X577" s="4"/>
      <c r="Y577" s="4"/>
      <c r="Z577" s="4"/>
      <c r="AA577" s="4"/>
      <c r="AB577" s="4"/>
      <c r="AC577" s="4"/>
      <c r="AD577" s="4"/>
      <c r="AE577" s="4"/>
      <c r="AF577" s="4"/>
    </row>
    <row r="578" spans="1:32" ht="15.75" customHeight="1">
      <c r="A578" s="4"/>
      <c r="B578" s="4"/>
      <c r="C578" s="4"/>
      <c r="D578" s="4"/>
      <c r="E578" s="4"/>
      <c r="F578" s="4"/>
      <c r="G578" s="4"/>
      <c r="H578" s="4"/>
      <c r="I578" s="4"/>
      <c r="J578" s="19"/>
      <c r="K578" s="4"/>
      <c r="L578" s="4"/>
      <c r="M578" s="4"/>
      <c r="N578" s="4"/>
      <c r="O578" s="4"/>
      <c r="P578" s="4"/>
      <c r="Q578" s="4"/>
      <c r="R578" s="4"/>
      <c r="S578" s="4"/>
      <c r="T578" s="4"/>
      <c r="U578" s="4"/>
      <c r="V578" s="4"/>
      <c r="W578" s="4"/>
      <c r="X578" s="4"/>
      <c r="Y578" s="4"/>
      <c r="Z578" s="4"/>
      <c r="AA578" s="4"/>
      <c r="AB578" s="4"/>
      <c r="AC578" s="4"/>
      <c r="AD578" s="4"/>
      <c r="AE578" s="4"/>
      <c r="AF578" s="4"/>
    </row>
    <row r="579" spans="1:32" ht="15.75" customHeight="1">
      <c r="A579" s="4"/>
      <c r="B579" s="4"/>
      <c r="C579" s="4"/>
      <c r="D579" s="4"/>
      <c r="E579" s="4"/>
      <c r="F579" s="4"/>
      <c r="G579" s="4"/>
      <c r="H579" s="4"/>
      <c r="I579" s="4"/>
      <c r="J579" s="19"/>
      <c r="K579" s="4"/>
      <c r="L579" s="4"/>
      <c r="M579" s="4"/>
      <c r="N579" s="4"/>
      <c r="O579" s="4"/>
      <c r="P579" s="4"/>
      <c r="Q579" s="4"/>
      <c r="R579" s="4"/>
      <c r="S579" s="4"/>
      <c r="T579" s="4"/>
      <c r="U579" s="4"/>
      <c r="V579" s="4"/>
      <c r="W579" s="4"/>
      <c r="X579" s="4"/>
      <c r="Y579" s="4"/>
      <c r="Z579" s="4"/>
      <c r="AA579" s="4"/>
      <c r="AB579" s="4"/>
      <c r="AC579" s="4"/>
      <c r="AD579" s="4"/>
      <c r="AE579" s="4"/>
      <c r="AF579" s="4"/>
    </row>
    <row r="580" spans="1:32" ht="15.75" customHeight="1">
      <c r="A580" s="4"/>
      <c r="B580" s="4"/>
      <c r="C580" s="4"/>
      <c r="D580" s="4"/>
      <c r="E580" s="4"/>
      <c r="F580" s="4"/>
      <c r="G580" s="4"/>
      <c r="H580" s="4"/>
      <c r="I580" s="4"/>
      <c r="J580" s="19"/>
      <c r="K580" s="4"/>
      <c r="L580" s="4"/>
      <c r="M580" s="4"/>
      <c r="N580" s="4"/>
      <c r="O580" s="4"/>
      <c r="P580" s="4"/>
      <c r="Q580" s="4"/>
      <c r="R580" s="4"/>
      <c r="S580" s="4"/>
      <c r="T580" s="4"/>
      <c r="U580" s="4"/>
      <c r="V580" s="4"/>
      <c r="W580" s="4"/>
      <c r="X580" s="4"/>
      <c r="Y580" s="4"/>
      <c r="Z580" s="4"/>
      <c r="AA580" s="4"/>
      <c r="AB580" s="4"/>
      <c r="AC580" s="4"/>
      <c r="AD580" s="4"/>
      <c r="AE580" s="4"/>
      <c r="AF580" s="4"/>
    </row>
    <row r="581" spans="1:32" ht="15.75" customHeight="1">
      <c r="A581" s="4"/>
      <c r="B581" s="4"/>
      <c r="C581" s="4"/>
      <c r="D581" s="4"/>
      <c r="E581" s="4"/>
      <c r="F581" s="4"/>
      <c r="G581" s="4"/>
      <c r="H581" s="4"/>
      <c r="I581" s="4"/>
      <c r="J581" s="19"/>
      <c r="K581" s="4"/>
      <c r="L581" s="4"/>
      <c r="M581" s="4"/>
      <c r="N581" s="4"/>
      <c r="O581" s="4"/>
      <c r="P581" s="4"/>
      <c r="Q581" s="4"/>
      <c r="R581" s="4"/>
      <c r="S581" s="4"/>
      <c r="T581" s="4"/>
      <c r="U581" s="4"/>
      <c r="V581" s="4"/>
      <c r="W581" s="4"/>
      <c r="X581" s="4"/>
      <c r="Y581" s="4"/>
      <c r="Z581" s="4"/>
      <c r="AA581" s="4"/>
      <c r="AB581" s="4"/>
      <c r="AC581" s="4"/>
      <c r="AD581" s="4"/>
      <c r="AE581" s="4"/>
      <c r="AF581" s="4"/>
    </row>
    <row r="582" spans="1:32" ht="15.75" customHeight="1">
      <c r="A582" s="4"/>
      <c r="B582" s="4"/>
      <c r="C582" s="4"/>
      <c r="D582" s="4"/>
      <c r="E582" s="4"/>
      <c r="F582" s="4"/>
      <c r="G582" s="4"/>
      <c r="H582" s="4"/>
      <c r="I582" s="4"/>
      <c r="J582" s="19"/>
      <c r="K582" s="4"/>
      <c r="L582" s="4"/>
      <c r="M582" s="4"/>
      <c r="N582" s="4"/>
      <c r="O582" s="4"/>
      <c r="P582" s="4"/>
      <c r="Q582" s="4"/>
      <c r="R582" s="4"/>
      <c r="S582" s="4"/>
      <c r="T582" s="4"/>
      <c r="U582" s="4"/>
      <c r="V582" s="4"/>
      <c r="W582" s="4"/>
      <c r="X582" s="4"/>
      <c r="Y582" s="4"/>
      <c r="Z582" s="4"/>
      <c r="AA582" s="4"/>
      <c r="AB582" s="4"/>
      <c r="AC582" s="4"/>
      <c r="AD582" s="4"/>
      <c r="AE582" s="4"/>
      <c r="AF582" s="4"/>
    </row>
    <row r="583" spans="1:32" ht="15.75" customHeight="1">
      <c r="A583" s="4"/>
      <c r="B583" s="4"/>
      <c r="C583" s="4"/>
      <c r="D583" s="4"/>
      <c r="E583" s="4"/>
      <c r="F583" s="4"/>
      <c r="G583" s="4"/>
      <c r="H583" s="4"/>
      <c r="I583" s="4"/>
      <c r="J583" s="19"/>
      <c r="K583" s="4"/>
      <c r="L583" s="4"/>
      <c r="M583" s="4"/>
      <c r="N583" s="4"/>
      <c r="O583" s="4"/>
      <c r="P583" s="4"/>
      <c r="Q583" s="4"/>
      <c r="R583" s="4"/>
      <c r="S583" s="4"/>
      <c r="T583" s="4"/>
      <c r="U583" s="4"/>
      <c r="V583" s="4"/>
      <c r="W583" s="4"/>
      <c r="X583" s="4"/>
      <c r="Y583" s="4"/>
      <c r="Z583" s="4"/>
      <c r="AA583" s="4"/>
      <c r="AB583" s="4"/>
      <c r="AC583" s="4"/>
      <c r="AD583" s="4"/>
      <c r="AE583" s="4"/>
      <c r="AF583" s="4"/>
    </row>
    <row r="584" spans="1:32" ht="15.75" customHeight="1">
      <c r="A584" s="4"/>
      <c r="B584" s="4"/>
      <c r="C584" s="4"/>
      <c r="D584" s="4"/>
      <c r="E584" s="4"/>
      <c r="F584" s="4"/>
      <c r="G584" s="4"/>
      <c r="H584" s="4"/>
      <c r="I584" s="4"/>
      <c r="J584" s="19"/>
      <c r="K584" s="4"/>
      <c r="L584" s="4"/>
      <c r="M584" s="4"/>
      <c r="N584" s="4"/>
      <c r="O584" s="4"/>
      <c r="P584" s="4"/>
      <c r="Q584" s="4"/>
      <c r="R584" s="4"/>
      <c r="S584" s="4"/>
      <c r="T584" s="4"/>
      <c r="U584" s="4"/>
      <c r="V584" s="4"/>
      <c r="W584" s="4"/>
      <c r="X584" s="4"/>
      <c r="Y584" s="4"/>
      <c r="Z584" s="4"/>
      <c r="AA584" s="4"/>
      <c r="AB584" s="4"/>
      <c r="AC584" s="4"/>
      <c r="AD584" s="4"/>
      <c r="AE584" s="4"/>
      <c r="AF584" s="4"/>
    </row>
    <row r="585" spans="1:32" ht="15.75" customHeight="1">
      <c r="A585" s="4"/>
      <c r="B585" s="4"/>
      <c r="C585" s="4"/>
      <c r="D585" s="4"/>
      <c r="E585" s="4"/>
      <c r="F585" s="4"/>
      <c r="G585" s="4"/>
      <c r="H585" s="4"/>
      <c r="I585" s="4"/>
      <c r="J585" s="19"/>
      <c r="K585" s="4"/>
      <c r="L585" s="4"/>
      <c r="M585" s="4"/>
      <c r="N585" s="4"/>
      <c r="O585" s="4"/>
      <c r="P585" s="4"/>
      <c r="Q585" s="4"/>
      <c r="R585" s="4"/>
      <c r="S585" s="4"/>
      <c r="T585" s="4"/>
      <c r="U585" s="4"/>
      <c r="V585" s="4"/>
      <c r="W585" s="4"/>
      <c r="X585" s="4"/>
      <c r="Y585" s="4"/>
      <c r="Z585" s="4"/>
      <c r="AA585" s="4"/>
      <c r="AB585" s="4"/>
      <c r="AC585" s="4"/>
      <c r="AD585" s="4"/>
      <c r="AE585" s="4"/>
      <c r="AF585" s="4"/>
    </row>
    <row r="586" spans="1:32" ht="15.75" customHeight="1">
      <c r="A586" s="4"/>
      <c r="B586" s="4"/>
      <c r="C586" s="4"/>
      <c r="D586" s="4"/>
      <c r="E586" s="4"/>
      <c r="F586" s="4"/>
      <c r="G586" s="4"/>
      <c r="H586" s="4"/>
      <c r="I586" s="4"/>
      <c r="J586" s="19"/>
      <c r="K586" s="4"/>
      <c r="L586" s="4"/>
      <c r="M586" s="4"/>
      <c r="N586" s="4"/>
      <c r="O586" s="4"/>
      <c r="P586" s="4"/>
      <c r="Q586" s="4"/>
      <c r="R586" s="4"/>
      <c r="S586" s="4"/>
      <c r="T586" s="4"/>
      <c r="U586" s="4"/>
      <c r="V586" s="4"/>
      <c r="W586" s="4"/>
      <c r="X586" s="4"/>
      <c r="Y586" s="4"/>
      <c r="Z586" s="4"/>
      <c r="AA586" s="4"/>
      <c r="AB586" s="4"/>
      <c r="AC586" s="4"/>
      <c r="AD586" s="4"/>
      <c r="AE586" s="4"/>
      <c r="AF586" s="4"/>
    </row>
    <row r="587" spans="1:32" ht="15.75" customHeight="1">
      <c r="A587" s="4"/>
      <c r="B587" s="4"/>
      <c r="C587" s="4"/>
      <c r="D587" s="4"/>
      <c r="E587" s="4"/>
      <c r="F587" s="4"/>
      <c r="G587" s="4"/>
      <c r="H587" s="4"/>
      <c r="I587" s="4"/>
      <c r="J587" s="19"/>
      <c r="K587" s="4"/>
      <c r="L587" s="4"/>
      <c r="M587" s="4"/>
      <c r="N587" s="4"/>
      <c r="O587" s="4"/>
      <c r="P587" s="4"/>
      <c r="Q587" s="4"/>
      <c r="R587" s="4"/>
      <c r="S587" s="4"/>
      <c r="T587" s="4"/>
      <c r="U587" s="4"/>
      <c r="V587" s="4"/>
      <c r="W587" s="4"/>
      <c r="X587" s="4"/>
      <c r="Y587" s="4"/>
      <c r="Z587" s="4"/>
      <c r="AA587" s="4"/>
      <c r="AB587" s="4"/>
      <c r="AC587" s="4"/>
      <c r="AD587" s="4"/>
      <c r="AE587" s="4"/>
      <c r="AF587" s="4"/>
    </row>
    <row r="588" spans="1:32" ht="15.75" customHeight="1">
      <c r="A588" s="4"/>
      <c r="B588" s="4"/>
      <c r="C588" s="4"/>
      <c r="D588" s="4"/>
      <c r="E588" s="4"/>
      <c r="F588" s="4"/>
      <c r="G588" s="4"/>
      <c r="H588" s="4"/>
      <c r="I588" s="4"/>
      <c r="J588" s="19"/>
      <c r="K588" s="4"/>
      <c r="L588" s="4"/>
      <c r="M588" s="4"/>
      <c r="N588" s="4"/>
      <c r="O588" s="4"/>
      <c r="P588" s="4"/>
      <c r="Q588" s="4"/>
      <c r="R588" s="4"/>
      <c r="S588" s="4"/>
      <c r="T588" s="4"/>
      <c r="U588" s="4"/>
      <c r="V588" s="4"/>
      <c r="W588" s="4"/>
      <c r="X588" s="4"/>
      <c r="Y588" s="4"/>
      <c r="Z588" s="4"/>
      <c r="AA588" s="4"/>
      <c r="AB588" s="4"/>
      <c r="AC588" s="4"/>
      <c r="AD588" s="4"/>
      <c r="AE588" s="4"/>
      <c r="AF588" s="4"/>
    </row>
    <row r="589" spans="1:32" ht="15.75" customHeight="1">
      <c r="A589" s="4"/>
      <c r="B589" s="4"/>
      <c r="C589" s="4"/>
      <c r="D589" s="4"/>
      <c r="E589" s="4"/>
      <c r="F589" s="4"/>
      <c r="G589" s="4"/>
      <c r="H589" s="4"/>
      <c r="I589" s="4"/>
      <c r="J589" s="19"/>
      <c r="K589" s="4"/>
      <c r="L589" s="4"/>
      <c r="M589" s="4"/>
      <c r="N589" s="4"/>
      <c r="O589" s="4"/>
      <c r="P589" s="4"/>
      <c r="Q589" s="4"/>
      <c r="R589" s="4"/>
      <c r="S589" s="4"/>
      <c r="T589" s="4"/>
      <c r="U589" s="4"/>
      <c r="V589" s="4"/>
      <c r="W589" s="4"/>
      <c r="X589" s="4"/>
      <c r="Y589" s="4"/>
      <c r="Z589" s="4"/>
      <c r="AA589" s="4"/>
      <c r="AB589" s="4"/>
      <c r="AC589" s="4"/>
      <c r="AD589" s="4"/>
      <c r="AE589" s="4"/>
      <c r="AF589" s="4"/>
    </row>
    <row r="590" spans="1:32" ht="15.75" customHeight="1">
      <c r="A590" s="4"/>
      <c r="B590" s="4"/>
      <c r="C590" s="4"/>
      <c r="D590" s="4"/>
      <c r="E590" s="4"/>
      <c r="F590" s="4"/>
      <c r="G590" s="4"/>
      <c r="H590" s="4"/>
      <c r="I590" s="4"/>
      <c r="J590" s="19"/>
      <c r="K590" s="4"/>
      <c r="L590" s="4"/>
      <c r="M590" s="4"/>
      <c r="N590" s="4"/>
      <c r="O590" s="4"/>
      <c r="P590" s="4"/>
      <c r="Q590" s="4"/>
      <c r="R590" s="4"/>
      <c r="S590" s="4"/>
      <c r="T590" s="4"/>
      <c r="U590" s="4"/>
      <c r="V590" s="4"/>
      <c r="W590" s="4"/>
      <c r="X590" s="4"/>
      <c r="Y590" s="4"/>
      <c r="Z590" s="4"/>
      <c r="AA590" s="4"/>
      <c r="AB590" s="4"/>
      <c r="AC590" s="4"/>
      <c r="AD590" s="4"/>
      <c r="AE590" s="4"/>
      <c r="AF590" s="4"/>
    </row>
    <row r="591" spans="1:32" ht="15.75" customHeight="1">
      <c r="A591" s="4"/>
      <c r="B591" s="4"/>
      <c r="C591" s="4"/>
      <c r="D591" s="4"/>
      <c r="E591" s="4"/>
      <c r="F591" s="4"/>
      <c r="G591" s="4"/>
      <c r="H591" s="4"/>
      <c r="I591" s="4"/>
      <c r="J591" s="19"/>
      <c r="K591" s="4"/>
      <c r="L591" s="4"/>
      <c r="M591" s="4"/>
      <c r="N591" s="4"/>
      <c r="O591" s="4"/>
      <c r="P591" s="4"/>
      <c r="Q591" s="4"/>
      <c r="R591" s="4"/>
      <c r="S591" s="4"/>
      <c r="T591" s="4"/>
      <c r="U591" s="4"/>
      <c r="V591" s="4"/>
      <c r="W591" s="4"/>
      <c r="X591" s="4"/>
      <c r="Y591" s="4"/>
      <c r="Z591" s="4"/>
      <c r="AA591" s="4"/>
      <c r="AB591" s="4"/>
      <c r="AC591" s="4"/>
      <c r="AD591" s="4"/>
      <c r="AE591" s="4"/>
      <c r="AF591" s="4"/>
    </row>
    <row r="592" spans="1:32" ht="15.75" customHeight="1">
      <c r="A592" s="4"/>
      <c r="B592" s="4"/>
      <c r="C592" s="4"/>
      <c r="D592" s="4"/>
      <c r="E592" s="4"/>
      <c r="F592" s="4"/>
      <c r="G592" s="4"/>
      <c r="H592" s="4"/>
      <c r="I592" s="4"/>
      <c r="J592" s="19"/>
      <c r="K592" s="4"/>
      <c r="L592" s="4"/>
      <c r="M592" s="4"/>
      <c r="N592" s="4"/>
      <c r="O592" s="4"/>
      <c r="P592" s="4"/>
      <c r="Q592" s="4"/>
      <c r="R592" s="4"/>
      <c r="S592" s="4"/>
      <c r="T592" s="4"/>
      <c r="U592" s="4"/>
      <c r="V592" s="4"/>
      <c r="W592" s="4"/>
      <c r="X592" s="4"/>
      <c r="Y592" s="4"/>
      <c r="Z592" s="4"/>
      <c r="AA592" s="4"/>
      <c r="AB592" s="4"/>
      <c r="AC592" s="4"/>
      <c r="AD592" s="4"/>
      <c r="AE592" s="4"/>
      <c r="AF592" s="4"/>
    </row>
    <row r="593" spans="1:32" ht="15.75" customHeight="1">
      <c r="A593" s="4"/>
      <c r="B593" s="4"/>
      <c r="C593" s="4"/>
      <c r="D593" s="4"/>
      <c r="E593" s="4"/>
      <c r="F593" s="4"/>
      <c r="G593" s="4"/>
      <c r="H593" s="4"/>
      <c r="I593" s="4"/>
      <c r="J593" s="19"/>
      <c r="K593" s="4"/>
      <c r="L593" s="4"/>
      <c r="M593" s="4"/>
      <c r="N593" s="4"/>
      <c r="O593" s="4"/>
      <c r="P593" s="4"/>
      <c r="Q593" s="4"/>
      <c r="R593" s="4"/>
      <c r="S593" s="4"/>
      <c r="T593" s="4"/>
      <c r="U593" s="4"/>
      <c r="V593" s="4"/>
      <c r="W593" s="4"/>
      <c r="X593" s="4"/>
      <c r="Y593" s="4"/>
      <c r="Z593" s="4"/>
      <c r="AA593" s="4"/>
      <c r="AB593" s="4"/>
      <c r="AC593" s="4"/>
      <c r="AD593" s="4"/>
      <c r="AE593" s="4"/>
      <c r="AF593" s="4"/>
    </row>
    <row r="594" spans="1:32" ht="15.75" customHeight="1">
      <c r="A594" s="4"/>
      <c r="B594" s="4"/>
      <c r="C594" s="4"/>
      <c r="D594" s="4"/>
      <c r="E594" s="4"/>
      <c r="F594" s="4"/>
      <c r="G594" s="4"/>
      <c r="H594" s="4"/>
      <c r="I594" s="4"/>
      <c r="J594" s="19"/>
      <c r="K594" s="4"/>
      <c r="L594" s="4"/>
      <c r="M594" s="4"/>
      <c r="N594" s="4"/>
      <c r="O594" s="4"/>
      <c r="P594" s="4"/>
      <c r="Q594" s="4"/>
      <c r="R594" s="4"/>
      <c r="S594" s="4"/>
      <c r="T594" s="4"/>
      <c r="U594" s="4"/>
      <c r="V594" s="4"/>
      <c r="W594" s="4"/>
      <c r="X594" s="4"/>
      <c r="Y594" s="4"/>
      <c r="Z594" s="4"/>
      <c r="AA594" s="4"/>
      <c r="AB594" s="4"/>
      <c r="AC594" s="4"/>
      <c r="AD594" s="4"/>
      <c r="AE594" s="4"/>
      <c r="AF594" s="4"/>
    </row>
    <row r="595" spans="1:32" ht="15.75" customHeight="1">
      <c r="A595" s="4"/>
      <c r="B595" s="4"/>
      <c r="C595" s="4"/>
      <c r="D595" s="4"/>
      <c r="E595" s="4"/>
      <c r="F595" s="4"/>
      <c r="G595" s="4"/>
      <c r="H595" s="4"/>
      <c r="I595" s="4"/>
      <c r="J595" s="19"/>
      <c r="K595" s="4"/>
      <c r="L595" s="4"/>
      <c r="M595" s="4"/>
      <c r="N595" s="4"/>
      <c r="O595" s="4"/>
      <c r="P595" s="4"/>
      <c r="Q595" s="4"/>
      <c r="R595" s="4"/>
      <c r="S595" s="4"/>
      <c r="T595" s="4"/>
      <c r="U595" s="4"/>
      <c r="V595" s="4"/>
      <c r="W595" s="4"/>
      <c r="X595" s="4"/>
      <c r="Y595" s="4"/>
      <c r="Z595" s="4"/>
      <c r="AA595" s="4"/>
      <c r="AB595" s="4"/>
      <c r="AC595" s="4"/>
      <c r="AD595" s="4"/>
      <c r="AE595" s="4"/>
      <c r="AF595" s="4"/>
    </row>
    <row r="596" spans="1:32" ht="15.75" customHeight="1">
      <c r="A596" s="4"/>
      <c r="B596" s="4"/>
      <c r="C596" s="4"/>
      <c r="D596" s="4"/>
      <c r="E596" s="4"/>
      <c r="F596" s="4"/>
      <c r="G596" s="4"/>
      <c r="H596" s="4"/>
      <c r="I596" s="4"/>
      <c r="J596" s="19"/>
      <c r="K596" s="4"/>
      <c r="L596" s="4"/>
      <c r="M596" s="4"/>
      <c r="N596" s="4"/>
      <c r="O596" s="4"/>
      <c r="P596" s="4"/>
      <c r="Q596" s="4"/>
      <c r="R596" s="4"/>
      <c r="S596" s="4"/>
      <c r="T596" s="4"/>
      <c r="U596" s="4"/>
      <c r="V596" s="4"/>
      <c r="W596" s="4"/>
      <c r="X596" s="4"/>
      <c r="Y596" s="4"/>
      <c r="Z596" s="4"/>
      <c r="AA596" s="4"/>
      <c r="AB596" s="4"/>
      <c r="AC596" s="4"/>
      <c r="AD596" s="4"/>
      <c r="AE596" s="4"/>
      <c r="AF596" s="4"/>
    </row>
    <row r="597" spans="1:32" ht="15.75" customHeight="1">
      <c r="A597" s="4"/>
      <c r="B597" s="4"/>
      <c r="C597" s="4"/>
      <c r="D597" s="4"/>
      <c r="E597" s="4"/>
      <c r="F597" s="4"/>
      <c r="G597" s="4"/>
      <c r="H597" s="4"/>
      <c r="I597" s="4"/>
      <c r="J597" s="19"/>
      <c r="K597" s="4"/>
      <c r="L597" s="4"/>
      <c r="M597" s="4"/>
      <c r="N597" s="4"/>
      <c r="O597" s="4"/>
      <c r="P597" s="4"/>
      <c r="Q597" s="4"/>
      <c r="R597" s="4"/>
      <c r="S597" s="4"/>
      <c r="T597" s="4"/>
      <c r="U597" s="4"/>
      <c r="V597" s="4"/>
      <c r="W597" s="4"/>
      <c r="X597" s="4"/>
      <c r="Y597" s="4"/>
      <c r="Z597" s="4"/>
      <c r="AA597" s="4"/>
      <c r="AB597" s="4"/>
      <c r="AC597" s="4"/>
      <c r="AD597" s="4"/>
      <c r="AE597" s="4"/>
      <c r="AF597" s="4"/>
    </row>
    <row r="598" spans="1:32" ht="15.75" customHeight="1">
      <c r="A598" s="4"/>
      <c r="B598" s="4"/>
      <c r="C598" s="4"/>
      <c r="D598" s="4"/>
      <c r="E598" s="4"/>
      <c r="F598" s="4"/>
      <c r="G598" s="4"/>
      <c r="H598" s="4"/>
      <c r="I598" s="4"/>
      <c r="J598" s="19"/>
      <c r="K598" s="4"/>
      <c r="L598" s="4"/>
      <c r="M598" s="4"/>
      <c r="N598" s="4"/>
      <c r="O598" s="4"/>
      <c r="P598" s="4"/>
      <c r="Q598" s="4"/>
      <c r="R598" s="4"/>
      <c r="S598" s="4"/>
      <c r="T598" s="4"/>
      <c r="U598" s="4"/>
      <c r="V598" s="4"/>
      <c r="W598" s="4"/>
      <c r="X598" s="4"/>
      <c r="Y598" s="4"/>
      <c r="Z598" s="4"/>
      <c r="AA598" s="4"/>
      <c r="AB598" s="4"/>
      <c r="AC598" s="4"/>
      <c r="AD598" s="4"/>
      <c r="AE598" s="4"/>
      <c r="AF598" s="4"/>
    </row>
    <row r="599" spans="1:32" ht="15.75" customHeight="1">
      <c r="A599" s="4"/>
      <c r="B599" s="4"/>
      <c r="C599" s="4"/>
      <c r="D599" s="4"/>
      <c r="E599" s="4"/>
      <c r="F599" s="4"/>
      <c r="G599" s="4"/>
      <c r="H599" s="4"/>
      <c r="I599" s="4"/>
      <c r="J599" s="19"/>
      <c r="K599" s="4"/>
      <c r="L599" s="4"/>
      <c r="M599" s="4"/>
      <c r="N599" s="4"/>
      <c r="O599" s="4"/>
      <c r="P599" s="4"/>
      <c r="Q599" s="4"/>
      <c r="R599" s="4"/>
      <c r="S599" s="4"/>
      <c r="T599" s="4"/>
      <c r="U599" s="4"/>
      <c r="V599" s="4"/>
      <c r="W599" s="4"/>
      <c r="X599" s="4"/>
      <c r="Y599" s="4"/>
      <c r="Z599" s="4"/>
      <c r="AA599" s="4"/>
      <c r="AB599" s="4"/>
      <c r="AC599" s="4"/>
      <c r="AD599" s="4"/>
      <c r="AE599" s="4"/>
      <c r="AF599" s="4"/>
    </row>
    <row r="600" spans="1:32" ht="15.75" customHeight="1">
      <c r="A600" s="4"/>
      <c r="B600" s="4"/>
      <c r="C600" s="4"/>
      <c r="D600" s="4"/>
      <c r="E600" s="4"/>
      <c r="F600" s="4"/>
      <c r="G600" s="4"/>
      <c r="H600" s="4"/>
      <c r="I600" s="4"/>
      <c r="J600" s="19"/>
      <c r="K600" s="4"/>
      <c r="L600" s="4"/>
      <c r="M600" s="4"/>
      <c r="N600" s="4"/>
      <c r="O600" s="4"/>
      <c r="P600" s="4"/>
      <c r="Q600" s="4"/>
      <c r="R600" s="4"/>
      <c r="S600" s="4"/>
      <c r="T600" s="4"/>
      <c r="U600" s="4"/>
      <c r="V600" s="4"/>
      <c r="W600" s="4"/>
      <c r="X600" s="4"/>
      <c r="Y600" s="4"/>
      <c r="Z600" s="4"/>
      <c r="AA600" s="4"/>
      <c r="AB600" s="4"/>
      <c r="AC600" s="4"/>
      <c r="AD600" s="4"/>
      <c r="AE600" s="4"/>
      <c r="AF600" s="4"/>
    </row>
    <row r="601" spans="1:32" ht="15.75" customHeight="1">
      <c r="A601" s="4"/>
      <c r="B601" s="4"/>
      <c r="C601" s="4"/>
      <c r="D601" s="4"/>
      <c r="E601" s="4"/>
      <c r="F601" s="4"/>
      <c r="G601" s="4"/>
      <c r="H601" s="4"/>
      <c r="I601" s="4"/>
      <c r="J601" s="19"/>
      <c r="K601" s="4"/>
      <c r="L601" s="4"/>
      <c r="M601" s="4"/>
      <c r="N601" s="4"/>
      <c r="O601" s="4"/>
      <c r="P601" s="4"/>
      <c r="Q601" s="4"/>
      <c r="R601" s="4"/>
      <c r="S601" s="4"/>
      <c r="T601" s="4"/>
      <c r="U601" s="4"/>
      <c r="V601" s="4"/>
      <c r="W601" s="4"/>
      <c r="X601" s="4"/>
      <c r="Y601" s="4"/>
      <c r="Z601" s="4"/>
      <c r="AA601" s="4"/>
      <c r="AB601" s="4"/>
      <c r="AC601" s="4"/>
      <c r="AD601" s="4"/>
      <c r="AE601" s="4"/>
      <c r="AF601" s="4"/>
    </row>
    <row r="602" spans="1:32" ht="15.75" customHeight="1">
      <c r="A602" s="4"/>
      <c r="B602" s="4"/>
      <c r="C602" s="4"/>
      <c r="D602" s="4"/>
      <c r="E602" s="4"/>
      <c r="F602" s="4"/>
      <c r="G602" s="4"/>
      <c r="H602" s="4"/>
      <c r="I602" s="4"/>
      <c r="J602" s="19"/>
      <c r="K602" s="4"/>
      <c r="L602" s="4"/>
      <c r="M602" s="4"/>
      <c r="N602" s="4"/>
      <c r="O602" s="4"/>
      <c r="P602" s="4"/>
      <c r="Q602" s="4"/>
      <c r="R602" s="4"/>
      <c r="S602" s="4"/>
      <c r="T602" s="4"/>
      <c r="U602" s="4"/>
      <c r="V602" s="4"/>
      <c r="W602" s="4"/>
      <c r="X602" s="4"/>
      <c r="Y602" s="4"/>
      <c r="Z602" s="4"/>
      <c r="AA602" s="4"/>
      <c r="AB602" s="4"/>
      <c r="AC602" s="4"/>
      <c r="AD602" s="4"/>
      <c r="AE602" s="4"/>
      <c r="AF602" s="4"/>
    </row>
    <row r="603" spans="1:32" ht="15.75" customHeight="1">
      <c r="A603" s="4"/>
      <c r="B603" s="4"/>
      <c r="C603" s="4"/>
      <c r="D603" s="4"/>
      <c r="E603" s="4"/>
      <c r="F603" s="4"/>
      <c r="G603" s="4"/>
      <c r="H603" s="4"/>
      <c r="I603" s="4"/>
      <c r="J603" s="19"/>
      <c r="K603" s="4"/>
      <c r="L603" s="4"/>
      <c r="M603" s="4"/>
      <c r="N603" s="4"/>
      <c r="O603" s="4"/>
      <c r="P603" s="4"/>
      <c r="Q603" s="4"/>
      <c r="R603" s="4"/>
      <c r="S603" s="4"/>
      <c r="T603" s="4"/>
      <c r="U603" s="4"/>
      <c r="V603" s="4"/>
      <c r="W603" s="4"/>
      <c r="X603" s="4"/>
      <c r="Y603" s="4"/>
      <c r="Z603" s="4"/>
      <c r="AA603" s="4"/>
      <c r="AB603" s="4"/>
      <c r="AC603" s="4"/>
      <c r="AD603" s="4"/>
      <c r="AE603" s="4"/>
      <c r="AF603" s="4"/>
    </row>
    <row r="604" spans="1:32" ht="15.75" customHeight="1">
      <c r="A604" s="4"/>
      <c r="B604" s="4"/>
      <c r="C604" s="4"/>
      <c r="D604" s="4"/>
      <c r="E604" s="4"/>
      <c r="F604" s="4"/>
      <c r="G604" s="4"/>
      <c r="H604" s="4"/>
      <c r="I604" s="4"/>
      <c r="J604" s="19"/>
      <c r="K604" s="4"/>
      <c r="L604" s="4"/>
      <c r="M604" s="4"/>
      <c r="N604" s="4"/>
      <c r="O604" s="4"/>
      <c r="P604" s="4"/>
      <c r="Q604" s="4"/>
      <c r="R604" s="4"/>
      <c r="S604" s="4"/>
      <c r="T604" s="4"/>
      <c r="U604" s="4"/>
      <c r="V604" s="4"/>
      <c r="W604" s="4"/>
      <c r="X604" s="4"/>
      <c r="Y604" s="4"/>
      <c r="Z604" s="4"/>
      <c r="AA604" s="4"/>
      <c r="AB604" s="4"/>
      <c r="AC604" s="4"/>
      <c r="AD604" s="4"/>
      <c r="AE604" s="4"/>
      <c r="AF604" s="4"/>
    </row>
    <row r="605" spans="1:32" ht="15.75" customHeight="1">
      <c r="A605" s="4"/>
      <c r="B605" s="4"/>
      <c r="C605" s="4"/>
      <c r="D605" s="4"/>
      <c r="E605" s="4"/>
      <c r="F605" s="4"/>
      <c r="G605" s="4"/>
      <c r="H605" s="4"/>
      <c r="I605" s="4"/>
      <c r="J605" s="19"/>
      <c r="K605" s="4"/>
      <c r="L605" s="4"/>
      <c r="M605" s="4"/>
      <c r="N605" s="4"/>
      <c r="O605" s="4"/>
      <c r="P605" s="4"/>
      <c r="Q605" s="4"/>
      <c r="R605" s="4"/>
      <c r="S605" s="4"/>
      <c r="T605" s="4"/>
      <c r="U605" s="4"/>
      <c r="V605" s="4"/>
      <c r="W605" s="4"/>
      <c r="X605" s="4"/>
      <c r="Y605" s="4"/>
      <c r="Z605" s="4"/>
      <c r="AA605" s="4"/>
      <c r="AB605" s="4"/>
      <c r="AC605" s="4"/>
      <c r="AD605" s="4"/>
      <c r="AE605" s="4"/>
      <c r="AF605" s="4"/>
    </row>
    <row r="606" spans="1:32" ht="15.75" customHeight="1">
      <c r="A606" s="4"/>
      <c r="B606" s="4"/>
      <c r="C606" s="4"/>
      <c r="D606" s="4"/>
      <c r="E606" s="4"/>
      <c r="F606" s="4"/>
      <c r="G606" s="4"/>
      <c r="H606" s="4"/>
      <c r="I606" s="4"/>
      <c r="J606" s="19"/>
      <c r="K606" s="4"/>
      <c r="L606" s="4"/>
      <c r="M606" s="4"/>
      <c r="N606" s="4"/>
      <c r="O606" s="4"/>
      <c r="P606" s="4"/>
      <c r="Q606" s="4"/>
      <c r="R606" s="4"/>
      <c r="S606" s="4"/>
      <c r="T606" s="4"/>
      <c r="U606" s="4"/>
      <c r="V606" s="4"/>
      <c r="W606" s="4"/>
      <c r="X606" s="4"/>
      <c r="Y606" s="4"/>
      <c r="Z606" s="4"/>
      <c r="AA606" s="4"/>
      <c r="AB606" s="4"/>
      <c r="AC606" s="4"/>
      <c r="AD606" s="4"/>
      <c r="AE606" s="4"/>
      <c r="AF606" s="4"/>
    </row>
    <row r="607" spans="1:32" ht="15.75" customHeight="1">
      <c r="A607" s="4"/>
      <c r="B607" s="4"/>
      <c r="C607" s="4"/>
      <c r="D607" s="4"/>
      <c r="E607" s="4"/>
      <c r="F607" s="4"/>
      <c r="G607" s="4"/>
      <c r="H607" s="4"/>
      <c r="I607" s="4"/>
      <c r="J607" s="19"/>
      <c r="K607" s="4"/>
      <c r="L607" s="4"/>
      <c r="M607" s="4"/>
      <c r="N607" s="4"/>
      <c r="O607" s="4"/>
      <c r="P607" s="4"/>
      <c r="Q607" s="4"/>
      <c r="R607" s="4"/>
      <c r="S607" s="4"/>
      <c r="T607" s="4"/>
      <c r="U607" s="4"/>
      <c r="V607" s="4"/>
      <c r="W607" s="4"/>
      <c r="X607" s="4"/>
      <c r="Y607" s="4"/>
      <c r="Z607" s="4"/>
      <c r="AA607" s="4"/>
      <c r="AB607" s="4"/>
      <c r="AC607" s="4"/>
      <c r="AD607" s="4"/>
      <c r="AE607" s="4"/>
      <c r="AF607" s="4"/>
    </row>
    <row r="608" spans="1:32" ht="15.75" customHeight="1">
      <c r="A608" s="4"/>
      <c r="B608" s="4"/>
      <c r="C608" s="4"/>
      <c r="D608" s="4"/>
      <c r="E608" s="4"/>
      <c r="F608" s="4"/>
      <c r="G608" s="4"/>
      <c r="H608" s="4"/>
      <c r="I608" s="4"/>
      <c r="J608" s="19"/>
      <c r="K608" s="4"/>
      <c r="L608" s="4"/>
      <c r="M608" s="4"/>
      <c r="N608" s="4"/>
      <c r="O608" s="4"/>
      <c r="P608" s="4"/>
      <c r="Q608" s="4"/>
      <c r="R608" s="4"/>
      <c r="S608" s="4"/>
      <c r="T608" s="4"/>
      <c r="U608" s="4"/>
      <c r="V608" s="4"/>
      <c r="W608" s="4"/>
      <c r="X608" s="4"/>
      <c r="Y608" s="4"/>
      <c r="Z608" s="4"/>
      <c r="AA608" s="4"/>
      <c r="AB608" s="4"/>
      <c r="AC608" s="4"/>
      <c r="AD608" s="4"/>
      <c r="AE608" s="4"/>
      <c r="AF608" s="4"/>
    </row>
    <row r="609" spans="1:32" ht="15.75" customHeight="1">
      <c r="A609" s="4"/>
      <c r="B609" s="4"/>
      <c r="C609" s="4"/>
      <c r="D609" s="4"/>
      <c r="E609" s="4"/>
      <c r="F609" s="4"/>
      <c r="G609" s="4"/>
      <c r="H609" s="4"/>
      <c r="I609" s="4"/>
      <c r="J609" s="19"/>
      <c r="K609" s="4"/>
      <c r="L609" s="4"/>
      <c r="M609" s="4"/>
      <c r="N609" s="4"/>
      <c r="O609" s="4"/>
      <c r="P609" s="4"/>
      <c r="Q609" s="4"/>
      <c r="R609" s="4"/>
      <c r="S609" s="4"/>
      <c r="T609" s="4"/>
      <c r="U609" s="4"/>
      <c r="V609" s="4"/>
      <c r="W609" s="4"/>
      <c r="X609" s="4"/>
      <c r="Y609" s="4"/>
      <c r="Z609" s="4"/>
      <c r="AA609" s="4"/>
      <c r="AB609" s="4"/>
      <c r="AC609" s="4"/>
      <c r="AD609" s="4"/>
      <c r="AE609" s="4"/>
      <c r="AF609" s="4"/>
    </row>
    <row r="610" spans="1:32" ht="15.75" customHeight="1">
      <c r="A610" s="4"/>
      <c r="B610" s="4"/>
      <c r="C610" s="4"/>
      <c r="D610" s="4"/>
      <c r="E610" s="4"/>
      <c r="F610" s="4"/>
      <c r="G610" s="4"/>
      <c r="H610" s="4"/>
      <c r="I610" s="4"/>
      <c r="J610" s="19"/>
      <c r="K610" s="4"/>
      <c r="L610" s="4"/>
      <c r="M610" s="4"/>
      <c r="N610" s="4"/>
      <c r="O610" s="4"/>
      <c r="P610" s="4"/>
      <c r="Q610" s="4"/>
      <c r="R610" s="4"/>
      <c r="S610" s="4"/>
      <c r="T610" s="4"/>
      <c r="U610" s="4"/>
      <c r="V610" s="4"/>
      <c r="W610" s="4"/>
      <c r="X610" s="4"/>
      <c r="Y610" s="4"/>
      <c r="Z610" s="4"/>
      <c r="AA610" s="4"/>
      <c r="AB610" s="4"/>
      <c r="AC610" s="4"/>
      <c r="AD610" s="4"/>
      <c r="AE610" s="4"/>
      <c r="AF610" s="4"/>
    </row>
    <row r="611" spans="1:32" ht="15.75" customHeight="1">
      <c r="A611" s="4"/>
      <c r="B611" s="4"/>
      <c r="C611" s="4"/>
      <c r="D611" s="4"/>
      <c r="E611" s="4"/>
      <c r="F611" s="4"/>
      <c r="G611" s="4"/>
      <c r="H611" s="4"/>
      <c r="I611" s="4"/>
      <c r="J611" s="19"/>
      <c r="K611" s="4"/>
      <c r="L611" s="4"/>
      <c r="M611" s="4"/>
      <c r="N611" s="4"/>
      <c r="O611" s="4"/>
      <c r="P611" s="4"/>
      <c r="Q611" s="4"/>
      <c r="R611" s="4"/>
      <c r="S611" s="4"/>
      <c r="T611" s="4"/>
      <c r="U611" s="4"/>
      <c r="V611" s="4"/>
      <c r="W611" s="4"/>
      <c r="X611" s="4"/>
      <c r="Y611" s="4"/>
      <c r="Z611" s="4"/>
      <c r="AA611" s="4"/>
      <c r="AB611" s="4"/>
      <c r="AC611" s="4"/>
      <c r="AD611" s="4"/>
      <c r="AE611" s="4"/>
      <c r="AF611" s="4"/>
    </row>
    <row r="612" spans="1:32" ht="15.75" customHeight="1">
      <c r="A612" s="4"/>
      <c r="B612" s="4"/>
      <c r="C612" s="4"/>
      <c r="D612" s="4"/>
      <c r="E612" s="4"/>
      <c r="F612" s="4"/>
      <c r="G612" s="4"/>
      <c r="H612" s="4"/>
      <c r="I612" s="4"/>
      <c r="J612" s="19"/>
      <c r="K612" s="4"/>
      <c r="L612" s="4"/>
      <c r="M612" s="4"/>
      <c r="N612" s="4"/>
      <c r="O612" s="4"/>
      <c r="P612" s="4"/>
      <c r="Q612" s="4"/>
      <c r="R612" s="4"/>
      <c r="S612" s="4"/>
      <c r="T612" s="4"/>
      <c r="U612" s="4"/>
      <c r="V612" s="4"/>
      <c r="W612" s="4"/>
      <c r="X612" s="4"/>
      <c r="Y612" s="4"/>
      <c r="Z612" s="4"/>
      <c r="AA612" s="4"/>
      <c r="AB612" s="4"/>
      <c r="AC612" s="4"/>
      <c r="AD612" s="4"/>
      <c r="AE612" s="4"/>
      <c r="AF612" s="4"/>
    </row>
    <row r="613" spans="1:32" ht="15.75" customHeight="1">
      <c r="A613" s="4"/>
      <c r="B613" s="4"/>
      <c r="C613" s="4"/>
      <c r="D613" s="4"/>
      <c r="E613" s="4"/>
      <c r="F613" s="4"/>
      <c r="G613" s="4"/>
      <c r="H613" s="4"/>
      <c r="I613" s="4"/>
      <c r="J613" s="19"/>
      <c r="K613" s="4"/>
      <c r="L613" s="4"/>
      <c r="M613" s="4"/>
      <c r="N613" s="4"/>
      <c r="O613" s="4"/>
      <c r="P613" s="4"/>
      <c r="Q613" s="4"/>
      <c r="R613" s="4"/>
      <c r="S613" s="4"/>
      <c r="T613" s="4"/>
      <c r="U613" s="4"/>
      <c r="V613" s="4"/>
      <c r="W613" s="4"/>
      <c r="X613" s="4"/>
      <c r="Y613" s="4"/>
      <c r="Z613" s="4"/>
      <c r="AA613" s="4"/>
      <c r="AB613" s="4"/>
      <c r="AC613" s="4"/>
      <c r="AD613" s="4"/>
      <c r="AE613" s="4"/>
      <c r="AF613" s="4"/>
    </row>
    <row r="614" spans="1:32" ht="15.75" customHeight="1">
      <c r="A614" s="4"/>
      <c r="B614" s="4"/>
      <c r="C614" s="4"/>
      <c r="D614" s="4"/>
      <c r="E614" s="4"/>
      <c r="F614" s="4"/>
      <c r="G614" s="4"/>
      <c r="H614" s="4"/>
      <c r="I614" s="4"/>
      <c r="J614" s="19"/>
      <c r="K614" s="4"/>
      <c r="L614" s="4"/>
      <c r="M614" s="4"/>
      <c r="N614" s="4"/>
      <c r="O614" s="4"/>
      <c r="P614" s="4"/>
      <c r="Q614" s="4"/>
      <c r="R614" s="4"/>
      <c r="S614" s="4"/>
      <c r="T614" s="4"/>
      <c r="U614" s="4"/>
      <c r="V614" s="4"/>
      <c r="W614" s="4"/>
      <c r="X614" s="4"/>
      <c r="Y614" s="4"/>
      <c r="Z614" s="4"/>
      <c r="AA614" s="4"/>
      <c r="AB614" s="4"/>
      <c r="AC614" s="4"/>
      <c r="AD614" s="4"/>
      <c r="AE614" s="4"/>
      <c r="AF614" s="4"/>
    </row>
    <row r="615" spans="1:32" ht="15.75" customHeight="1">
      <c r="A615" s="4"/>
      <c r="B615" s="4"/>
      <c r="C615" s="4"/>
      <c r="D615" s="4"/>
      <c r="E615" s="4"/>
      <c r="F615" s="4"/>
      <c r="G615" s="4"/>
      <c r="H615" s="4"/>
      <c r="I615" s="4"/>
      <c r="J615" s="19"/>
      <c r="K615" s="4"/>
      <c r="L615" s="4"/>
      <c r="M615" s="4"/>
      <c r="N615" s="4"/>
      <c r="O615" s="4"/>
      <c r="P615" s="4"/>
      <c r="Q615" s="4"/>
      <c r="R615" s="4"/>
      <c r="S615" s="4"/>
      <c r="T615" s="4"/>
      <c r="U615" s="4"/>
      <c r="V615" s="4"/>
      <c r="W615" s="4"/>
      <c r="X615" s="4"/>
      <c r="Y615" s="4"/>
      <c r="Z615" s="4"/>
      <c r="AA615" s="4"/>
      <c r="AB615" s="4"/>
      <c r="AC615" s="4"/>
      <c r="AD615" s="4"/>
      <c r="AE615" s="4"/>
      <c r="AF615" s="4"/>
    </row>
    <row r="616" spans="1:32" ht="15.75" customHeight="1">
      <c r="A616" s="4"/>
      <c r="B616" s="4"/>
      <c r="C616" s="4"/>
      <c r="D616" s="4"/>
      <c r="E616" s="4"/>
      <c r="F616" s="4"/>
      <c r="G616" s="4"/>
      <c r="H616" s="4"/>
      <c r="I616" s="4"/>
      <c r="J616" s="19"/>
      <c r="K616" s="4"/>
      <c r="L616" s="4"/>
      <c r="M616" s="4"/>
      <c r="N616" s="4"/>
      <c r="O616" s="4"/>
      <c r="P616" s="4"/>
      <c r="Q616" s="4"/>
      <c r="R616" s="4"/>
      <c r="S616" s="4"/>
      <c r="T616" s="4"/>
      <c r="U616" s="4"/>
      <c r="V616" s="4"/>
      <c r="W616" s="4"/>
      <c r="X616" s="4"/>
      <c r="Y616" s="4"/>
      <c r="Z616" s="4"/>
      <c r="AA616" s="4"/>
      <c r="AB616" s="4"/>
      <c r="AC616" s="4"/>
      <c r="AD616" s="4"/>
      <c r="AE616" s="4"/>
      <c r="AF616" s="4"/>
    </row>
    <row r="617" spans="1:32" ht="15.75" customHeight="1">
      <c r="A617" s="4"/>
      <c r="B617" s="4"/>
      <c r="C617" s="4"/>
      <c r="D617" s="4"/>
      <c r="E617" s="4"/>
      <c r="F617" s="4"/>
      <c r="G617" s="4"/>
      <c r="H617" s="4"/>
      <c r="I617" s="4"/>
      <c r="J617" s="19"/>
      <c r="K617" s="4"/>
      <c r="L617" s="4"/>
      <c r="M617" s="4"/>
      <c r="N617" s="4"/>
      <c r="O617" s="4"/>
      <c r="P617" s="4"/>
      <c r="Q617" s="4"/>
      <c r="R617" s="4"/>
      <c r="S617" s="4"/>
      <c r="T617" s="4"/>
      <c r="U617" s="4"/>
      <c r="V617" s="4"/>
      <c r="W617" s="4"/>
      <c r="X617" s="4"/>
      <c r="Y617" s="4"/>
      <c r="Z617" s="4"/>
      <c r="AA617" s="4"/>
      <c r="AB617" s="4"/>
      <c r="AC617" s="4"/>
      <c r="AD617" s="4"/>
      <c r="AE617" s="4"/>
      <c r="AF617" s="4"/>
    </row>
    <row r="618" spans="1:32" ht="15.75" customHeight="1">
      <c r="A618" s="4"/>
      <c r="B618" s="4"/>
      <c r="C618" s="4"/>
      <c r="D618" s="4"/>
      <c r="E618" s="4"/>
      <c r="F618" s="4"/>
      <c r="G618" s="4"/>
      <c r="H618" s="4"/>
      <c r="I618" s="4"/>
      <c r="J618" s="19"/>
      <c r="K618" s="4"/>
      <c r="L618" s="4"/>
      <c r="M618" s="4"/>
      <c r="N618" s="4"/>
      <c r="O618" s="4"/>
      <c r="P618" s="4"/>
      <c r="Q618" s="4"/>
      <c r="R618" s="4"/>
      <c r="S618" s="4"/>
      <c r="T618" s="4"/>
      <c r="U618" s="4"/>
      <c r="V618" s="4"/>
      <c r="W618" s="4"/>
      <c r="X618" s="4"/>
      <c r="Y618" s="4"/>
      <c r="Z618" s="4"/>
      <c r="AA618" s="4"/>
      <c r="AB618" s="4"/>
      <c r="AC618" s="4"/>
      <c r="AD618" s="4"/>
      <c r="AE618" s="4"/>
      <c r="AF618" s="4"/>
    </row>
    <row r="619" spans="1:32" ht="15.75" customHeight="1">
      <c r="A619" s="4"/>
      <c r="B619" s="4"/>
      <c r="C619" s="4"/>
      <c r="D619" s="4"/>
      <c r="E619" s="4"/>
      <c r="F619" s="4"/>
      <c r="G619" s="4"/>
      <c r="H619" s="4"/>
      <c r="I619" s="4"/>
      <c r="J619" s="19"/>
      <c r="K619" s="4"/>
      <c r="L619" s="4"/>
      <c r="M619" s="4"/>
      <c r="N619" s="4"/>
      <c r="O619" s="4"/>
      <c r="P619" s="4"/>
      <c r="Q619" s="4"/>
      <c r="R619" s="4"/>
      <c r="S619" s="4"/>
      <c r="T619" s="4"/>
      <c r="U619" s="4"/>
      <c r="V619" s="4"/>
      <c r="W619" s="4"/>
      <c r="X619" s="4"/>
      <c r="Y619" s="4"/>
      <c r="Z619" s="4"/>
      <c r="AA619" s="4"/>
      <c r="AB619" s="4"/>
      <c r="AC619" s="4"/>
      <c r="AD619" s="4"/>
      <c r="AE619" s="4"/>
      <c r="AF619" s="4"/>
    </row>
    <row r="620" spans="1:32" ht="15.75" customHeight="1">
      <c r="A620" s="4"/>
      <c r="B620" s="4"/>
      <c r="C620" s="4"/>
      <c r="D620" s="4"/>
      <c r="E620" s="4"/>
      <c r="F620" s="4"/>
      <c r="G620" s="4"/>
      <c r="H620" s="4"/>
      <c r="I620" s="4"/>
      <c r="J620" s="19"/>
      <c r="K620" s="4"/>
      <c r="L620" s="4"/>
      <c r="M620" s="4"/>
      <c r="N620" s="4"/>
      <c r="O620" s="4"/>
      <c r="P620" s="4"/>
      <c r="Q620" s="4"/>
      <c r="R620" s="4"/>
      <c r="S620" s="4"/>
      <c r="T620" s="4"/>
      <c r="U620" s="4"/>
      <c r="V620" s="4"/>
      <c r="W620" s="4"/>
      <c r="X620" s="4"/>
      <c r="Y620" s="4"/>
      <c r="Z620" s="4"/>
      <c r="AA620" s="4"/>
      <c r="AB620" s="4"/>
      <c r="AC620" s="4"/>
      <c r="AD620" s="4"/>
      <c r="AE620" s="4"/>
      <c r="AF620" s="4"/>
    </row>
    <row r="621" spans="1:32" ht="15.75" customHeight="1">
      <c r="A621" s="4"/>
      <c r="B621" s="4"/>
      <c r="C621" s="4"/>
      <c r="D621" s="4"/>
      <c r="E621" s="4"/>
      <c r="F621" s="4"/>
      <c r="G621" s="4"/>
      <c r="H621" s="4"/>
      <c r="I621" s="4"/>
      <c r="J621" s="19"/>
      <c r="K621" s="4"/>
      <c r="L621" s="4"/>
      <c r="M621" s="4"/>
      <c r="N621" s="4"/>
      <c r="O621" s="4"/>
      <c r="P621" s="4"/>
      <c r="Q621" s="4"/>
      <c r="R621" s="4"/>
      <c r="S621" s="4"/>
      <c r="T621" s="4"/>
      <c r="U621" s="4"/>
      <c r="V621" s="4"/>
      <c r="W621" s="4"/>
      <c r="X621" s="4"/>
      <c r="Y621" s="4"/>
      <c r="Z621" s="4"/>
      <c r="AA621" s="4"/>
      <c r="AB621" s="4"/>
      <c r="AC621" s="4"/>
      <c r="AD621" s="4"/>
      <c r="AE621" s="4"/>
      <c r="AF621" s="4"/>
    </row>
    <row r="622" spans="1:32" ht="15.75" customHeight="1">
      <c r="A622" s="4"/>
      <c r="B622" s="4"/>
      <c r="C622" s="4"/>
      <c r="D622" s="4"/>
      <c r="E622" s="4"/>
      <c r="F622" s="4"/>
      <c r="G622" s="4"/>
      <c r="H622" s="4"/>
      <c r="I622" s="4"/>
      <c r="J622" s="19"/>
      <c r="K622" s="4"/>
      <c r="L622" s="4"/>
      <c r="M622" s="4"/>
      <c r="N622" s="4"/>
      <c r="O622" s="4"/>
      <c r="P622" s="4"/>
      <c r="Q622" s="4"/>
      <c r="R622" s="4"/>
      <c r="S622" s="4"/>
      <c r="T622" s="4"/>
      <c r="U622" s="4"/>
      <c r="V622" s="4"/>
      <c r="W622" s="4"/>
      <c r="X622" s="4"/>
      <c r="Y622" s="4"/>
      <c r="Z622" s="4"/>
      <c r="AA622" s="4"/>
      <c r="AB622" s="4"/>
      <c r="AC622" s="4"/>
      <c r="AD622" s="4"/>
      <c r="AE622" s="4"/>
      <c r="AF622" s="4"/>
    </row>
    <row r="623" spans="1:32" ht="15.75" customHeight="1">
      <c r="A623" s="4"/>
      <c r="B623" s="4"/>
      <c r="C623" s="4"/>
      <c r="D623" s="4"/>
      <c r="E623" s="4"/>
      <c r="F623" s="4"/>
      <c r="G623" s="4"/>
      <c r="H623" s="4"/>
      <c r="I623" s="4"/>
      <c r="J623" s="19"/>
      <c r="K623" s="4"/>
      <c r="L623" s="4"/>
      <c r="M623" s="4"/>
      <c r="N623" s="4"/>
      <c r="O623" s="4"/>
      <c r="P623" s="4"/>
      <c r="Q623" s="4"/>
      <c r="R623" s="4"/>
      <c r="S623" s="4"/>
      <c r="T623" s="4"/>
      <c r="U623" s="4"/>
      <c r="V623" s="4"/>
      <c r="W623" s="4"/>
      <c r="X623" s="4"/>
      <c r="Y623" s="4"/>
      <c r="Z623" s="4"/>
      <c r="AA623" s="4"/>
      <c r="AB623" s="4"/>
      <c r="AC623" s="4"/>
      <c r="AD623" s="4"/>
      <c r="AE623" s="4"/>
      <c r="AF623" s="4"/>
    </row>
    <row r="624" spans="1:32" ht="15.75" customHeight="1">
      <c r="A624" s="4"/>
      <c r="B624" s="4"/>
      <c r="C624" s="4"/>
      <c r="D624" s="4"/>
      <c r="E624" s="4"/>
      <c r="F624" s="4"/>
      <c r="G624" s="4"/>
      <c r="H624" s="4"/>
      <c r="I624" s="4"/>
      <c r="J624" s="19"/>
      <c r="K624" s="4"/>
      <c r="L624" s="4"/>
      <c r="M624" s="4"/>
      <c r="N624" s="4"/>
      <c r="O624" s="4"/>
      <c r="P624" s="4"/>
      <c r="Q624" s="4"/>
      <c r="R624" s="4"/>
      <c r="S624" s="4"/>
      <c r="T624" s="4"/>
      <c r="U624" s="4"/>
      <c r="V624" s="4"/>
      <c r="W624" s="4"/>
      <c r="X624" s="4"/>
      <c r="Y624" s="4"/>
      <c r="Z624" s="4"/>
      <c r="AA624" s="4"/>
      <c r="AB624" s="4"/>
      <c r="AC624" s="4"/>
      <c r="AD624" s="4"/>
      <c r="AE624" s="4"/>
      <c r="AF624" s="4"/>
    </row>
    <row r="625" spans="1:32" ht="15.75" customHeight="1">
      <c r="A625" s="4"/>
      <c r="B625" s="4"/>
      <c r="C625" s="4"/>
      <c r="D625" s="4"/>
      <c r="E625" s="4"/>
      <c r="F625" s="4"/>
      <c r="G625" s="4"/>
      <c r="H625" s="4"/>
      <c r="I625" s="4"/>
      <c r="J625" s="19"/>
      <c r="K625" s="4"/>
      <c r="L625" s="4"/>
      <c r="M625" s="4"/>
      <c r="N625" s="4"/>
      <c r="O625" s="4"/>
      <c r="P625" s="4"/>
      <c r="Q625" s="4"/>
      <c r="R625" s="4"/>
      <c r="S625" s="4"/>
      <c r="T625" s="4"/>
      <c r="U625" s="4"/>
      <c r="V625" s="4"/>
      <c r="W625" s="4"/>
      <c r="X625" s="4"/>
      <c r="Y625" s="4"/>
      <c r="Z625" s="4"/>
      <c r="AA625" s="4"/>
      <c r="AB625" s="4"/>
      <c r="AC625" s="4"/>
      <c r="AD625" s="4"/>
      <c r="AE625" s="4"/>
      <c r="AF625" s="4"/>
    </row>
    <row r="626" spans="1:32" ht="15.75" customHeight="1">
      <c r="A626" s="4"/>
      <c r="B626" s="4"/>
      <c r="C626" s="4"/>
      <c r="D626" s="4"/>
      <c r="E626" s="4"/>
      <c r="F626" s="4"/>
      <c r="G626" s="4"/>
      <c r="H626" s="4"/>
      <c r="I626" s="4"/>
      <c r="J626" s="19"/>
      <c r="K626" s="4"/>
      <c r="L626" s="4"/>
      <c r="M626" s="4"/>
      <c r="N626" s="4"/>
      <c r="O626" s="4"/>
      <c r="P626" s="4"/>
      <c r="Q626" s="4"/>
      <c r="R626" s="4"/>
      <c r="S626" s="4"/>
      <c r="T626" s="4"/>
      <c r="U626" s="4"/>
      <c r="V626" s="4"/>
      <c r="W626" s="4"/>
      <c r="X626" s="4"/>
      <c r="Y626" s="4"/>
      <c r="Z626" s="4"/>
      <c r="AA626" s="4"/>
      <c r="AB626" s="4"/>
      <c r="AC626" s="4"/>
      <c r="AD626" s="4"/>
      <c r="AE626" s="4"/>
      <c r="AF626" s="4"/>
    </row>
    <row r="627" spans="1:32" ht="15.75" customHeight="1">
      <c r="A627" s="4"/>
      <c r="B627" s="4"/>
      <c r="C627" s="4"/>
      <c r="D627" s="4"/>
      <c r="E627" s="4"/>
      <c r="F627" s="4"/>
      <c r="G627" s="4"/>
      <c r="H627" s="4"/>
      <c r="I627" s="4"/>
      <c r="J627" s="19"/>
      <c r="K627" s="4"/>
      <c r="L627" s="4"/>
      <c r="M627" s="4"/>
      <c r="N627" s="4"/>
      <c r="O627" s="4"/>
      <c r="P627" s="4"/>
      <c r="Q627" s="4"/>
      <c r="R627" s="4"/>
      <c r="S627" s="4"/>
      <c r="T627" s="4"/>
      <c r="U627" s="4"/>
      <c r="V627" s="4"/>
      <c r="W627" s="4"/>
      <c r="X627" s="4"/>
      <c r="Y627" s="4"/>
      <c r="Z627" s="4"/>
      <c r="AA627" s="4"/>
      <c r="AB627" s="4"/>
      <c r="AC627" s="4"/>
      <c r="AD627" s="4"/>
      <c r="AE627" s="4"/>
      <c r="AF627" s="4"/>
    </row>
    <row r="628" spans="1:32" ht="15.75" customHeight="1">
      <c r="A628" s="4"/>
      <c r="B628" s="4"/>
      <c r="C628" s="4"/>
      <c r="D628" s="4"/>
      <c r="E628" s="4"/>
      <c r="F628" s="4"/>
      <c r="G628" s="4"/>
      <c r="H628" s="4"/>
      <c r="I628" s="4"/>
      <c r="J628" s="19"/>
      <c r="K628" s="4"/>
      <c r="L628" s="4"/>
      <c r="M628" s="4"/>
      <c r="N628" s="4"/>
      <c r="O628" s="4"/>
      <c r="P628" s="4"/>
      <c r="Q628" s="4"/>
      <c r="R628" s="4"/>
      <c r="S628" s="4"/>
      <c r="T628" s="4"/>
      <c r="U628" s="4"/>
      <c r="V628" s="4"/>
      <c r="W628" s="4"/>
      <c r="X628" s="4"/>
      <c r="Y628" s="4"/>
      <c r="Z628" s="4"/>
      <c r="AA628" s="4"/>
      <c r="AB628" s="4"/>
      <c r="AC628" s="4"/>
      <c r="AD628" s="4"/>
      <c r="AE628" s="4"/>
      <c r="AF628" s="4"/>
    </row>
    <row r="629" spans="1:32" ht="15.75" customHeight="1">
      <c r="A629" s="4"/>
      <c r="B629" s="4"/>
      <c r="C629" s="4"/>
      <c r="D629" s="4"/>
      <c r="E629" s="4"/>
      <c r="F629" s="4"/>
      <c r="G629" s="4"/>
      <c r="H629" s="4"/>
      <c r="I629" s="4"/>
      <c r="J629" s="19"/>
      <c r="K629" s="4"/>
      <c r="L629" s="4"/>
      <c r="M629" s="4"/>
      <c r="N629" s="4"/>
      <c r="O629" s="4"/>
      <c r="P629" s="4"/>
      <c r="Q629" s="4"/>
      <c r="R629" s="4"/>
      <c r="S629" s="4"/>
      <c r="T629" s="4"/>
      <c r="U629" s="4"/>
      <c r="V629" s="4"/>
      <c r="W629" s="4"/>
      <c r="X629" s="4"/>
      <c r="Y629" s="4"/>
      <c r="Z629" s="4"/>
      <c r="AA629" s="4"/>
      <c r="AB629" s="4"/>
      <c r="AC629" s="4"/>
      <c r="AD629" s="4"/>
      <c r="AE629" s="4"/>
      <c r="AF629" s="4"/>
    </row>
    <row r="630" spans="1:32" ht="15.75" customHeight="1">
      <c r="A630" s="4"/>
      <c r="B630" s="4"/>
      <c r="C630" s="4"/>
      <c r="D630" s="4"/>
      <c r="E630" s="4"/>
      <c r="F630" s="4"/>
      <c r="G630" s="4"/>
      <c r="H630" s="4"/>
      <c r="I630" s="4"/>
      <c r="J630" s="19"/>
      <c r="K630" s="4"/>
      <c r="L630" s="4"/>
      <c r="M630" s="4"/>
      <c r="N630" s="4"/>
      <c r="O630" s="4"/>
      <c r="P630" s="4"/>
      <c r="Q630" s="4"/>
      <c r="R630" s="4"/>
      <c r="S630" s="4"/>
      <c r="T630" s="4"/>
      <c r="U630" s="4"/>
      <c r="V630" s="4"/>
      <c r="W630" s="4"/>
      <c r="X630" s="4"/>
      <c r="Y630" s="4"/>
      <c r="Z630" s="4"/>
      <c r="AA630" s="4"/>
      <c r="AB630" s="4"/>
      <c r="AC630" s="4"/>
      <c r="AD630" s="4"/>
      <c r="AE630" s="4"/>
      <c r="AF630" s="4"/>
    </row>
    <row r="631" spans="1:32" ht="15.75" customHeight="1">
      <c r="A631" s="4"/>
      <c r="B631" s="4"/>
      <c r="C631" s="4"/>
      <c r="D631" s="4"/>
      <c r="E631" s="4"/>
      <c r="F631" s="4"/>
      <c r="G631" s="4"/>
      <c r="H631" s="4"/>
      <c r="I631" s="4"/>
      <c r="J631" s="19"/>
      <c r="K631" s="4"/>
      <c r="L631" s="4"/>
      <c r="M631" s="4"/>
      <c r="N631" s="4"/>
      <c r="O631" s="4"/>
      <c r="P631" s="4"/>
      <c r="Q631" s="4"/>
      <c r="R631" s="4"/>
      <c r="S631" s="4"/>
      <c r="T631" s="4"/>
      <c r="U631" s="4"/>
      <c r="V631" s="4"/>
      <c r="W631" s="4"/>
      <c r="X631" s="4"/>
      <c r="Y631" s="4"/>
      <c r="Z631" s="4"/>
      <c r="AA631" s="4"/>
      <c r="AB631" s="4"/>
      <c r="AC631" s="4"/>
      <c r="AD631" s="4"/>
      <c r="AE631" s="4"/>
      <c r="AF631" s="4"/>
    </row>
    <row r="632" spans="1:32" ht="15.75" customHeight="1">
      <c r="A632" s="4"/>
      <c r="B632" s="4"/>
      <c r="C632" s="4"/>
      <c r="D632" s="4"/>
      <c r="E632" s="4"/>
      <c r="F632" s="4"/>
      <c r="G632" s="4"/>
      <c r="H632" s="4"/>
      <c r="I632" s="4"/>
      <c r="J632" s="19"/>
      <c r="K632" s="4"/>
      <c r="L632" s="4"/>
      <c r="M632" s="4"/>
      <c r="N632" s="4"/>
      <c r="O632" s="4"/>
      <c r="P632" s="4"/>
      <c r="Q632" s="4"/>
      <c r="R632" s="4"/>
      <c r="S632" s="4"/>
      <c r="T632" s="4"/>
      <c r="U632" s="4"/>
      <c r="V632" s="4"/>
      <c r="W632" s="4"/>
      <c r="X632" s="4"/>
      <c r="Y632" s="4"/>
      <c r="Z632" s="4"/>
      <c r="AA632" s="4"/>
      <c r="AB632" s="4"/>
      <c r="AC632" s="4"/>
      <c r="AD632" s="4"/>
      <c r="AE632" s="4"/>
      <c r="AF632" s="4"/>
    </row>
    <row r="633" spans="1:32" ht="15.75" customHeight="1">
      <c r="A633" s="4"/>
      <c r="B633" s="4"/>
      <c r="C633" s="4"/>
      <c r="D633" s="4"/>
      <c r="E633" s="4"/>
      <c r="F633" s="4"/>
      <c r="G633" s="4"/>
      <c r="H633" s="4"/>
      <c r="I633" s="4"/>
      <c r="J633" s="19"/>
      <c r="K633" s="4"/>
      <c r="L633" s="4"/>
      <c r="M633" s="4"/>
      <c r="N633" s="4"/>
      <c r="O633" s="4"/>
      <c r="P633" s="4"/>
      <c r="Q633" s="4"/>
      <c r="R633" s="4"/>
      <c r="S633" s="4"/>
      <c r="T633" s="4"/>
      <c r="U633" s="4"/>
      <c r="V633" s="4"/>
      <c r="W633" s="4"/>
      <c r="X633" s="4"/>
      <c r="Y633" s="4"/>
      <c r="Z633" s="4"/>
      <c r="AA633" s="4"/>
      <c r="AB633" s="4"/>
      <c r="AC633" s="4"/>
      <c r="AD633" s="4"/>
      <c r="AE633" s="4"/>
      <c r="AF633" s="4"/>
    </row>
    <row r="634" spans="1:32" ht="15.75" customHeight="1">
      <c r="A634" s="4"/>
      <c r="B634" s="4"/>
      <c r="C634" s="4"/>
      <c r="D634" s="4"/>
      <c r="E634" s="4"/>
      <c r="F634" s="4"/>
      <c r="G634" s="4"/>
      <c r="H634" s="4"/>
      <c r="I634" s="4"/>
      <c r="J634" s="19"/>
      <c r="K634" s="4"/>
      <c r="L634" s="4"/>
      <c r="M634" s="4"/>
      <c r="N634" s="4"/>
      <c r="O634" s="4"/>
      <c r="P634" s="4"/>
      <c r="Q634" s="4"/>
      <c r="R634" s="4"/>
      <c r="S634" s="4"/>
      <c r="T634" s="4"/>
      <c r="U634" s="4"/>
      <c r="V634" s="4"/>
      <c r="W634" s="4"/>
      <c r="X634" s="4"/>
      <c r="Y634" s="4"/>
      <c r="Z634" s="4"/>
      <c r="AA634" s="4"/>
      <c r="AB634" s="4"/>
      <c r="AC634" s="4"/>
      <c r="AD634" s="4"/>
      <c r="AE634" s="4"/>
      <c r="AF634" s="4"/>
    </row>
    <row r="635" spans="1:32" ht="15.75" customHeight="1">
      <c r="A635" s="4"/>
      <c r="B635" s="4"/>
      <c r="C635" s="4"/>
      <c r="D635" s="4"/>
      <c r="E635" s="4"/>
      <c r="F635" s="4"/>
      <c r="G635" s="4"/>
      <c r="H635" s="4"/>
      <c r="I635" s="4"/>
      <c r="J635" s="19"/>
      <c r="K635" s="4"/>
      <c r="L635" s="4"/>
      <c r="M635" s="4"/>
      <c r="N635" s="4"/>
      <c r="O635" s="4"/>
      <c r="P635" s="4"/>
      <c r="Q635" s="4"/>
      <c r="R635" s="4"/>
      <c r="S635" s="4"/>
      <c r="T635" s="4"/>
      <c r="U635" s="4"/>
      <c r="V635" s="4"/>
      <c r="W635" s="4"/>
      <c r="X635" s="4"/>
      <c r="Y635" s="4"/>
      <c r="Z635" s="4"/>
      <c r="AA635" s="4"/>
      <c r="AB635" s="4"/>
      <c r="AC635" s="4"/>
      <c r="AD635" s="4"/>
      <c r="AE635" s="4"/>
      <c r="AF635" s="4"/>
    </row>
    <row r="636" spans="1:32" ht="15.75" customHeight="1">
      <c r="A636" s="4"/>
      <c r="B636" s="4"/>
      <c r="C636" s="4"/>
      <c r="D636" s="4"/>
      <c r="E636" s="4"/>
      <c r="F636" s="4"/>
      <c r="G636" s="4"/>
      <c r="H636" s="4"/>
      <c r="I636" s="4"/>
      <c r="J636" s="19"/>
      <c r="K636" s="4"/>
      <c r="L636" s="4"/>
      <c r="M636" s="4"/>
      <c r="N636" s="4"/>
      <c r="O636" s="4"/>
      <c r="P636" s="4"/>
      <c r="Q636" s="4"/>
      <c r="R636" s="4"/>
      <c r="S636" s="4"/>
      <c r="T636" s="4"/>
      <c r="U636" s="4"/>
      <c r="V636" s="4"/>
      <c r="W636" s="4"/>
      <c r="X636" s="4"/>
      <c r="Y636" s="4"/>
      <c r="Z636" s="4"/>
      <c r="AA636" s="4"/>
      <c r="AB636" s="4"/>
      <c r="AC636" s="4"/>
      <c r="AD636" s="4"/>
      <c r="AE636" s="4"/>
      <c r="AF636" s="4"/>
    </row>
    <row r="637" spans="1:32" ht="15.75" customHeight="1">
      <c r="A637" s="4"/>
      <c r="B637" s="4"/>
      <c r="C637" s="4"/>
      <c r="D637" s="4"/>
      <c r="E637" s="4"/>
      <c r="F637" s="4"/>
      <c r="G637" s="4"/>
      <c r="H637" s="4"/>
      <c r="I637" s="4"/>
      <c r="J637" s="19"/>
      <c r="K637" s="4"/>
      <c r="L637" s="4"/>
      <c r="M637" s="4"/>
      <c r="N637" s="4"/>
      <c r="O637" s="4"/>
      <c r="P637" s="4"/>
      <c r="Q637" s="4"/>
      <c r="R637" s="4"/>
      <c r="S637" s="4"/>
      <c r="T637" s="4"/>
      <c r="U637" s="4"/>
      <c r="V637" s="4"/>
      <c r="W637" s="4"/>
      <c r="X637" s="4"/>
      <c r="Y637" s="4"/>
      <c r="Z637" s="4"/>
      <c r="AA637" s="4"/>
      <c r="AB637" s="4"/>
      <c r="AC637" s="4"/>
      <c r="AD637" s="4"/>
      <c r="AE637" s="4"/>
      <c r="AF637" s="4"/>
    </row>
    <row r="638" spans="1:32" ht="15.75" customHeight="1">
      <c r="A638" s="4"/>
      <c r="B638" s="4"/>
      <c r="C638" s="4"/>
      <c r="D638" s="4"/>
      <c r="E638" s="4"/>
      <c r="F638" s="4"/>
      <c r="G638" s="4"/>
      <c r="H638" s="4"/>
      <c r="I638" s="4"/>
      <c r="J638" s="19"/>
      <c r="K638" s="4"/>
      <c r="L638" s="4"/>
      <c r="M638" s="4"/>
      <c r="N638" s="4"/>
      <c r="O638" s="4"/>
      <c r="P638" s="4"/>
      <c r="Q638" s="4"/>
      <c r="R638" s="4"/>
      <c r="S638" s="4"/>
      <c r="T638" s="4"/>
      <c r="U638" s="4"/>
      <c r="V638" s="4"/>
      <c r="W638" s="4"/>
      <c r="X638" s="4"/>
      <c r="Y638" s="4"/>
      <c r="Z638" s="4"/>
      <c r="AA638" s="4"/>
      <c r="AB638" s="4"/>
      <c r="AC638" s="4"/>
      <c r="AD638" s="4"/>
      <c r="AE638" s="4"/>
      <c r="AF638" s="4"/>
    </row>
    <row r="639" spans="1:32" ht="15.75" customHeight="1">
      <c r="A639" s="4"/>
      <c r="B639" s="4"/>
      <c r="C639" s="4"/>
      <c r="D639" s="4"/>
      <c r="E639" s="4"/>
      <c r="F639" s="4"/>
      <c r="G639" s="4"/>
      <c r="H639" s="4"/>
      <c r="I639" s="4"/>
      <c r="J639" s="19"/>
      <c r="K639" s="4"/>
      <c r="L639" s="4"/>
      <c r="M639" s="4"/>
      <c r="N639" s="4"/>
      <c r="O639" s="4"/>
      <c r="P639" s="4"/>
      <c r="Q639" s="4"/>
      <c r="R639" s="4"/>
      <c r="S639" s="4"/>
      <c r="T639" s="4"/>
      <c r="U639" s="4"/>
      <c r="V639" s="4"/>
      <c r="W639" s="4"/>
      <c r="X639" s="4"/>
      <c r="Y639" s="4"/>
      <c r="Z639" s="4"/>
      <c r="AA639" s="4"/>
      <c r="AB639" s="4"/>
      <c r="AC639" s="4"/>
      <c r="AD639" s="4"/>
      <c r="AE639" s="4"/>
      <c r="AF639" s="4"/>
    </row>
    <row r="640" spans="1:32" ht="15.75" customHeight="1">
      <c r="A640" s="4"/>
      <c r="B640" s="4"/>
      <c r="C640" s="4"/>
      <c r="D640" s="4"/>
      <c r="E640" s="4"/>
      <c r="F640" s="4"/>
      <c r="G640" s="4"/>
      <c r="H640" s="4"/>
      <c r="I640" s="4"/>
      <c r="J640" s="19"/>
      <c r="K640" s="4"/>
      <c r="L640" s="4"/>
      <c r="M640" s="4"/>
      <c r="N640" s="4"/>
      <c r="O640" s="4"/>
      <c r="P640" s="4"/>
      <c r="Q640" s="4"/>
      <c r="R640" s="4"/>
      <c r="S640" s="4"/>
      <c r="T640" s="4"/>
      <c r="U640" s="4"/>
      <c r="V640" s="4"/>
      <c r="W640" s="4"/>
      <c r="X640" s="4"/>
      <c r="Y640" s="4"/>
      <c r="Z640" s="4"/>
      <c r="AA640" s="4"/>
      <c r="AB640" s="4"/>
      <c r="AC640" s="4"/>
      <c r="AD640" s="4"/>
      <c r="AE640" s="4"/>
      <c r="AF640" s="4"/>
    </row>
    <row r="641" spans="1:32" ht="15.75" customHeight="1">
      <c r="A641" s="4"/>
      <c r="B641" s="4"/>
      <c r="C641" s="4"/>
      <c r="D641" s="4"/>
      <c r="E641" s="4"/>
      <c r="F641" s="4"/>
      <c r="G641" s="4"/>
      <c r="H641" s="4"/>
      <c r="I641" s="4"/>
      <c r="J641" s="19"/>
      <c r="K641" s="4"/>
      <c r="L641" s="4"/>
      <c r="M641" s="4"/>
      <c r="N641" s="4"/>
      <c r="O641" s="4"/>
      <c r="P641" s="4"/>
      <c r="Q641" s="4"/>
      <c r="R641" s="4"/>
      <c r="S641" s="4"/>
      <c r="T641" s="4"/>
      <c r="U641" s="4"/>
      <c r="V641" s="4"/>
      <c r="W641" s="4"/>
      <c r="X641" s="4"/>
      <c r="Y641" s="4"/>
      <c r="Z641" s="4"/>
      <c r="AA641" s="4"/>
      <c r="AB641" s="4"/>
      <c r="AC641" s="4"/>
      <c r="AD641" s="4"/>
      <c r="AE641" s="4"/>
      <c r="AF641" s="4"/>
    </row>
    <row r="642" spans="1:32" ht="15.75" customHeight="1">
      <c r="A642" s="4"/>
      <c r="B642" s="4"/>
      <c r="C642" s="4"/>
      <c r="D642" s="4"/>
      <c r="E642" s="4"/>
      <c r="F642" s="4"/>
      <c r="G642" s="4"/>
      <c r="H642" s="4"/>
      <c r="I642" s="4"/>
      <c r="J642" s="19"/>
      <c r="K642" s="4"/>
      <c r="L642" s="4"/>
      <c r="M642" s="4"/>
      <c r="N642" s="4"/>
      <c r="O642" s="4"/>
      <c r="P642" s="4"/>
      <c r="Q642" s="4"/>
      <c r="R642" s="4"/>
      <c r="S642" s="4"/>
      <c r="T642" s="4"/>
      <c r="U642" s="4"/>
      <c r="V642" s="4"/>
      <c r="W642" s="4"/>
      <c r="X642" s="4"/>
      <c r="Y642" s="4"/>
      <c r="Z642" s="4"/>
      <c r="AA642" s="4"/>
      <c r="AB642" s="4"/>
      <c r="AC642" s="4"/>
      <c r="AD642" s="4"/>
      <c r="AE642" s="4"/>
      <c r="AF642" s="4"/>
    </row>
    <row r="643" spans="1:32" ht="15.75" customHeight="1">
      <c r="A643" s="4"/>
      <c r="B643" s="4"/>
      <c r="C643" s="4"/>
      <c r="D643" s="4"/>
      <c r="E643" s="4"/>
      <c r="F643" s="4"/>
      <c r="G643" s="4"/>
      <c r="H643" s="4"/>
      <c r="I643" s="4"/>
      <c r="J643" s="19"/>
      <c r="K643" s="4"/>
      <c r="L643" s="4"/>
      <c r="M643" s="4"/>
      <c r="N643" s="4"/>
      <c r="O643" s="4"/>
      <c r="P643" s="4"/>
      <c r="Q643" s="4"/>
      <c r="R643" s="4"/>
      <c r="S643" s="4"/>
      <c r="T643" s="4"/>
      <c r="U643" s="4"/>
      <c r="V643" s="4"/>
      <c r="W643" s="4"/>
      <c r="X643" s="4"/>
      <c r="Y643" s="4"/>
      <c r="Z643" s="4"/>
      <c r="AA643" s="4"/>
      <c r="AB643" s="4"/>
      <c r="AC643" s="4"/>
      <c r="AD643" s="4"/>
      <c r="AE643" s="4"/>
      <c r="AF643" s="4"/>
    </row>
    <row r="644" spans="1:32" ht="15.75" customHeight="1">
      <c r="A644" s="4"/>
      <c r="B644" s="4"/>
      <c r="C644" s="4"/>
      <c r="D644" s="4"/>
      <c r="E644" s="4"/>
      <c r="F644" s="4"/>
      <c r="G644" s="4"/>
      <c r="H644" s="4"/>
      <c r="I644" s="4"/>
      <c r="J644" s="19"/>
      <c r="K644" s="4"/>
      <c r="L644" s="4"/>
      <c r="M644" s="4"/>
      <c r="N644" s="4"/>
      <c r="O644" s="4"/>
      <c r="P644" s="4"/>
      <c r="Q644" s="4"/>
      <c r="R644" s="4"/>
      <c r="S644" s="4"/>
      <c r="T644" s="4"/>
      <c r="U644" s="4"/>
      <c r="V644" s="4"/>
      <c r="W644" s="4"/>
      <c r="X644" s="4"/>
      <c r="Y644" s="4"/>
      <c r="Z644" s="4"/>
      <c r="AA644" s="4"/>
      <c r="AB644" s="4"/>
      <c r="AC644" s="4"/>
      <c r="AD644" s="4"/>
      <c r="AE644" s="4"/>
      <c r="AF644" s="4"/>
    </row>
    <row r="645" spans="1:32" ht="15.75" customHeight="1">
      <c r="A645" s="4"/>
      <c r="B645" s="4"/>
      <c r="C645" s="4"/>
      <c r="D645" s="4"/>
      <c r="E645" s="4"/>
      <c r="F645" s="4"/>
      <c r="G645" s="4"/>
      <c r="H645" s="4"/>
      <c r="I645" s="4"/>
      <c r="J645" s="19"/>
      <c r="K645" s="4"/>
      <c r="L645" s="4"/>
      <c r="M645" s="4"/>
      <c r="N645" s="4"/>
      <c r="O645" s="4"/>
      <c r="P645" s="4"/>
      <c r="Q645" s="4"/>
      <c r="R645" s="4"/>
      <c r="S645" s="4"/>
      <c r="T645" s="4"/>
      <c r="U645" s="4"/>
      <c r="V645" s="4"/>
      <c r="W645" s="4"/>
      <c r="X645" s="4"/>
      <c r="Y645" s="4"/>
      <c r="Z645" s="4"/>
      <c r="AA645" s="4"/>
      <c r="AB645" s="4"/>
      <c r="AC645" s="4"/>
      <c r="AD645" s="4"/>
      <c r="AE645" s="4"/>
      <c r="AF645" s="4"/>
    </row>
    <row r="646" spans="1:32" ht="15.75" customHeight="1">
      <c r="A646" s="4"/>
      <c r="B646" s="4"/>
      <c r="C646" s="4"/>
      <c r="D646" s="4"/>
      <c r="E646" s="4"/>
      <c r="F646" s="4"/>
      <c r="G646" s="4"/>
      <c r="H646" s="4"/>
      <c r="I646" s="4"/>
      <c r="J646" s="19"/>
      <c r="K646" s="4"/>
      <c r="L646" s="4"/>
      <c r="M646" s="4"/>
      <c r="N646" s="4"/>
      <c r="O646" s="4"/>
      <c r="P646" s="4"/>
      <c r="Q646" s="4"/>
      <c r="R646" s="4"/>
      <c r="S646" s="4"/>
      <c r="T646" s="4"/>
      <c r="U646" s="4"/>
      <c r="V646" s="4"/>
      <c r="W646" s="4"/>
      <c r="X646" s="4"/>
      <c r="Y646" s="4"/>
      <c r="Z646" s="4"/>
      <c r="AA646" s="4"/>
      <c r="AB646" s="4"/>
      <c r="AC646" s="4"/>
      <c r="AD646" s="4"/>
      <c r="AE646" s="4"/>
      <c r="AF646" s="4"/>
    </row>
    <row r="647" spans="1:32" ht="15.75" customHeight="1">
      <c r="A647" s="4"/>
      <c r="B647" s="4"/>
      <c r="C647" s="4"/>
      <c r="D647" s="4"/>
      <c r="E647" s="4"/>
      <c r="F647" s="4"/>
      <c r="G647" s="4"/>
      <c r="H647" s="4"/>
      <c r="I647" s="4"/>
      <c r="J647" s="19"/>
      <c r="K647" s="4"/>
      <c r="L647" s="4"/>
      <c r="M647" s="4"/>
      <c r="N647" s="4"/>
      <c r="O647" s="4"/>
      <c r="P647" s="4"/>
      <c r="Q647" s="4"/>
      <c r="R647" s="4"/>
      <c r="S647" s="4"/>
      <c r="T647" s="4"/>
      <c r="U647" s="4"/>
      <c r="V647" s="4"/>
      <c r="W647" s="4"/>
      <c r="X647" s="4"/>
      <c r="Y647" s="4"/>
      <c r="Z647" s="4"/>
      <c r="AA647" s="4"/>
      <c r="AB647" s="4"/>
      <c r="AC647" s="4"/>
      <c r="AD647" s="4"/>
      <c r="AE647" s="4"/>
      <c r="AF647" s="4"/>
    </row>
    <row r="648" spans="1:32" ht="15.75" customHeight="1">
      <c r="A648" s="4"/>
      <c r="B648" s="4"/>
      <c r="C648" s="4"/>
      <c r="D648" s="4"/>
      <c r="E648" s="4"/>
      <c r="F648" s="4"/>
      <c r="G648" s="4"/>
      <c r="H648" s="4"/>
      <c r="I648" s="4"/>
      <c r="J648" s="19"/>
      <c r="K648" s="4"/>
      <c r="L648" s="4"/>
      <c r="M648" s="4"/>
      <c r="N648" s="4"/>
      <c r="O648" s="4"/>
      <c r="P648" s="4"/>
      <c r="Q648" s="4"/>
      <c r="R648" s="4"/>
      <c r="S648" s="4"/>
      <c r="T648" s="4"/>
      <c r="U648" s="4"/>
      <c r="V648" s="4"/>
      <c r="W648" s="4"/>
      <c r="X648" s="4"/>
      <c r="Y648" s="4"/>
      <c r="Z648" s="4"/>
      <c r="AA648" s="4"/>
      <c r="AB648" s="4"/>
      <c r="AC648" s="4"/>
      <c r="AD648" s="4"/>
      <c r="AE648" s="4"/>
      <c r="AF648" s="4"/>
    </row>
    <row r="649" spans="1:32" ht="15.75" customHeight="1">
      <c r="A649" s="4"/>
      <c r="B649" s="4"/>
      <c r="C649" s="4"/>
      <c r="D649" s="4"/>
      <c r="E649" s="4"/>
      <c r="F649" s="4"/>
      <c r="G649" s="4"/>
      <c r="H649" s="4"/>
      <c r="I649" s="4"/>
      <c r="J649" s="19"/>
      <c r="K649" s="4"/>
      <c r="L649" s="4"/>
      <c r="M649" s="4"/>
      <c r="N649" s="4"/>
      <c r="O649" s="4"/>
      <c r="P649" s="4"/>
      <c r="Q649" s="4"/>
      <c r="R649" s="4"/>
      <c r="S649" s="4"/>
      <c r="T649" s="4"/>
      <c r="U649" s="4"/>
      <c r="V649" s="4"/>
      <c r="W649" s="4"/>
      <c r="X649" s="4"/>
      <c r="Y649" s="4"/>
      <c r="Z649" s="4"/>
      <c r="AA649" s="4"/>
      <c r="AB649" s="4"/>
      <c r="AC649" s="4"/>
      <c r="AD649" s="4"/>
      <c r="AE649" s="4"/>
      <c r="AF649" s="4"/>
    </row>
    <row r="650" spans="1:32" ht="15.75" customHeight="1">
      <c r="A650" s="4"/>
      <c r="B650" s="4"/>
      <c r="C650" s="4"/>
      <c r="D650" s="4"/>
      <c r="E650" s="4"/>
      <c r="F650" s="4"/>
      <c r="G650" s="4"/>
      <c r="H650" s="4"/>
      <c r="I650" s="4"/>
      <c r="J650" s="19"/>
      <c r="K650" s="4"/>
      <c r="L650" s="4"/>
      <c r="M650" s="4"/>
      <c r="N650" s="4"/>
      <c r="O650" s="4"/>
      <c r="P650" s="4"/>
      <c r="Q650" s="4"/>
      <c r="R650" s="4"/>
      <c r="S650" s="4"/>
      <c r="T650" s="4"/>
      <c r="U650" s="4"/>
      <c r="V650" s="4"/>
      <c r="W650" s="4"/>
      <c r="X650" s="4"/>
      <c r="Y650" s="4"/>
      <c r="Z650" s="4"/>
      <c r="AA650" s="4"/>
      <c r="AB650" s="4"/>
      <c r="AC650" s="4"/>
      <c r="AD650" s="4"/>
      <c r="AE650" s="4"/>
      <c r="AF650" s="4"/>
    </row>
    <row r="651" spans="1:32" ht="15.75" customHeight="1">
      <c r="A651" s="4"/>
      <c r="B651" s="4"/>
      <c r="C651" s="4"/>
      <c r="D651" s="4"/>
      <c r="E651" s="4"/>
      <c r="F651" s="4"/>
      <c r="G651" s="4"/>
      <c r="H651" s="4"/>
      <c r="I651" s="4"/>
      <c r="J651" s="19"/>
      <c r="K651" s="4"/>
      <c r="L651" s="4"/>
      <c r="M651" s="4"/>
      <c r="N651" s="4"/>
      <c r="O651" s="4"/>
      <c r="P651" s="4"/>
      <c r="Q651" s="4"/>
      <c r="R651" s="4"/>
      <c r="S651" s="4"/>
      <c r="T651" s="4"/>
      <c r="U651" s="4"/>
      <c r="V651" s="4"/>
      <c r="W651" s="4"/>
      <c r="X651" s="4"/>
      <c r="Y651" s="4"/>
      <c r="Z651" s="4"/>
      <c r="AA651" s="4"/>
      <c r="AB651" s="4"/>
      <c r="AC651" s="4"/>
      <c r="AD651" s="4"/>
      <c r="AE651" s="4"/>
      <c r="AF651" s="4"/>
    </row>
    <row r="652" spans="1:32" ht="15.75" customHeight="1">
      <c r="A652" s="4"/>
      <c r="B652" s="4"/>
      <c r="C652" s="4"/>
      <c r="D652" s="4"/>
      <c r="E652" s="4"/>
      <c r="F652" s="4"/>
      <c r="G652" s="4"/>
      <c r="H652" s="4"/>
      <c r="I652" s="4"/>
      <c r="J652" s="19"/>
      <c r="K652" s="4"/>
      <c r="L652" s="4"/>
      <c r="M652" s="4"/>
      <c r="N652" s="4"/>
      <c r="O652" s="4"/>
      <c r="P652" s="4"/>
      <c r="Q652" s="4"/>
      <c r="R652" s="4"/>
      <c r="S652" s="4"/>
      <c r="T652" s="4"/>
      <c r="U652" s="4"/>
      <c r="V652" s="4"/>
      <c r="W652" s="4"/>
      <c r="X652" s="4"/>
      <c r="Y652" s="4"/>
      <c r="Z652" s="4"/>
      <c r="AA652" s="4"/>
      <c r="AB652" s="4"/>
      <c r="AC652" s="4"/>
      <c r="AD652" s="4"/>
      <c r="AE652" s="4"/>
      <c r="AF652" s="4"/>
    </row>
    <row r="653" spans="1:32" ht="15.75" customHeight="1">
      <c r="A653" s="4"/>
      <c r="B653" s="4"/>
      <c r="C653" s="4"/>
      <c r="D653" s="4"/>
      <c r="E653" s="4"/>
      <c r="F653" s="4"/>
      <c r="G653" s="4"/>
      <c r="H653" s="4"/>
      <c r="I653" s="4"/>
      <c r="J653" s="19"/>
      <c r="K653" s="4"/>
      <c r="L653" s="4"/>
      <c r="M653" s="4"/>
      <c r="N653" s="4"/>
      <c r="O653" s="4"/>
      <c r="P653" s="4"/>
      <c r="Q653" s="4"/>
      <c r="R653" s="4"/>
      <c r="S653" s="4"/>
      <c r="T653" s="4"/>
      <c r="U653" s="4"/>
      <c r="V653" s="4"/>
      <c r="W653" s="4"/>
      <c r="X653" s="4"/>
      <c r="Y653" s="4"/>
      <c r="Z653" s="4"/>
      <c r="AA653" s="4"/>
      <c r="AB653" s="4"/>
      <c r="AC653" s="4"/>
      <c r="AD653" s="4"/>
      <c r="AE653" s="4"/>
      <c r="AF653" s="4"/>
    </row>
    <row r="654" spans="1:32" ht="15.75" customHeight="1">
      <c r="A654" s="4"/>
      <c r="B654" s="4"/>
      <c r="C654" s="4"/>
      <c r="D654" s="4"/>
      <c r="E654" s="4"/>
      <c r="F654" s="4"/>
      <c r="G654" s="4"/>
      <c r="H654" s="4"/>
      <c r="I654" s="4"/>
      <c r="J654" s="19"/>
      <c r="K654" s="4"/>
      <c r="L654" s="4"/>
      <c r="M654" s="4"/>
      <c r="N654" s="4"/>
      <c r="O654" s="4"/>
      <c r="P654" s="4"/>
      <c r="Q654" s="4"/>
      <c r="R654" s="4"/>
      <c r="S654" s="4"/>
      <c r="T654" s="4"/>
      <c r="U654" s="4"/>
      <c r="V654" s="4"/>
      <c r="W654" s="4"/>
      <c r="X654" s="4"/>
      <c r="Y654" s="4"/>
      <c r="Z654" s="4"/>
      <c r="AA654" s="4"/>
      <c r="AB654" s="4"/>
      <c r="AC654" s="4"/>
      <c r="AD654" s="4"/>
      <c r="AE654" s="4"/>
      <c r="AF654" s="4"/>
    </row>
    <row r="655" spans="1:32" ht="15.75" customHeight="1">
      <c r="A655" s="4"/>
      <c r="B655" s="4"/>
      <c r="C655" s="4"/>
      <c r="D655" s="4"/>
      <c r="E655" s="4"/>
      <c r="F655" s="4"/>
      <c r="G655" s="4"/>
      <c r="H655" s="4"/>
      <c r="I655" s="4"/>
      <c r="J655" s="19"/>
      <c r="K655" s="4"/>
      <c r="L655" s="4"/>
      <c r="M655" s="4"/>
      <c r="N655" s="4"/>
      <c r="O655" s="4"/>
      <c r="P655" s="4"/>
      <c r="Q655" s="4"/>
      <c r="R655" s="4"/>
      <c r="S655" s="4"/>
      <c r="T655" s="4"/>
      <c r="U655" s="4"/>
      <c r="V655" s="4"/>
      <c r="W655" s="4"/>
      <c r="X655" s="4"/>
      <c r="Y655" s="4"/>
      <c r="Z655" s="4"/>
      <c r="AA655" s="4"/>
      <c r="AB655" s="4"/>
      <c r="AC655" s="4"/>
      <c r="AD655" s="4"/>
      <c r="AE655" s="4"/>
      <c r="AF655" s="4"/>
    </row>
    <row r="656" spans="1:32" ht="15.75" customHeight="1">
      <c r="A656" s="4"/>
      <c r="B656" s="4"/>
      <c r="C656" s="4"/>
      <c r="D656" s="4"/>
      <c r="E656" s="4"/>
      <c r="F656" s="4"/>
      <c r="G656" s="4"/>
      <c r="H656" s="4"/>
      <c r="I656" s="4"/>
      <c r="J656" s="19"/>
      <c r="K656" s="4"/>
      <c r="L656" s="4"/>
      <c r="M656" s="4"/>
      <c r="N656" s="4"/>
      <c r="O656" s="4"/>
      <c r="P656" s="4"/>
      <c r="Q656" s="4"/>
      <c r="R656" s="4"/>
      <c r="S656" s="4"/>
      <c r="T656" s="4"/>
      <c r="U656" s="4"/>
      <c r="V656" s="4"/>
      <c r="W656" s="4"/>
      <c r="X656" s="4"/>
      <c r="Y656" s="4"/>
      <c r="Z656" s="4"/>
      <c r="AA656" s="4"/>
      <c r="AB656" s="4"/>
      <c r="AC656" s="4"/>
      <c r="AD656" s="4"/>
      <c r="AE656" s="4"/>
      <c r="AF656" s="4"/>
    </row>
    <row r="657" spans="1:32" ht="15.75" customHeight="1">
      <c r="A657" s="4"/>
      <c r="B657" s="4"/>
      <c r="C657" s="4"/>
      <c r="D657" s="4"/>
      <c r="E657" s="4"/>
      <c r="F657" s="4"/>
      <c r="G657" s="4"/>
      <c r="H657" s="4"/>
      <c r="I657" s="4"/>
      <c r="J657" s="19"/>
      <c r="K657" s="4"/>
      <c r="L657" s="4"/>
      <c r="M657" s="4"/>
      <c r="N657" s="4"/>
      <c r="O657" s="4"/>
      <c r="P657" s="4"/>
      <c r="Q657" s="4"/>
      <c r="R657" s="4"/>
      <c r="S657" s="4"/>
      <c r="T657" s="4"/>
      <c r="U657" s="4"/>
      <c r="V657" s="4"/>
      <c r="W657" s="4"/>
      <c r="X657" s="4"/>
      <c r="Y657" s="4"/>
      <c r="Z657" s="4"/>
      <c r="AA657" s="4"/>
      <c r="AB657" s="4"/>
      <c r="AC657" s="4"/>
      <c r="AD657" s="4"/>
      <c r="AE657" s="4"/>
      <c r="AF657" s="4"/>
    </row>
    <row r="658" spans="1:32" ht="15.75" customHeight="1">
      <c r="A658" s="4"/>
      <c r="B658" s="4"/>
      <c r="C658" s="4"/>
      <c r="D658" s="4"/>
      <c r="E658" s="4"/>
      <c r="F658" s="4"/>
      <c r="G658" s="4"/>
      <c r="H658" s="4"/>
      <c r="I658" s="4"/>
      <c r="J658" s="19"/>
      <c r="K658" s="4"/>
      <c r="L658" s="4"/>
      <c r="M658" s="4"/>
      <c r="N658" s="4"/>
      <c r="O658" s="4"/>
      <c r="P658" s="4"/>
      <c r="Q658" s="4"/>
      <c r="R658" s="4"/>
      <c r="S658" s="4"/>
      <c r="T658" s="4"/>
      <c r="U658" s="4"/>
      <c r="V658" s="4"/>
      <c r="W658" s="4"/>
      <c r="X658" s="4"/>
      <c r="Y658" s="4"/>
      <c r="Z658" s="4"/>
      <c r="AA658" s="4"/>
      <c r="AB658" s="4"/>
      <c r="AC658" s="4"/>
      <c r="AD658" s="4"/>
      <c r="AE658" s="4"/>
      <c r="AF658" s="4"/>
    </row>
    <row r="659" spans="1:32" ht="15.75" customHeight="1">
      <c r="A659" s="4"/>
      <c r="B659" s="4"/>
      <c r="C659" s="4"/>
      <c r="D659" s="4"/>
      <c r="E659" s="4"/>
      <c r="F659" s="4"/>
      <c r="G659" s="4"/>
      <c r="H659" s="4"/>
      <c r="I659" s="4"/>
      <c r="J659" s="19"/>
      <c r="K659" s="4"/>
      <c r="L659" s="4"/>
      <c r="M659" s="4"/>
      <c r="N659" s="4"/>
      <c r="O659" s="4"/>
      <c r="P659" s="4"/>
      <c r="Q659" s="4"/>
      <c r="R659" s="4"/>
      <c r="S659" s="4"/>
      <c r="T659" s="4"/>
      <c r="U659" s="4"/>
      <c r="V659" s="4"/>
      <c r="W659" s="4"/>
      <c r="X659" s="4"/>
      <c r="Y659" s="4"/>
      <c r="Z659" s="4"/>
      <c r="AA659" s="4"/>
      <c r="AB659" s="4"/>
      <c r="AC659" s="4"/>
      <c r="AD659" s="4"/>
      <c r="AE659" s="4"/>
      <c r="AF659" s="4"/>
    </row>
    <row r="660" spans="1:32" ht="15.75" customHeight="1">
      <c r="A660" s="4"/>
      <c r="B660" s="4"/>
      <c r="C660" s="4"/>
      <c r="D660" s="4"/>
      <c r="E660" s="4"/>
      <c r="F660" s="4"/>
      <c r="G660" s="4"/>
      <c r="H660" s="4"/>
      <c r="I660" s="4"/>
      <c r="J660" s="19"/>
      <c r="K660" s="4"/>
      <c r="L660" s="4"/>
      <c r="M660" s="4"/>
      <c r="N660" s="4"/>
      <c r="O660" s="4"/>
      <c r="P660" s="4"/>
      <c r="Q660" s="4"/>
      <c r="R660" s="4"/>
      <c r="S660" s="4"/>
      <c r="T660" s="4"/>
      <c r="U660" s="4"/>
      <c r="V660" s="4"/>
      <c r="W660" s="4"/>
      <c r="X660" s="4"/>
      <c r="Y660" s="4"/>
      <c r="Z660" s="4"/>
      <c r="AA660" s="4"/>
      <c r="AB660" s="4"/>
      <c r="AC660" s="4"/>
      <c r="AD660" s="4"/>
      <c r="AE660" s="4"/>
      <c r="AF660" s="4"/>
    </row>
    <row r="661" spans="1:32" ht="15.75" customHeight="1">
      <c r="A661" s="4"/>
      <c r="B661" s="4"/>
      <c r="C661" s="4"/>
      <c r="D661" s="4"/>
      <c r="E661" s="4"/>
      <c r="F661" s="4"/>
      <c r="G661" s="4"/>
      <c r="H661" s="4"/>
      <c r="I661" s="4"/>
      <c r="J661" s="19"/>
      <c r="K661" s="4"/>
      <c r="L661" s="4"/>
      <c r="M661" s="4"/>
      <c r="N661" s="4"/>
      <c r="O661" s="4"/>
      <c r="P661" s="4"/>
      <c r="Q661" s="4"/>
      <c r="R661" s="4"/>
      <c r="S661" s="4"/>
      <c r="T661" s="4"/>
      <c r="U661" s="4"/>
      <c r="V661" s="4"/>
      <c r="W661" s="4"/>
      <c r="X661" s="4"/>
      <c r="Y661" s="4"/>
      <c r="Z661" s="4"/>
      <c r="AA661" s="4"/>
      <c r="AB661" s="4"/>
      <c r="AC661" s="4"/>
      <c r="AD661" s="4"/>
      <c r="AE661" s="4"/>
      <c r="AF661" s="4"/>
    </row>
    <row r="662" spans="1:32" ht="15.75" customHeight="1">
      <c r="A662" s="4"/>
      <c r="B662" s="4"/>
      <c r="C662" s="4"/>
      <c r="D662" s="4"/>
      <c r="E662" s="4"/>
      <c r="F662" s="4"/>
      <c r="G662" s="4"/>
      <c r="H662" s="4"/>
      <c r="I662" s="4"/>
      <c r="J662" s="19"/>
      <c r="K662" s="4"/>
      <c r="L662" s="4"/>
      <c r="M662" s="4"/>
      <c r="N662" s="4"/>
      <c r="O662" s="4"/>
      <c r="P662" s="4"/>
      <c r="Q662" s="4"/>
      <c r="R662" s="4"/>
      <c r="S662" s="4"/>
      <c r="T662" s="4"/>
      <c r="U662" s="4"/>
      <c r="V662" s="4"/>
      <c r="W662" s="4"/>
      <c r="X662" s="4"/>
      <c r="Y662" s="4"/>
      <c r="Z662" s="4"/>
      <c r="AA662" s="4"/>
      <c r="AB662" s="4"/>
      <c r="AC662" s="4"/>
      <c r="AD662" s="4"/>
      <c r="AE662" s="4"/>
      <c r="AF662" s="4"/>
    </row>
    <row r="663" spans="1:32" ht="15.75" customHeight="1">
      <c r="A663" s="4"/>
      <c r="B663" s="4"/>
      <c r="C663" s="4"/>
      <c r="D663" s="4"/>
      <c r="E663" s="4"/>
      <c r="F663" s="4"/>
      <c r="G663" s="4"/>
      <c r="H663" s="4"/>
      <c r="I663" s="4"/>
      <c r="J663" s="19"/>
      <c r="K663" s="4"/>
      <c r="L663" s="4"/>
      <c r="M663" s="4"/>
      <c r="N663" s="4"/>
      <c r="O663" s="4"/>
      <c r="P663" s="4"/>
      <c r="Q663" s="4"/>
      <c r="R663" s="4"/>
      <c r="S663" s="4"/>
      <c r="T663" s="4"/>
      <c r="U663" s="4"/>
      <c r="V663" s="4"/>
      <c r="W663" s="4"/>
      <c r="X663" s="4"/>
      <c r="Y663" s="4"/>
      <c r="Z663" s="4"/>
      <c r="AA663" s="4"/>
      <c r="AB663" s="4"/>
      <c r="AC663" s="4"/>
      <c r="AD663" s="4"/>
      <c r="AE663" s="4"/>
      <c r="AF663" s="4"/>
    </row>
    <row r="664" spans="1:32" ht="15.75" customHeight="1">
      <c r="A664" s="4"/>
      <c r="B664" s="4"/>
      <c r="C664" s="4"/>
      <c r="D664" s="4"/>
      <c r="E664" s="4"/>
      <c r="F664" s="4"/>
      <c r="G664" s="4"/>
      <c r="H664" s="4"/>
      <c r="I664" s="4"/>
      <c r="J664" s="19"/>
      <c r="K664" s="4"/>
      <c r="L664" s="4"/>
      <c r="M664" s="4"/>
      <c r="N664" s="4"/>
      <c r="O664" s="4"/>
      <c r="P664" s="4"/>
      <c r="Q664" s="4"/>
      <c r="R664" s="4"/>
      <c r="S664" s="4"/>
      <c r="T664" s="4"/>
      <c r="U664" s="4"/>
      <c r="V664" s="4"/>
      <c r="W664" s="4"/>
      <c r="X664" s="4"/>
      <c r="Y664" s="4"/>
      <c r="Z664" s="4"/>
      <c r="AA664" s="4"/>
      <c r="AB664" s="4"/>
      <c r="AC664" s="4"/>
      <c r="AD664" s="4"/>
      <c r="AE664" s="4"/>
      <c r="AF664" s="4"/>
    </row>
    <row r="665" spans="1:32" ht="15.75" customHeight="1">
      <c r="A665" s="4"/>
      <c r="B665" s="4"/>
      <c r="C665" s="4"/>
      <c r="D665" s="4"/>
      <c r="E665" s="4"/>
      <c r="F665" s="4"/>
      <c r="G665" s="4"/>
      <c r="H665" s="4"/>
      <c r="I665" s="4"/>
      <c r="J665" s="19"/>
      <c r="K665" s="4"/>
      <c r="L665" s="4"/>
      <c r="M665" s="4"/>
      <c r="N665" s="4"/>
      <c r="O665" s="4"/>
      <c r="P665" s="4"/>
      <c r="Q665" s="4"/>
      <c r="R665" s="4"/>
      <c r="S665" s="4"/>
      <c r="T665" s="4"/>
      <c r="U665" s="4"/>
      <c r="V665" s="4"/>
      <c r="W665" s="4"/>
      <c r="X665" s="4"/>
      <c r="Y665" s="4"/>
      <c r="Z665" s="4"/>
      <c r="AA665" s="4"/>
      <c r="AB665" s="4"/>
      <c r="AC665" s="4"/>
      <c r="AD665" s="4"/>
      <c r="AE665" s="4"/>
      <c r="AF665" s="4"/>
    </row>
    <row r="666" spans="1:32" ht="15.75" customHeight="1">
      <c r="A666" s="4"/>
      <c r="B666" s="4"/>
      <c r="C666" s="4"/>
      <c r="D666" s="4"/>
      <c r="E666" s="4"/>
      <c r="F666" s="4"/>
      <c r="G666" s="4"/>
      <c r="H666" s="4"/>
      <c r="I666" s="4"/>
      <c r="J666" s="19"/>
      <c r="K666" s="4"/>
      <c r="L666" s="4"/>
      <c r="M666" s="4"/>
      <c r="N666" s="4"/>
      <c r="O666" s="4"/>
      <c r="P666" s="4"/>
      <c r="Q666" s="4"/>
      <c r="R666" s="4"/>
      <c r="S666" s="4"/>
      <c r="T666" s="4"/>
      <c r="U666" s="4"/>
      <c r="V666" s="4"/>
      <c r="W666" s="4"/>
      <c r="X666" s="4"/>
      <c r="Y666" s="4"/>
      <c r="Z666" s="4"/>
      <c r="AA666" s="4"/>
      <c r="AB666" s="4"/>
      <c r="AC666" s="4"/>
      <c r="AD666" s="4"/>
      <c r="AE666" s="4"/>
      <c r="AF666" s="4"/>
    </row>
    <row r="667" spans="1:32" ht="15.75" customHeight="1">
      <c r="A667" s="4"/>
      <c r="B667" s="4"/>
      <c r="C667" s="4"/>
      <c r="D667" s="4"/>
      <c r="E667" s="4"/>
      <c r="F667" s="4"/>
      <c r="G667" s="4"/>
      <c r="H667" s="4"/>
      <c r="I667" s="4"/>
      <c r="J667" s="19"/>
      <c r="K667" s="4"/>
      <c r="L667" s="4"/>
      <c r="M667" s="4"/>
      <c r="N667" s="4"/>
      <c r="O667" s="4"/>
      <c r="P667" s="4"/>
      <c r="Q667" s="4"/>
      <c r="R667" s="4"/>
      <c r="S667" s="4"/>
      <c r="T667" s="4"/>
      <c r="U667" s="4"/>
      <c r="V667" s="4"/>
      <c r="W667" s="4"/>
      <c r="X667" s="4"/>
      <c r="Y667" s="4"/>
      <c r="Z667" s="4"/>
      <c r="AA667" s="4"/>
      <c r="AB667" s="4"/>
      <c r="AC667" s="4"/>
      <c r="AD667" s="4"/>
      <c r="AE667" s="4"/>
      <c r="AF667" s="4"/>
    </row>
    <row r="668" spans="1:32" ht="15.75" customHeight="1">
      <c r="A668" s="4"/>
      <c r="B668" s="4"/>
      <c r="C668" s="4"/>
      <c r="D668" s="4"/>
      <c r="E668" s="4"/>
      <c r="F668" s="4"/>
      <c r="G668" s="4"/>
      <c r="H668" s="4"/>
      <c r="I668" s="4"/>
      <c r="J668" s="19"/>
      <c r="K668" s="4"/>
      <c r="L668" s="4"/>
      <c r="M668" s="4"/>
      <c r="N668" s="4"/>
      <c r="O668" s="4"/>
      <c r="P668" s="4"/>
      <c r="Q668" s="4"/>
      <c r="R668" s="4"/>
      <c r="S668" s="4"/>
      <c r="T668" s="4"/>
      <c r="U668" s="4"/>
      <c r="V668" s="4"/>
      <c r="W668" s="4"/>
      <c r="X668" s="4"/>
      <c r="Y668" s="4"/>
      <c r="Z668" s="4"/>
      <c r="AA668" s="4"/>
      <c r="AB668" s="4"/>
      <c r="AC668" s="4"/>
      <c r="AD668" s="4"/>
      <c r="AE668" s="4"/>
      <c r="AF668" s="4"/>
    </row>
    <row r="669" spans="1:32" ht="15.75" customHeight="1">
      <c r="A669" s="4"/>
      <c r="B669" s="4"/>
      <c r="C669" s="4"/>
      <c r="D669" s="4"/>
      <c r="E669" s="4"/>
      <c r="F669" s="4"/>
      <c r="G669" s="4"/>
      <c r="H669" s="4"/>
      <c r="I669" s="4"/>
      <c r="J669" s="19"/>
      <c r="K669" s="4"/>
      <c r="L669" s="4"/>
      <c r="M669" s="4"/>
      <c r="N669" s="4"/>
      <c r="O669" s="4"/>
      <c r="P669" s="4"/>
      <c r="Q669" s="4"/>
      <c r="R669" s="4"/>
      <c r="S669" s="4"/>
      <c r="T669" s="4"/>
      <c r="U669" s="4"/>
      <c r="V669" s="4"/>
      <c r="W669" s="4"/>
      <c r="X669" s="4"/>
      <c r="Y669" s="4"/>
      <c r="Z669" s="4"/>
      <c r="AA669" s="4"/>
      <c r="AB669" s="4"/>
      <c r="AC669" s="4"/>
      <c r="AD669" s="4"/>
      <c r="AE669" s="4"/>
      <c r="AF669" s="4"/>
    </row>
    <row r="670" spans="1:32" ht="15.75" customHeight="1">
      <c r="A670" s="4"/>
      <c r="B670" s="4"/>
      <c r="C670" s="4"/>
      <c r="D670" s="4"/>
      <c r="E670" s="4"/>
      <c r="F670" s="4"/>
      <c r="G670" s="4"/>
      <c r="H670" s="4"/>
      <c r="I670" s="4"/>
      <c r="J670" s="19"/>
      <c r="K670" s="4"/>
      <c r="L670" s="4"/>
      <c r="M670" s="4"/>
      <c r="N670" s="4"/>
      <c r="O670" s="4"/>
      <c r="P670" s="4"/>
      <c r="Q670" s="4"/>
      <c r="R670" s="4"/>
      <c r="S670" s="4"/>
      <c r="T670" s="4"/>
      <c r="U670" s="4"/>
      <c r="V670" s="4"/>
      <c r="W670" s="4"/>
      <c r="X670" s="4"/>
      <c r="Y670" s="4"/>
      <c r="Z670" s="4"/>
      <c r="AA670" s="4"/>
      <c r="AB670" s="4"/>
      <c r="AC670" s="4"/>
      <c r="AD670" s="4"/>
      <c r="AE670" s="4"/>
      <c r="AF670" s="4"/>
    </row>
    <row r="671" spans="1:32" ht="15.75" customHeight="1">
      <c r="A671" s="4"/>
      <c r="B671" s="4"/>
      <c r="C671" s="4"/>
      <c r="D671" s="4"/>
      <c r="E671" s="4"/>
      <c r="F671" s="4"/>
      <c r="G671" s="4"/>
      <c r="H671" s="4"/>
      <c r="I671" s="4"/>
      <c r="J671" s="19"/>
      <c r="K671" s="4"/>
      <c r="L671" s="4"/>
      <c r="M671" s="4"/>
      <c r="N671" s="4"/>
      <c r="O671" s="4"/>
      <c r="P671" s="4"/>
      <c r="Q671" s="4"/>
      <c r="R671" s="4"/>
      <c r="S671" s="4"/>
      <c r="T671" s="4"/>
      <c r="U671" s="4"/>
      <c r="V671" s="4"/>
      <c r="W671" s="4"/>
      <c r="X671" s="4"/>
      <c r="Y671" s="4"/>
      <c r="Z671" s="4"/>
      <c r="AA671" s="4"/>
      <c r="AB671" s="4"/>
      <c r="AC671" s="4"/>
      <c r="AD671" s="4"/>
      <c r="AE671" s="4"/>
      <c r="AF671" s="4"/>
    </row>
    <row r="672" spans="1:32" ht="15.75" customHeight="1">
      <c r="A672" s="4"/>
      <c r="B672" s="4"/>
      <c r="C672" s="4"/>
      <c r="D672" s="4"/>
      <c r="E672" s="4"/>
      <c r="F672" s="4"/>
      <c r="G672" s="4"/>
      <c r="H672" s="4"/>
      <c r="I672" s="4"/>
      <c r="J672" s="19"/>
      <c r="K672" s="4"/>
      <c r="L672" s="4"/>
      <c r="M672" s="4"/>
      <c r="N672" s="4"/>
      <c r="O672" s="4"/>
      <c r="P672" s="4"/>
      <c r="Q672" s="4"/>
      <c r="R672" s="4"/>
      <c r="S672" s="4"/>
      <c r="T672" s="4"/>
      <c r="U672" s="4"/>
      <c r="V672" s="4"/>
      <c r="W672" s="4"/>
      <c r="X672" s="4"/>
      <c r="Y672" s="4"/>
      <c r="Z672" s="4"/>
      <c r="AA672" s="4"/>
      <c r="AB672" s="4"/>
      <c r="AC672" s="4"/>
      <c r="AD672" s="4"/>
      <c r="AE672" s="4"/>
      <c r="AF672" s="4"/>
    </row>
    <row r="673" spans="1:32" ht="15.75" customHeight="1">
      <c r="A673" s="4"/>
      <c r="B673" s="4"/>
      <c r="C673" s="4"/>
      <c r="D673" s="4"/>
      <c r="E673" s="4"/>
      <c r="F673" s="4"/>
      <c r="G673" s="4"/>
      <c r="H673" s="4"/>
      <c r="I673" s="4"/>
      <c r="J673" s="19"/>
      <c r="K673" s="4"/>
      <c r="L673" s="4"/>
      <c r="M673" s="4"/>
      <c r="N673" s="4"/>
      <c r="O673" s="4"/>
      <c r="P673" s="4"/>
      <c r="Q673" s="4"/>
      <c r="R673" s="4"/>
      <c r="S673" s="4"/>
      <c r="T673" s="4"/>
      <c r="U673" s="4"/>
      <c r="V673" s="4"/>
      <c r="W673" s="4"/>
      <c r="X673" s="4"/>
      <c r="Y673" s="4"/>
      <c r="Z673" s="4"/>
      <c r="AA673" s="4"/>
      <c r="AB673" s="4"/>
      <c r="AC673" s="4"/>
      <c r="AD673" s="4"/>
      <c r="AE673" s="4"/>
      <c r="AF673" s="4"/>
    </row>
    <row r="674" spans="1:32" ht="15.75" customHeight="1">
      <c r="A674" s="4"/>
      <c r="B674" s="4"/>
      <c r="C674" s="4"/>
      <c r="D674" s="4"/>
      <c r="E674" s="4"/>
      <c r="F674" s="4"/>
      <c r="G674" s="4"/>
      <c r="H674" s="4"/>
      <c r="I674" s="4"/>
      <c r="J674" s="19"/>
      <c r="K674" s="4"/>
      <c r="L674" s="4"/>
      <c r="M674" s="4"/>
      <c r="N674" s="4"/>
      <c r="O674" s="4"/>
      <c r="P674" s="4"/>
      <c r="Q674" s="4"/>
      <c r="R674" s="4"/>
      <c r="S674" s="4"/>
      <c r="T674" s="4"/>
      <c r="U674" s="4"/>
      <c r="V674" s="4"/>
      <c r="W674" s="4"/>
      <c r="X674" s="4"/>
      <c r="Y674" s="4"/>
      <c r="Z674" s="4"/>
      <c r="AA674" s="4"/>
      <c r="AB674" s="4"/>
      <c r="AC674" s="4"/>
      <c r="AD674" s="4"/>
      <c r="AE674" s="4"/>
      <c r="AF674" s="4"/>
    </row>
    <row r="675" spans="1:32" ht="15.75" customHeight="1">
      <c r="A675" s="4"/>
      <c r="B675" s="4"/>
      <c r="C675" s="4"/>
      <c r="D675" s="4"/>
      <c r="E675" s="4"/>
      <c r="F675" s="4"/>
      <c r="G675" s="4"/>
      <c r="H675" s="4"/>
      <c r="I675" s="4"/>
      <c r="J675" s="19"/>
      <c r="K675" s="4"/>
      <c r="L675" s="4"/>
      <c r="M675" s="4"/>
      <c r="N675" s="4"/>
      <c r="O675" s="4"/>
      <c r="P675" s="4"/>
      <c r="Q675" s="4"/>
      <c r="R675" s="4"/>
      <c r="S675" s="4"/>
      <c r="T675" s="4"/>
      <c r="U675" s="4"/>
      <c r="V675" s="4"/>
      <c r="W675" s="4"/>
      <c r="X675" s="4"/>
      <c r="Y675" s="4"/>
      <c r="Z675" s="4"/>
      <c r="AA675" s="4"/>
      <c r="AB675" s="4"/>
      <c r="AC675" s="4"/>
      <c r="AD675" s="4"/>
      <c r="AE675" s="4"/>
      <c r="AF675" s="4"/>
    </row>
    <row r="676" spans="1:32" ht="15.75" customHeight="1">
      <c r="A676" s="4"/>
      <c r="B676" s="4"/>
      <c r="C676" s="4"/>
      <c r="D676" s="4"/>
      <c r="E676" s="4"/>
      <c r="F676" s="4"/>
      <c r="G676" s="4"/>
      <c r="H676" s="4"/>
      <c r="I676" s="4"/>
      <c r="J676" s="19"/>
      <c r="K676" s="4"/>
      <c r="L676" s="4"/>
      <c r="M676" s="4"/>
      <c r="N676" s="4"/>
      <c r="O676" s="4"/>
      <c r="P676" s="4"/>
      <c r="Q676" s="4"/>
      <c r="R676" s="4"/>
      <c r="S676" s="4"/>
      <c r="T676" s="4"/>
      <c r="U676" s="4"/>
      <c r="V676" s="4"/>
      <c r="W676" s="4"/>
      <c r="X676" s="4"/>
      <c r="Y676" s="4"/>
      <c r="Z676" s="4"/>
      <c r="AA676" s="4"/>
      <c r="AB676" s="4"/>
      <c r="AC676" s="4"/>
      <c r="AD676" s="4"/>
      <c r="AE676" s="4"/>
      <c r="AF676" s="4"/>
    </row>
    <row r="677" spans="1:32" ht="15.75" customHeight="1">
      <c r="A677" s="4"/>
      <c r="B677" s="4"/>
      <c r="C677" s="4"/>
      <c r="D677" s="4"/>
      <c r="E677" s="4"/>
      <c r="F677" s="4"/>
      <c r="G677" s="4"/>
      <c r="H677" s="4"/>
      <c r="I677" s="4"/>
      <c r="J677" s="19"/>
      <c r="K677" s="4"/>
      <c r="L677" s="4"/>
      <c r="M677" s="4"/>
      <c r="N677" s="4"/>
      <c r="O677" s="4"/>
      <c r="P677" s="4"/>
      <c r="Q677" s="4"/>
      <c r="R677" s="4"/>
      <c r="S677" s="4"/>
      <c r="T677" s="4"/>
      <c r="U677" s="4"/>
      <c r="V677" s="4"/>
      <c r="W677" s="4"/>
      <c r="X677" s="4"/>
      <c r="Y677" s="4"/>
      <c r="Z677" s="4"/>
      <c r="AA677" s="4"/>
      <c r="AB677" s="4"/>
      <c r="AC677" s="4"/>
      <c r="AD677" s="4"/>
      <c r="AE677" s="4"/>
      <c r="AF677" s="4"/>
    </row>
    <row r="678" spans="1:32" ht="15.75" customHeight="1">
      <c r="A678" s="4"/>
      <c r="B678" s="4"/>
      <c r="C678" s="4"/>
      <c r="D678" s="4"/>
      <c r="E678" s="4"/>
      <c r="F678" s="4"/>
      <c r="G678" s="4"/>
      <c r="H678" s="4"/>
      <c r="I678" s="4"/>
      <c r="J678" s="19"/>
      <c r="K678" s="4"/>
      <c r="L678" s="4"/>
      <c r="M678" s="4"/>
      <c r="N678" s="4"/>
      <c r="O678" s="4"/>
      <c r="P678" s="4"/>
      <c r="Q678" s="4"/>
      <c r="R678" s="4"/>
      <c r="S678" s="4"/>
      <c r="T678" s="4"/>
      <c r="U678" s="4"/>
      <c r="V678" s="4"/>
      <c r="W678" s="4"/>
      <c r="X678" s="4"/>
      <c r="Y678" s="4"/>
      <c r="Z678" s="4"/>
      <c r="AA678" s="4"/>
      <c r="AB678" s="4"/>
      <c r="AC678" s="4"/>
      <c r="AD678" s="4"/>
      <c r="AE678" s="4"/>
      <c r="AF678" s="4"/>
    </row>
    <row r="679" spans="1:32" ht="15.75" customHeight="1">
      <c r="A679" s="4"/>
      <c r="B679" s="4"/>
      <c r="C679" s="4"/>
      <c r="D679" s="4"/>
      <c r="E679" s="4"/>
      <c r="F679" s="4"/>
      <c r="G679" s="4"/>
      <c r="H679" s="4"/>
      <c r="I679" s="4"/>
      <c r="J679" s="19"/>
      <c r="K679" s="4"/>
      <c r="L679" s="4"/>
      <c r="M679" s="4"/>
      <c r="N679" s="4"/>
      <c r="O679" s="4"/>
      <c r="P679" s="4"/>
      <c r="Q679" s="4"/>
      <c r="R679" s="4"/>
      <c r="S679" s="4"/>
      <c r="T679" s="4"/>
      <c r="U679" s="4"/>
      <c r="V679" s="4"/>
      <c r="W679" s="4"/>
      <c r="X679" s="4"/>
      <c r="Y679" s="4"/>
      <c r="Z679" s="4"/>
      <c r="AA679" s="4"/>
      <c r="AB679" s="4"/>
      <c r="AC679" s="4"/>
      <c r="AD679" s="4"/>
      <c r="AE679" s="4"/>
      <c r="AF679" s="4"/>
    </row>
    <row r="680" spans="1:32" ht="15.75" customHeight="1">
      <c r="A680" s="4"/>
      <c r="B680" s="4"/>
      <c r="C680" s="4"/>
      <c r="D680" s="4"/>
      <c r="E680" s="4"/>
      <c r="F680" s="4"/>
      <c r="G680" s="4"/>
      <c r="H680" s="4"/>
      <c r="I680" s="4"/>
      <c r="J680" s="19"/>
      <c r="K680" s="4"/>
      <c r="L680" s="4"/>
      <c r="M680" s="4"/>
      <c r="N680" s="4"/>
      <c r="O680" s="4"/>
      <c r="P680" s="4"/>
      <c r="Q680" s="4"/>
      <c r="R680" s="4"/>
      <c r="S680" s="4"/>
      <c r="T680" s="4"/>
      <c r="U680" s="4"/>
      <c r="V680" s="4"/>
      <c r="W680" s="4"/>
      <c r="X680" s="4"/>
      <c r="Y680" s="4"/>
      <c r="Z680" s="4"/>
      <c r="AA680" s="4"/>
      <c r="AB680" s="4"/>
      <c r="AC680" s="4"/>
      <c r="AD680" s="4"/>
      <c r="AE680" s="4"/>
      <c r="AF680" s="4"/>
    </row>
    <row r="681" spans="1:32" ht="15.75" customHeight="1">
      <c r="A681" s="4"/>
      <c r="B681" s="4"/>
      <c r="C681" s="4"/>
      <c r="D681" s="4"/>
      <c r="E681" s="4"/>
      <c r="F681" s="4"/>
      <c r="G681" s="4"/>
      <c r="H681" s="4"/>
      <c r="I681" s="4"/>
      <c r="J681" s="19"/>
      <c r="K681" s="4"/>
      <c r="L681" s="4"/>
      <c r="M681" s="4"/>
      <c r="N681" s="4"/>
      <c r="O681" s="4"/>
      <c r="P681" s="4"/>
      <c r="Q681" s="4"/>
      <c r="R681" s="4"/>
      <c r="S681" s="4"/>
      <c r="T681" s="4"/>
      <c r="U681" s="4"/>
      <c r="V681" s="4"/>
      <c r="W681" s="4"/>
      <c r="X681" s="4"/>
      <c r="Y681" s="4"/>
      <c r="Z681" s="4"/>
      <c r="AA681" s="4"/>
      <c r="AB681" s="4"/>
      <c r="AC681" s="4"/>
      <c r="AD681" s="4"/>
      <c r="AE681" s="4"/>
      <c r="AF681" s="4"/>
    </row>
    <row r="682" spans="1:32" ht="15.75" customHeight="1">
      <c r="A682" s="4"/>
      <c r="B682" s="4"/>
      <c r="C682" s="4"/>
      <c r="D682" s="4"/>
      <c r="E682" s="4"/>
      <c r="F682" s="4"/>
      <c r="G682" s="4"/>
      <c r="H682" s="4"/>
      <c r="I682" s="4"/>
      <c r="J682" s="19"/>
      <c r="K682" s="4"/>
      <c r="L682" s="4"/>
      <c r="M682" s="4"/>
      <c r="N682" s="4"/>
      <c r="O682" s="4"/>
      <c r="P682" s="4"/>
      <c r="Q682" s="4"/>
      <c r="R682" s="4"/>
      <c r="S682" s="4"/>
      <c r="T682" s="4"/>
      <c r="U682" s="4"/>
      <c r="V682" s="4"/>
      <c r="W682" s="4"/>
      <c r="X682" s="4"/>
      <c r="Y682" s="4"/>
      <c r="Z682" s="4"/>
      <c r="AA682" s="4"/>
      <c r="AB682" s="4"/>
      <c r="AC682" s="4"/>
      <c r="AD682" s="4"/>
      <c r="AE682" s="4"/>
      <c r="AF682" s="4"/>
    </row>
    <row r="683" spans="1:32" ht="15.75" customHeight="1">
      <c r="A683" s="4"/>
      <c r="B683" s="4"/>
      <c r="C683" s="4"/>
      <c r="D683" s="4"/>
      <c r="E683" s="4"/>
      <c r="F683" s="4"/>
      <c r="G683" s="4"/>
      <c r="H683" s="4"/>
      <c r="I683" s="4"/>
      <c r="J683" s="19"/>
      <c r="K683" s="4"/>
      <c r="L683" s="4"/>
      <c r="M683" s="4"/>
      <c r="N683" s="4"/>
      <c r="O683" s="4"/>
      <c r="P683" s="4"/>
      <c r="Q683" s="4"/>
      <c r="R683" s="4"/>
      <c r="S683" s="4"/>
      <c r="T683" s="4"/>
      <c r="U683" s="4"/>
      <c r="V683" s="4"/>
      <c r="W683" s="4"/>
      <c r="X683" s="4"/>
      <c r="Y683" s="4"/>
      <c r="Z683" s="4"/>
      <c r="AA683" s="4"/>
      <c r="AB683" s="4"/>
      <c r="AC683" s="4"/>
      <c r="AD683" s="4"/>
      <c r="AE683" s="4"/>
      <c r="AF683" s="4"/>
    </row>
    <row r="684" spans="1:32" ht="15.75" customHeight="1">
      <c r="A684" s="4"/>
      <c r="B684" s="4"/>
      <c r="C684" s="4"/>
      <c r="D684" s="4"/>
      <c r="E684" s="4"/>
      <c r="F684" s="4"/>
      <c r="G684" s="4"/>
      <c r="H684" s="4"/>
      <c r="I684" s="4"/>
      <c r="J684" s="19"/>
      <c r="K684" s="4"/>
      <c r="L684" s="4"/>
      <c r="M684" s="4"/>
      <c r="N684" s="4"/>
      <c r="O684" s="4"/>
      <c r="P684" s="4"/>
      <c r="Q684" s="4"/>
      <c r="R684" s="4"/>
      <c r="S684" s="4"/>
      <c r="T684" s="4"/>
      <c r="U684" s="4"/>
      <c r="V684" s="4"/>
      <c r="W684" s="4"/>
      <c r="X684" s="4"/>
      <c r="Y684" s="4"/>
      <c r="Z684" s="4"/>
      <c r="AA684" s="4"/>
      <c r="AB684" s="4"/>
      <c r="AC684" s="4"/>
      <c r="AD684" s="4"/>
      <c r="AE684" s="4"/>
      <c r="AF684" s="4"/>
    </row>
    <row r="685" spans="1:32" ht="15.75" customHeight="1">
      <c r="A685" s="4"/>
      <c r="B685" s="4"/>
      <c r="C685" s="4"/>
      <c r="D685" s="4"/>
      <c r="E685" s="4"/>
      <c r="F685" s="4"/>
      <c r="G685" s="4"/>
      <c r="H685" s="4"/>
      <c r="I685" s="4"/>
      <c r="J685" s="19"/>
      <c r="K685" s="4"/>
      <c r="L685" s="4"/>
      <c r="M685" s="4"/>
      <c r="N685" s="4"/>
      <c r="O685" s="4"/>
      <c r="P685" s="4"/>
      <c r="Q685" s="4"/>
      <c r="R685" s="4"/>
      <c r="S685" s="4"/>
      <c r="T685" s="4"/>
      <c r="U685" s="4"/>
      <c r="V685" s="4"/>
      <c r="W685" s="4"/>
      <c r="X685" s="4"/>
      <c r="Y685" s="4"/>
      <c r="Z685" s="4"/>
      <c r="AA685" s="4"/>
      <c r="AB685" s="4"/>
      <c r="AC685" s="4"/>
      <c r="AD685" s="4"/>
      <c r="AE685" s="4"/>
      <c r="AF685" s="4"/>
    </row>
    <row r="686" spans="1:32" ht="15.75" customHeight="1">
      <c r="A686" s="4"/>
      <c r="B686" s="4"/>
      <c r="C686" s="4"/>
      <c r="D686" s="4"/>
      <c r="E686" s="4"/>
      <c r="F686" s="4"/>
      <c r="G686" s="4"/>
      <c r="H686" s="4"/>
      <c r="I686" s="4"/>
      <c r="J686" s="19"/>
      <c r="K686" s="4"/>
      <c r="L686" s="4"/>
      <c r="M686" s="4"/>
      <c r="N686" s="4"/>
      <c r="O686" s="4"/>
      <c r="P686" s="4"/>
      <c r="Q686" s="4"/>
      <c r="R686" s="4"/>
      <c r="S686" s="4"/>
      <c r="T686" s="4"/>
      <c r="U686" s="4"/>
      <c r="V686" s="4"/>
      <c r="W686" s="4"/>
      <c r="X686" s="4"/>
      <c r="Y686" s="4"/>
      <c r="Z686" s="4"/>
      <c r="AA686" s="4"/>
      <c r="AB686" s="4"/>
      <c r="AC686" s="4"/>
      <c r="AD686" s="4"/>
      <c r="AE686" s="4"/>
      <c r="AF686" s="4"/>
    </row>
    <row r="687" spans="1:32" ht="15.75" customHeight="1">
      <c r="A687" s="4"/>
      <c r="B687" s="4"/>
      <c r="C687" s="4"/>
      <c r="D687" s="4"/>
      <c r="E687" s="4"/>
      <c r="F687" s="4"/>
      <c r="G687" s="4"/>
      <c r="H687" s="4"/>
      <c r="I687" s="4"/>
      <c r="J687" s="19"/>
      <c r="K687" s="4"/>
      <c r="L687" s="4"/>
      <c r="M687" s="4"/>
      <c r="N687" s="4"/>
      <c r="O687" s="4"/>
      <c r="P687" s="4"/>
      <c r="Q687" s="4"/>
      <c r="R687" s="4"/>
      <c r="S687" s="4"/>
      <c r="T687" s="4"/>
      <c r="U687" s="4"/>
      <c r="V687" s="4"/>
      <c r="W687" s="4"/>
      <c r="X687" s="4"/>
      <c r="Y687" s="4"/>
      <c r="Z687" s="4"/>
      <c r="AA687" s="4"/>
      <c r="AB687" s="4"/>
      <c r="AC687" s="4"/>
      <c r="AD687" s="4"/>
      <c r="AE687" s="4"/>
      <c r="AF687" s="4"/>
    </row>
    <row r="688" spans="1:32" ht="15.75" customHeight="1">
      <c r="A688" s="4"/>
      <c r="B688" s="4"/>
      <c r="C688" s="4"/>
      <c r="D688" s="4"/>
      <c r="E688" s="4"/>
      <c r="F688" s="4"/>
      <c r="G688" s="4"/>
      <c r="H688" s="4"/>
      <c r="I688" s="4"/>
      <c r="J688" s="19"/>
      <c r="K688" s="4"/>
      <c r="L688" s="4"/>
      <c r="M688" s="4"/>
      <c r="N688" s="4"/>
      <c r="O688" s="4"/>
      <c r="P688" s="4"/>
      <c r="Q688" s="4"/>
      <c r="R688" s="4"/>
      <c r="S688" s="4"/>
      <c r="T688" s="4"/>
      <c r="U688" s="4"/>
      <c r="V688" s="4"/>
      <c r="W688" s="4"/>
      <c r="X688" s="4"/>
      <c r="Y688" s="4"/>
      <c r="Z688" s="4"/>
      <c r="AA688" s="4"/>
      <c r="AB688" s="4"/>
      <c r="AC688" s="4"/>
      <c r="AD688" s="4"/>
      <c r="AE688" s="4"/>
      <c r="AF688" s="4"/>
    </row>
    <row r="689" spans="1:32" ht="15.75" customHeight="1">
      <c r="A689" s="4"/>
      <c r="B689" s="4"/>
      <c r="C689" s="4"/>
      <c r="D689" s="4"/>
      <c r="E689" s="4"/>
      <c r="F689" s="4"/>
      <c r="G689" s="4"/>
      <c r="H689" s="4"/>
      <c r="I689" s="4"/>
      <c r="J689" s="19"/>
      <c r="K689" s="4"/>
      <c r="L689" s="4"/>
      <c r="M689" s="4"/>
      <c r="N689" s="4"/>
      <c r="O689" s="4"/>
      <c r="P689" s="4"/>
      <c r="Q689" s="4"/>
      <c r="R689" s="4"/>
      <c r="S689" s="4"/>
      <c r="T689" s="4"/>
      <c r="U689" s="4"/>
      <c r="V689" s="4"/>
      <c r="W689" s="4"/>
      <c r="X689" s="4"/>
      <c r="Y689" s="4"/>
      <c r="Z689" s="4"/>
      <c r="AA689" s="4"/>
      <c r="AB689" s="4"/>
      <c r="AC689" s="4"/>
      <c r="AD689" s="4"/>
      <c r="AE689" s="4"/>
      <c r="AF689" s="4"/>
    </row>
    <row r="690" spans="1:32" ht="15.75" customHeight="1">
      <c r="A690" s="4"/>
      <c r="B690" s="4"/>
      <c r="C690" s="4"/>
      <c r="D690" s="4"/>
      <c r="E690" s="4"/>
      <c r="F690" s="4"/>
      <c r="G690" s="4"/>
      <c r="H690" s="4"/>
      <c r="I690" s="4"/>
      <c r="J690" s="19"/>
      <c r="K690" s="4"/>
      <c r="L690" s="4"/>
      <c r="M690" s="4"/>
      <c r="N690" s="4"/>
      <c r="O690" s="4"/>
      <c r="P690" s="4"/>
      <c r="Q690" s="4"/>
      <c r="R690" s="4"/>
      <c r="S690" s="4"/>
      <c r="T690" s="4"/>
      <c r="U690" s="4"/>
      <c r="V690" s="4"/>
      <c r="W690" s="4"/>
      <c r="X690" s="4"/>
      <c r="Y690" s="4"/>
      <c r="Z690" s="4"/>
      <c r="AA690" s="4"/>
      <c r="AB690" s="4"/>
      <c r="AC690" s="4"/>
      <c r="AD690" s="4"/>
      <c r="AE690" s="4"/>
      <c r="AF690" s="4"/>
    </row>
    <row r="691" spans="1:32" ht="15.75" customHeight="1">
      <c r="A691" s="4"/>
      <c r="B691" s="4"/>
      <c r="C691" s="4"/>
      <c r="D691" s="4"/>
      <c r="E691" s="4"/>
      <c r="F691" s="4"/>
      <c r="G691" s="4"/>
      <c r="H691" s="4"/>
      <c r="I691" s="4"/>
      <c r="J691" s="19"/>
      <c r="K691" s="4"/>
      <c r="L691" s="4"/>
      <c r="M691" s="4"/>
      <c r="N691" s="4"/>
      <c r="O691" s="4"/>
      <c r="P691" s="4"/>
      <c r="Q691" s="4"/>
      <c r="R691" s="4"/>
      <c r="S691" s="4"/>
      <c r="T691" s="4"/>
      <c r="U691" s="4"/>
      <c r="V691" s="4"/>
      <c r="W691" s="4"/>
      <c r="X691" s="4"/>
      <c r="Y691" s="4"/>
      <c r="Z691" s="4"/>
      <c r="AA691" s="4"/>
      <c r="AB691" s="4"/>
      <c r="AC691" s="4"/>
      <c r="AD691" s="4"/>
      <c r="AE691" s="4"/>
      <c r="AF691" s="4"/>
    </row>
    <row r="692" spans="1:32" ht="15.75" customHeight="1">
      <c r="A692" s="4"/>
      <c r="B692" s="4"/>
      <c r="C692" s="4"/>
      <c r="D692" s="4"/>
      <c r="E692" s="4"/>
      <c r="F692" s="4"/>
      <c r="G692" s="4"/>
      <c r="H692" s="4"/>
      <c r="I692" s="4"/>
      <c r="J692" s="19"/>
      <c r="K692" s="4"/>
      <c r="L692" s="4"/>
      <c r="M692" s="4"/>
      <c r="N692" s="4"/>
      <c r="O692" s="4"/>
      <c r="P692" s="4"/>
      <c r="Q692" s="4"/>
      <c r="R692" s="4"/>
      <c r="S692" s="4"/>
      <c r="T692" s="4"/>
      <c r="U692" s="4"/>
      <c r="V692" s="4"/>
      <c r="W692" s="4"/>
      <c r="X692" s="4"/>
      <c r="Y692" s="4"/>
      <c r="Z692" s="4"/>
      <c r="AA692" s="4"/>
      <c r="AB692" s="4"/>
      <c r="AC692" s="4"/>
      <c r="AD692" s="4"/>
      <c r="AE692" s="4"/>
      <c r="AF692" s="4"/>
    </row>
    <row r="693" spans="1:32" ht="15.75" customHeight="1">
      <c r="A693" s="4"/>
      <c r="B693" s="4"/>
      <c r="C693" s="4"/>
      <c r="D693" s="4"/>
      <c r="E693" s="4"/>
      <c r="F693" s="4"/>
      <c r="G693" s="4"/>
      <c r="H693" s="4"/>
      <c r="I693" s="4"/>
      <c r="J693" s="19"/>
      <c r="K693" s="4"/>
      <c r="L693" s="4"/>
      <c r="M693" s="4"/>
      <c r="N693" s="4"/>
      <c r="O693" s="4"/>
      <c r="P693" s="4"/>
      <c r="Q693" s="4"/>
      <c r="R693" s="4"/>
      <c r="S693" s="4"/>
      <c r="T693" s="4"/>
      <c r="U693" s="4"/>
      <c r="V693" s="4"/>
      <c r="W693" s="4"/>
      <c r="X693" s="4"/>
      <c r="Y693" s="4"/>
      <c r="Z693" s="4"/>
      <c r="AA693" s="4"/>
      <c r="AB693" s="4"/>
      <c r="AC693" s="4"/>
      <c r="AD693" s="4"/>
      <c r="AE693" s="4"/>
      <c r="AF693" s="4"/>
    </row>
    <row r="694" spans="1:32" ht="15.75" customHeight="1">
      <c r="A694" s="4"/>
      <c r="B694" s="4"/>
      <c r="C694" s="4"/>
      <c r="D694" s="4"/>
      <c r="E694" s="4"/>
      <c r="F694" s="4"/>
      <c r="G694" s="4"/>
      <c r="H694" s="4"/>
      <c r="I694" s="4"/>
      <c r="J694" s="19"/>
      <c r="K694" s="4"/>
      <c r="L694" s="4"/>
      <c r="M694" s="4"/>
      <c r="N694" s="4"/>
      <c r="O694" s="4"/>
      <c r="P694" s="4"/>
      <c r="Q694" s="4"/>
      <c r="R694" s="4"/>
      <c r="S694" s="4"/>
      <c r="T694" s="4"/>
      <c r="U694" s="4"/>
      <c r="V694" s="4"/>
      <c r="W694" s="4"/>
      <c r="X694" s="4"/>
      <c r="Y694" s="4"/>
      <c r="Z694" s="4"/>
      <c r="AA694" s="4"/>
      <c r="AB694" s="4"/>
      <c r="AC694" s="4"/>
      <c r="AD694" s="4"/>
      <c r="AE694" s="4"/>
      <c r="AF694" s="4"/>
    </row>
    <row r="695" spans="1:32" ht="15.75" customHeight="1">
      <c r="A695" s="4"/>
      <c r="B695" s="4"/>
      <c r="C695" s="4"/>
      <c r="D695" s="4"/>
      <c r="E695" s="4"/>
      <c r="F695" s="4"/>
      <c r="G695" s="4"/>
      <c r="H695" s="4"/>
      <c r="I695" s="4"/>
      <c r="J695" s="19"/>
      <c r="K695" s="4"/>
      <c r="L695" s="4"/>
      <c r="M695" s="4"/>
      <c r="N695" s="4"/>
      <c r="O695" s="4"/>
      <c r="P695" s="4"/>
      <c r="Q695" s="4"/>
      <c r="R695" s="4"/>
      <c r="S695" s="4"/>
      <c r="T695" s="4"/>
      <c r="U695" s="4"/>
      <c r="V695" s="4"/>
      <c r="W695" s="4"/>
      <c r="X695" s="4"/>
      <c r="Y695" s="4"/>
      <c r="Z695" s="4"/>
      <c r="AA695" s="4"/>
      <c r="AB695" s="4"/>
      <c r="AC695" s="4"/>
      <c r="AD695" s="4"/>
      <c r="AE695" s="4"/>
      <c r="AF695" s="4"/>
    </row>
    <row r="696" spans="1:32" ht="15.75" customHeight="1">
      <c r="A696" s="4"/>
      <c r="B696" s="4"/>
      <c r="C696" s="4"/>
      <c r="D696" s="4"/>
      <c r="E696" s="4"/>
      <c r="F696" s="4"/>
      <c r="G696" s="4"/>
      <c r="H696" s="4"/>
      <c r="I696" s="4"/>
      <c r="J696" s="19"/>
      <c r="K696" s="4"/>
      <c r="L696" s="4"/>
      <c r="M696" s="4"/>
      <c r="N696" s="4"/>
      <c r="O696" s="4"/>
      <c r="P696" s="4"/>
      <c r="Q696" s="4"/>
      <c r="R696" s="4"/>
      <c r="S696" s="4"/>
      <c r="T696" s="4"/>
      <c r="U696" s="4"/>
      <c r="V696" s="4"/>
      <c r="W696" s="4"/>
      <c r="X696" s="4"/>
      <c r="Y696" s="4"/>
      <c r="Z696" s="4"/>
      <c r="AA696" s="4"/>
      <c r="AB696" s="4"/>
      <c r="AC696" s="4"/>
      <c r="AD696" s="4"/>
      <c r="AE696" s="4"/>
      <c r="AF696" s="4"/>
    </row>
    <row r="697" spans="1:32" ht="15.75" customHeight="1">
      <c r="A697" s="4"/>
      <c r="B697" s="4"/>
      <c r="C697" s="4"/>
      <c r="D697" s="4"/>
      <c r="E697" s="4"/>
      <c r="F697" s="4"/>
      <c r="G697" s="4"/>
      <c r="H697" s="4"/>
      <c r="I697" s="4"/>
      <c r="J697" s="19"/>
      <c r="K697" s="4"/>
      <c r="L697" s="4"/>
      <c r="M697" s="4"/>
      <c r="N697" s="4"/>
      <c r="O697" s="4"/>
      <c r="P697" s="4"/>
      <c r="Q697" s="4"/>
      <c r="R697" s="4"/>
      <c r="S697" s="4"/>
      <c r="T697" s="4"/>
      <c r="U697" s="4"/>
      <c r="V697" s="4"/>
      <c r="W697" s="4"/>
      <c r="X697" s="4"/>
      <c r="Y697" s="4"/>
      <c r="Z697" s="4"/>
      <c r="AA697" s="4"/>
      <c r="AB697" s="4"/>
      <c r="AC697" s="4"/>
      <c r="AD697" s="4"/>
      <c r="AE697" s="4"/>
      <c r="AF697" s="4"/>
    </row>
    <row r="698" spans="1:32" ht="15.75" customHeight="1">
      <c r="A698" s="4"/>
      <c r="B698" s="4"/>
      <c r="C698" s="4"/>
      <c r="D698" s="4"/>
      <c r="E698" s="4"/>
      <c r="F698" s="4"/>
      <c r="G698" s="4"/>
      <c r="H698" s="4"/>
      <c r="I698" s="4"/>
      <c r="J698" s="19"/>
      <c r="K698" s="4"/>
      <c r="L698" s="4"/>
      <c r="M698" s="4"/>
      <c r="N698" s="4"/>
      <c r="O698" s="4"/>
      <c r="P698" s="4"/>
      <c r="Q698" s="4"/>
      <c r="R698" s="4"/>
      <c r="S698" s="4"/>
      <c r="T698" s="4"/>
      <c r="U698" s="4"/>
      <c r="V698" s="4"/>
      <c r="W698" s="4"/>
      <c r="X698" s="4"/>
      <c r="Y698" s="4"/>
      <c r="Z698" s="4"/>
      <c r="AA698" s="4"/>
      <c r="AB698" s="4"/>
      <c r="AC698" s="4"/>
      <c r="AD698" s="4"/>
      <c r="AE698" s="4"/>
      <c r="AF698" s="4"/>
    </row>
    <row r="699" spans="1:32" ht="15.75" customHeight="1">
      <c r="A699" s="4"/>
      <c r="B699" s="4"/>
      <c r="C699" s="4"/>
      <c r="D699" s="4"/>
      <c r="E699" s="4"/>
      <c r="F699" s="4"/>
      <c r="G699" s="4"/>
      <c r="H699" s="4"/>
      <c r="I699" s="4"/>
      <c r="J699" s="19"/>
      <c r="K699" s="4"/>
      <c r="L699" s="4"/>
      <c r="M699" s="4"/>
      <c r="N699" s="4"/>
      <c r="O699" s="4"/>
      <c r="P699" s="4"/>
      <c r="Q699" s="4"/>
      <c r="R699" s="4"/>
      <c r="S699" s="4"/>
      <c r="T699" s="4"/>
      <c r="U699" s="4"/>
      <c r="V699" s="4"/>
      <c r="W699" s="4"/>
      <c r="X699" s="4"/>
      <c r="Y699" s="4"/>
      <c r="Z699" s="4"/>
      <c r="AA699" s="4"/>
      <c r="AB699" s="4"/>
      <c r="AC699" s="4"/>
      <c r="AD699" s="4"/>
      <c r="AE699" s="4"/>
      <c r="AF699" s="4"/>
    </row>
    <row r="700" spans="1:32" ht="15.75" customHeight="1">
      <c r="A700" s="4"/>
      <c r="B700" s="4"/>
      <c r="C700" s="4"/>
      <c r="D700" s="4"/>
      <c r="E700" s="4"/>
      <c r="F700" s="4"/>
      <c r="G700" s="4"/>
      <c r="H700" s="4"/>
      <c r="I700" s="4"/>
      <c r="J700" s="19"/>
      <c r="K700" s="4"/>
      <c r="L700" s="4"/>
      <c r="M700" s="4"/>
      <c r="N700" s="4"/>
      <c r="O700" s="4"/>
      <c r="P700" s="4"/>
      <c r="Q700" s="4"/>
      <c r="R700" s="4"/>
      <c r="S700" s="4"/>
      <c r="T700" s="4"/>
      <c r="U700" s="4"/>
      <c r="V700" s="4"/>
      <c r="W700" s="4"/>
      <c r="X700" s="4"/>
      <c r="Y700" s="4"/>
      <c r="Z700" s="4"/>
      <c r="AA700" s="4"/>
      <c r="AB700" s="4"/>
      <c r="AC700" s="4"/>
      <c r="AD700" s="4"/>
      <c r="AE700" s="4"/>
      <c r="AF700" s="4"/>
    </row>
    <row r="701" spans="1:32" ht="15.75" customHeight="1">
      <c r="A701" s="4"/>
      <c r="B701" s="4"/>
      <c r="C701" s="4"/>
      <c r="D701" s="4"/>
      <c r="E701" s="4"/>
      <c r="F701" s="4"/>
      <c r="G701" s="4"/>
      <c r="H701" s="4"/>
      <c r="I701" s="4"/>
      <c r="J701" s="19"/>
      <c r="K701" s="4"/>
      <c r="L701" s="4"/>
      <c r="M701" s="4"/>
      <c r="N701" s="4"/>
      <c r="O701" s="4"/>
      <c r="P701" s="4"/>
      <c r="Q701" s="4"/>
      <c r="R701" s="4"/>
      <c r="S701" s="4"/>
      <c r="T701" s="4"/>
      <c r="U701" s="4"/>
      <c r="V701" s="4"/>
      <c r="W701" s="4"/>
      <c r="X701" s="4"/>
      <c r="Y701" s="4"/>
      <c r="Z701" s="4"/>
      <c r="AA701" s="4"/>
      <c r="AB701" s="4"/>
      <c r="AC701" s="4"/>
      <c r="AD701" s="4"/>
      <c r="AE701" s="4"/>
      <c r="AF701" s="4"/>
    </row>
    <row r="702" spans="1:32" ht="15.75" customHeight="1">
      <c r="A702" s="4"/>
      <c r="B702" s="4"/>
      <c r="C702" s="4"/>
      <c r="D702" s="4"/>
      <c r="E702" s="4"/>
      <c r="F702" s="4"/>
      <c r="G702" s="4"/>
      <c r="H702" s="4"/>
      <c r="I702" s="4"/>
      <c r="J702" s="19"/>
      <c r="K702" s="4"/>
      <c r="L702" s="4"/>
      <c r="M702" s="4"/>
      <c r="N702" s="4"/>
      <c r="O702" s="4"/>
      <c r="P702" s="4"/>
      <c r="Q702" s="4"/>
      <c r="R702" s="4"/>
      <c r="S702" s="4"/>
      <c r="T702" s="4"/>
      <c r="U702" s="4"/>
      <c r="V702" s="4"/>
      <c r="W702" s="4"/>
      <c r="X702" s="4"/>
      <c r="Y702" s="4"/>
      <c r="Z702" s="4"/>
      <c r="AA702" s="4"/>
      <c r="AB702" s="4"/>
      <c r="AC702" s="4"/>
      <c r="AD702" s="4"/>
      <c r="AE702" s="4"/>
      <c r="AF702" s="4"/>
    </row>
    <row r="703" spans="1:32" ht="15.75" customHeight="1">
      <c r="A703" s="4"/>
      <c r="B703" s="4"/>
      <c r="C703" s="4"/>
      <c r="D703" s="4"/>
      <c r="E703" s="4"/>
      <c r="F703" s="4"/>
      <c r="G703" s="4"/>
      <c r="H703" s="4"/>
      <c r="I703" s="4"/>
      <c r="J703" s="19"/>
      <c r="K703" s="4"/>
      <c r="L703" s="4"/>
      <c r="M703" s="4"/>
      <c r="N703" s="4"/>
      <c r="O703" s="4"/>
      <c r="P703" s="4"/>
      <c r="Q703" s="4"/>
      <c r="R703" s="4"/>
      <c r="S703" s="4"/>
      <c r="T703" s="4"/>
      <c r="U703" s="4"/>
      <c r="V703" s="4"/>
      <c r="W703" s="4"/>
      <c r="X703" s="4"/>
      <c r="Y703" s="4"/>
      <c r="Z703" s="4"/>
      <c r="AA703" s="4"/>
      <c r="AB703" s="4"/>
      <c r="AC703" s="4"/>
      <c r="AD703" s="4"/>
      <c r="AE703" s="4"/>
      <c r="AF703" s="4"/>
    </row>
    <row r="704" spans="1:32" ht="15.75" customHeight="1">
      <c r="A704" s="4"/>
      <c r="B704" s="4"/>
      <c r="C704" s="4"/>
      <c r="D704" s="4"/>
      <c r="E704" s="4"/>
      <c r="F704" s="4"/>
      <c r="G704" s="4"/>
      <c r="H704" s="4"/>
      <c r="I704" s="4"/>
      <c r="J704" s="19"/>
      <c r="K704" s="4"/>
      <c r="L704" s="4"/>
      <c r="M704" s="4"/>
      <c r="N704" s="4"/>
      <c r="O704" s="4"/>
      <c r="P704" s="4"/>
      <c r="Q704" s="4"/>
      <c r="R704" s="4"/>
      <c r="S704" s="4"/>
      <c r="T704" s="4"/>
      <c r="U704" s="4"/>
      <c r="V704" s="4"/>
      <c r="W704" s="4"/>
      <c r="X704" s="4"/>
      <c r="Y704" s="4"/>
      <c r="Z704" s="4"/>
      <c r="AA704" s="4"/>
      <c r="AB704" s="4"/>
      <c r="AC704" s="4"/>
      <c r="AD704" s="4"/>
      <c r="AE704" s="4"/>
      <c r="AF704" s="4"/>
    </row>
    <row r="705" spans="1:32" ht="15.75" customHeight="1">
      <c r="A705" s="4"/>
      <c r="B705" s="4"/>
      <c r="C705" s="4"/>
      <c r="D705" s="4"/>
      <c r="E705" s="4"/>
      <c r="F705" s="4"/>
      <c r="G705" s="4"/>
      <c r="H705" s="4"/>
      <c r="I705" s="4"/>
      <c r="J705" s="19"/>
      <c r="K705" s="4"/>
      <c r="L705" s="4"/>
      <c r="M705" s="4"/>
      <c r="N705" s="4"/>
      <c r="O705" s="4"/>
      <c r="P705" s="4"/>
      <c r="Q705" s="4"/>
      <c r="R705" s="4"/>
      <c r="S705" s="4"/>
      <c r="T705" s="4"/>
      <c r="U705" s="4"/>
      <c r="V705" s="4"/>
      <c r="W705" s="4"/>
      <c r="X705" s="4"/>
      <c r="Y705" s="4"/>
      <c r="Z705" s="4"/>
      <c r="AA705" s="4"/>
      <c r="AB705" s="4"/>
      <c r="AC705" s="4"/>
      <c r="AD705" s="4"/>
      <c r="AE705" s="4"/>
      <c r="AF705" s="4"/>
    </row>
    <row r="706" spans="1:32" ht="15.75" customHeight="1">
      <c r="A706" s="4"/>
      <c r="B706" s="4"/>
      <c r="C706" s="4"/>
      <c r="D706" s="4"/>
      <c r="E706" s="4"/>
      <c r="F706" s="4"/>
      <c r="G706" s="4"/>
      <c r="H706" s="4"/>
      <c r="I706" s="4"/>
      <c r="J706" s="19"/>
      <c r="K706" s="4"/>
      <c r="L706" s="4"/>
      <c r="M706" s="4"/>
      <c r="N706" s="4"/>
      <c r="O706" s="4"/>
      <c r="P706" s="4"/>
      <c r="Q706" s="4"/>
      <c r="R706" s="4"/>
      <c r="S706" s="4"/>
      <c r="T706" s="4"/>
      <c r="U706" s="4"/>
      <c r="V706" s="4"/>
      <c r="W706" s="4"/>
      <c r="X706" s="4"/>
      <c r="Y706" s="4"/>
      <c r="Z706" s="4"/>
      <c r="AA706" s="4"/>
      <c r="AB706" s="4"/>
      <c r="AC706" s="4"/>
      <c r="AD706" s="4"/>
      <c r="AE706" s="4"/>
      <c r="AF706" s="4"/>
    </row>
    <row r="707" spans="1:32" ht="15.75" customHeight="1">
      <c r="A707" s="4"/>
      <c r="B707" s="4"/>
      <c r="C707" s="4"/>
      <c r="D707" s="4"/>
      <c r="E707" s="4"/>
      <c r="F707" s="4"/>
      <c r="G707" s="4"/>
      <c r="H707" s="4"/>
      <c r="I707" s="4"/>
      <c r="J707" s="19"/>
      <c r="K707" s="4"/>
      <c r="L707" s="4"/>
      <c r="M707" s="4"/>
      <c r="N707" s="4"/>
      <c r="O707" s="4"/>
      <c r="P707" s="4"/>
      <c r="Q707" s="4"/>
      <c r="R707" s="4"/>
      <c r="S707" s="4"/>
      <c r="T707" s="4"/>
      <c r="U707" s="4"/>
      <c r="V707" s="4"/>
      <c r="W707" s="4"/>
      <c r="X707" s="4"/>
      <c r="Y707" s="4"/>
      <c r="Z707" s="4"/>
      <c r="AA707" s="4"/>
      <c r="AB707" s="4"/>
      <c r="AC707" s="4"/>
      <c r="AD707" s="4"/>
      <c r="AE707" s="4"/>
      <c r="AF707" s="4"/>
    </row>
    <row r="708" spans="1:32" ht="15.75" customHeight="1">
      <c r="A708" s="4"/>
      <c r="B708" s="4"/>
      <c r="C708" s="4"/>
      <c r="D708" s="4"/>
      <c r="E708" s="4"/>
      <c r="F708" s="4"/>
      <c r="G708" s="4"/>
      <c r="H708" s="4"/>
      <c r="I708" s="4"/>
      <c r="J708" s="19"/>
      <c r="K708" s="4"/>
      <c r="L708" s="4"/>
      <c r="M708" s="4"/>
      <c r="N708" s="4"/>
      <c r="O708" s="4"/>
      <c r="P708" s="4"/>
      <c r="Q708" s="4"/>
      <c r="R708" s="4"/>
      <c r="S708" s="4"/>
      <c r="T708" s="4"/>
      <c r="U708" s="4"/>
      <c r="V708" s="4"/>
      <c r="W708" s="4"/>
      <c r="X708" s="4"/>
      <c r="Y708" s="4"/>
      <c r="Z708" s="4"/>
      <c r="AA708" s="4"/>
      <c r="AB708" s="4"/>
      <c r="AC708" s="4"/>
      <c r="AD708" s="4"/>
      <c r="AE708" s="4"/>
      <c r="AF708" s="4"/>
    </row>
    <row r="709" spans="1:32" ht="15.75" customHeight="1">
      <c r="A709" s="4"/>
      <c r="B709" s="4"/>
      <c r="C709" s="4"/>
      <c r="D709" s="4"/>
      <c r="E709" s="4"/>
      <c r="F709" s="4"/>
      <c r="G709" s="4"/>
      <c r="H709" s="4"/>
      <c r="I709" s="4"/>
      <c r="J709" s="19"/>
      <c r="K709" s="4"/>
      <c r="L709" s="4"/>
      <c r="M709" s="4"/>
      <c r="N709" s="4"/>
      <c r="O709" s="4"/>
      <c r="P709" s="4"/>
      <c r="Q709" s="4"/>
      <c r="R709" s="4"/>
      <c r="S709" s="4"/>
      <c r="T709" s="4"/>
      <c r="U709" s="4"/>
      <c r="V709" s="4"/>
      <c r="W709" s="4"/>
      <c r="X709" s="4"/>
      <c r="Y709" s="4"/>
      <c r="Z709" s="4"/>
      <c r="AA709" s="4"/>
      <c r="AB709" s="4"/>
      <c r="AC709" s="4"/>
      <c r="AD709" s="4"/>
      <c r="AE709" s="4"/>
      <c r="AF709" s="4"/>
    </row>
    <row r="710" spans="1:32" ht="15.75" customHeight="1">
      <c r="A710" s="4"/>
      <c r="B710" s="4"/>
      <c r="C710" s="4"/>
      <c r="D710" s="4"/>
      <c r="E710" s="4"/>
      <c r="F710" s="4"/>
      <c r="G710" s="4"/>
      <c r="H710" s="4"/>
      <c r="I710" s="4"/>
      <c r="J710" s="19"/>
      <c r="K710" s="4"/>
      <c r="L710" s="4"/>
      <c r="M710" s="4"/>
      <c r="N710" s="4"/>
      <c r="O710" s="4"/>
      <c r="P710" s="4"/>
      <c r="Q710" s="4"/>
      <c r="R710" s="4"/>
      <c r="S710" s="4"/>
      <c r="T710" s="4"/>
      <c r="U710" s="4"/>
      <c r="V710" s="4"/>
      <c r="W710" s="4"/>
      <c r="X710" s="4"/>
      <c r="Y710" s="4"/>
      <c r="Z710" s="4"/>
      <c r="AA710" s="4"/>
      <c r="AB710" s="4"/>
      <c r="AC710" s="4"/>
      <c r="AD710" s="4"/>
      <c r="AE710" s="4"/>
      <c r="AF710" s="4"/>
    </row>
    <row r="711" spans="1:32" ht="15.75" customHeight="1">
      <c r="A711" s="4"/>
      <c r="B711" s="4"/>
      <c r="C711" s="4"/>
      <c r="D711" s="4"/>
      <c r="E711" s="4"/>
      <c r="F711" s="4"/>
      <c r="G711" s="4"/>
      <c r="H711" s="4"/>
      <c r="I711" s="4"/>
      <c r="J711" s="19"/>
      <c r="K711" s="4"/>
      <c r="L711" s="4"/>
      <c r="M711" s="4"/>
      <c r="N711" s="4"/>
      <c r="O711" s="4"/>
      <c r="P711" s="4"/>
      <c r="Q711" s="4"/>
      <c r="R711" s="4"/>
      <c r="S711" s="4"/>
      <c r="T711" s="4"/>
      <c r="U711" s="4"/>
      <c r="V711" s="4"/>
      <c r="W711" s="4"/>
      <c r="X711" s="4"/>
      <c r="Y711" s="4"/>
      <c r="Z711" s="4"/>
      <c r="AA711" s="4"/>
      <c r="AB711" s="4"/>
      <c r="AC711" s="4"/>
      <c r="AD711" s="4"/>
      <c r="AE711" s="4"/>
      <c r="AF711" s="4"/>
    </row>
    <row r="712" spans="1:32" ht="15.75" customHeight="1">
      <c r="A712" s="4"/>
      <c r="B712" s="4"/>
      <c r="C712" s="4"/>
      <c r="D712" s="4"/>
      <c r="E712" s="4"/>
      <c r="F712" s="4"/>
      <c r="G712" s="4"/>
      <c r="H712" s="4"/>
      <c r="I712" s="4"/>
      <c r="J712" s="19"/>
      <c r="K712" s="4"/>
      <c r="L712" s="4"/>
      <c r="M712" s="4"/>
      <c r="N712" s="4"/>
      <c r="O712" s="4"/>
      <c r="P712" s="4"/>
      <c r="Q712" s="4"/>
      <c r="R712" s="4"/>
      <c r="S712" s="4"/>
      <c r="T712" s="4"/>
      <c r="U712" s="4"/>
      <c r="V712" s="4"/>
      <c r="W712" s="4"/>
      <c r="X712" s="4"/>
      <c r="Y712" s="4"/>
      <c r="Z712" s="4"/>
      <c r="AA712" s="4"/>
      <c r="AB712" s="4"/>
      <c r="AC712" s="4"/>
      <c r="AD712" s="4"/>
      <c r="AE712" s="4"/>
      <c r="AF712" s="4"/>
    </row>
    <row r="713" spans="1:32" ht="15.75" customHeight="1">
      <c r="A713" s="4"/>
      <c r="B713" s="4"/>
      <c r="C713" s="4"/>
      <c r="D713" s="4"/>
      <c r="E713" s="4"/>
      <c r="F713" s="4"/>
      <c r="G713" s="4"/>
      <c r="H713" s="4"/>
      <c r="I713" s="4"/>
      <c r="J713" s="19"/>
      <c r="K713" s="4"/>
      <c r="L713" s="4"/>
      <c r="M713" s="4"/>
      <c r="N713" s="4"/>
      <c r="O713" s="4"/>
      <c r="P713" s="4"/>
      <c r="Q713" s="4"/>
      <c r="R713" s="4"/>
      <c r="S713" s="4"/>
      <c r="T713" s="4"/>
      <c r="U713" s="4"/>
      <c r="V713" s="4"/>
      <c r="W713" s="4"/>
      <c r="X713" s="4"/>
      <c r="Y713" s="4"/>
      <c r="Z713" s="4"/>
      <c r="AA713" s="4"/>
      <c r="AB713" s="4"/>
      <c r="AC713" s="4"/>
      <c r="AD713" s="4"/>
      <c r="AE713" s="4"/>
      <c r="AF713" s="4"/>
    </row>
    <row r="714" spans="1:32" ht="15.75" customHeight="1">
      <c r="A714" s="4"/>
      <c r="B714" s="4"/>
      <c r="C714" s="4"/>
      <c r="D714" s="4"/>
      <c r="E714" s="4"/>
      <c r="F714" s="4"/>
      <c r="G714" s="4"/>
      <c r="H714" s="4"/>
      <c r="I714" s="4"/>
      <c r="J714" s="19"/>
      <c r="K714" s="4"/>
      <c r="L714" s="4"/>
      <c r="M714" s="4"/>
      <c r="N714" s="4"/>
      <c r="O714" s="4"/>
      <c r="P714" s="4"/>
      <c r="Q714" s="4"/>
      <c r="R714" s="4"/>
      <c r="S714" s="4"/>
      <c r="T714" s="4"/>
      <c r="U714" s="4"/>
      <c r="V714" s="4"/>
      <c r="W714" s="4"/>
      <c r="X714" s="4"/>
      <c r="Y714" s="4"/>
      <c r="Z714" s="4"/>
      <c r="AA714" s="4"/>
      <c r="AB714" s="4"/>
      <c r="AC714" s="4"/>
      <c r="AD714" s="4"/>
      <c r="AE714" s="4"/>
      <c r="AF714" s="4"/>
    </row>
    <row r="715" spans="1:32" ht="15.75" customHeight="1">
      <c r="A715" s="4"/>
      <c r="B715" s="4"/>
      <c r="C715" s="4"/>
      <c r="D715" s="4"/>
      <c r="E715" s="4"/>
      <c r="F715" s="4"/>
      <c r="G715" s="4"/>
      <c r="H715" s="4"/>
      <c r="I715" s="4"/>
      <c r="J715" s="19"/>
      <c r="K715" s="4"/>
      <c r="L715" s="4"/>
      <c r="M715" s="4"/>
      <c r="N715" s="4"/>
      <c r="O715" s="4"/>
      <c r="P715" s="4"/>
      <c r="Q715" s="4"/>
      <c r="R715" s="4"/>
      <c r="S715" s="4"/>
      <c r="T715" s="4"/>
      <c r="U715" s="4"/>
      <c r="V715" s="4"/>
      <c r="W715" s="4"/>
      <c r="X715" s="4"/>
      <c r="Y715" s="4"/>
      <c r="Z715" s="4"/>
      <c r="AA715" s="4"/>
      <c r="AB715" s="4"/>
      <c r="AC715" s="4"/>
      <c r="AD715" s="4"/>
      <c r="AE715" s="4"/>
      <c r="AF715" s="4"/>
    </row>
    <row r="716" spans="1:32" ht="15.75" customHeight="1">
      <c r="A716" s="4"/>
      <c r="B716" s="4"/>
      <c r="C716" s="4"/>
      <c r="D716" s="4"/>
      <c r="E716" s="4"/>
      <c r="F716" s="4"/>
      <c r="G716" s="4"/>
      <c r="H716" s="4"/>
      <c r="I716" s="4"/>
      <c r="J716" s="19"/>
      <c r="K716" s="4"/>
      <c r="L716" s="4"/>
      <c r="M716" s="4"/>
      <c r="N716" s="4"/>
      <c r="O716" s="4"/>
      <c r="P716" s="4"/>
      <c r="Q716" s="4"/>
      <c r="R716" s="4"/>
      <c r="S716" s="4"/>
      <c r="T716" s="4"/>
      <c r="U716" s="4"/>
      <c r="V716" s="4"/>
      <c r="W716" s="4"/>
      <c r="X716" s="4"/>
      <c r="Y716" s="4"/>
      <c r="Z716" s="4"/>
      <c r="AA716" s="4"/>
      <c r="AB716" s="4"/>
      <c r="AC716" s="4"/>
      <c r="AD716" s="4"/>
      <c r="AE716" s="4"/>
      <c r="AF716" s="4"/>
    </row>
    <row r="717" spans="1:32" ht="15.75" customHeight="1">
      <c r="A717" s="4"/>
      <c r="B717" s="4"/>
      <c r="C717" s="4"/>
      <c r="D717" s="4"/>
      <c r="E717" s="4"/>
      <c r="F717" s="4"/>
      <c r="G717" s="4"/>
      <c r="H717" s="4"/>
      <c r="I717" s="4"/>
      <c r="J717" s="19"/>
      <c r="K717" s="4"/>
      <c r="L717" s="4"/>
      <c r="M717" s="4"/>
      <c r="N717" s="4"/>
      <c r="O717" s="4"/>
      <c r="P717" s="4"/>
      <c r="Q717" s="4"/>
      <c r="R717" s="4"/>
      <c r="S717" s="4"/>
      <c r="T717" s="4"/>
      <c r="U717" s="4"/>
      <c r="V717" s="4"/>
      <c r="W717" s="4"/>
      <c r="X717" s="4"/>
      <c r="Y717" s="4"/>
      <c r="Z717" s="4"/>
      <c r="AA717" s="4"/>
      <c r="AB717" s="4"/>
      <c r="AC717" s="4"/>
      <c r="AD717" s="4"/>
      <c r="AE717" s="4"/>
      <c r="AF717" s="4"/>
    </row>
    <row r="718" spans="1:32" ht="15.75" customHeight="1">
      <c r="A718" s="4"/>
      <c r="B718" s="4"/>
      <c r="C718" s="4"/>
      <c r="D718" s="4"/>
      <c r="E718" s="4"/>
      <c r="F718" s="4"/>
      <c r="G718" s="4"/>
      <c r="H718" s="4"/>
      <c r="I718" s="4"/>
      <c r="J718" s="19"/>
      <c r="K718" s="4"/>
      <c r="L718" s="4"/>
      <c r="M718" s="4"/>
      <c r="N718" s="4"/>
      <c r="O718" s="4"/>
      <c r="P718" s="4"/>
      <c r="Q718" s="4"/>
      <c r="R718" s="4"/>
      <c r="S718" s="4"/>
      <c r="T718" s="4"/>
      <c r="U718" s="4"/>
      <c r="V718" s="4"/>
      <c r="W718" s="4"/>
      <c r="X718" s="4"/>
      <c r="Y718" s="4"/>
      <c r="Z718" s="4"/>
      <c r="AA718" s="4"/>
      <c r="AB718" s="4"/>
      <c r="AC718" s="4"/>
      <c r="AD718" s="4"/>
      <c r="AE718" s="4"/>
      <c r="AF718" s="4"/>
    </row>
    <row r="719" spans="1:32" ht="15.75" customHeight="1">
      <c r="A719" s="4"/>
      <c r="B719" s="4"/>
      <c r="C719" s="4"/>
      <c r="D719" s="4"/>
      <c r="E719" s="4"/>
      <c r="F719" s="4"/>
      <c r="G719" s="4"/>
      <c r="H719" s="4"/>
      <c r="I719" s="4"/>
      <c r="J719" s="19"/>
      <c r="K719" s="4"/>
      <c r="L719" s="4"/>
      <c r="M719" s="4"/>
      <c r="N719" s="4"/>
      <c r="O719" s="4"/>
      <c r="P719" s="4"/>
      <c r="Q719" s="4"/>
      <c r="R719" s="4"/>
      <c r="S719" s="4"/>
      <c r="T719" s="4"/>
      <c r="U719" s="4"/>
      <c r="V719" s="4"/>
      <c r="W719" s="4"/>
      <c r="X719" s="4"/>
      <c r="Y719" s="4"/>
      <c r="Z719" s="4"/>
      <c r="AA719" s="4"/>
      <c r="AB719" s="4"/>
      <c r="AC719" s="4"/>
      <c r="AD719" s="4"/>
      <c r="AE719" s="4"/>
      <c r="AF719" s="4"/>
    </row>
    <row r="720" spans="1:32" ht="15.75" customHeight="1">
      <c r="A720" s="4"/>
      <c r="B720" s="4"/>
      <c r="C720" s="4"/>
      <c r="D720" s="4"/>
      <c r="E720" s="4"/>
      <c r="F720" s="4"/>
      <c r="G720" s="4"/>
      <c r="H720" s="4"/>
      <c r="I720" s="4"/>
      <c r="J720" s="19"/>
      <c r="K720" s="4"/>
      <c r="L720" s="4"/>
      <c r="M720" s="4"/>
      <c r="N720" s="4"/>
      <c r="O720" s="4"/>
      <c r="P720" s="4"/>
      <c r="Q720" s="4"/>
      <c r="R720" s="4"/>
      <c r="S720" s="4"/>
      <c r="T720" s="4"/>
      <c r="U720" s="4"/>
      <c r="V720" s="4"/>
      <c r="W720" s="4"/>
      <c r="X720" s="4"/>
      <c r="Y720" s="4"/>
      <c r="Z720" s="4"/>
      <c r="AA720" s="4"/>
      <c r="AB720" s="4"/>
      <c r="AC720" s="4"/>
      <c r="AD720" s="4"/>
      <c r="AE720" s="4"/>
      <c r="AF720" s="4"/>
    </row>
    <row r="721" spans="1:32" ht="15.75" customHeight="1">
      <c r="A721" s="4"/>
      <c r="B721" s="4"/>
      <c r="C721" s="4"/>
      <c r="D721" s="4"/>
      <c r="E721" s="4"/>
      <c r="F721" s="4"/>
      <c r="G721" s="4"/>
      <c r="H721" s="4"/>
      <c r="I721" s="4"/>
      <c r="J721" s="19"/>
      <c r="K721" s="4"/>
      <c r="L721" s="4"/>
      <c r="M721" s="4"/>
      <c r="N721" s="4"/>
      <c r="O721" s="4"/>
      <c r="P721" s="4"/>
      <c r="Q721" s="4"/>
      <c r="R721" s="4"/>
      <c r="S721" s="4"/>
      <c r="T721" s="4"/>
      <c r="U721" s="4"/>
      <c r="V721" s="4"/>
      <c r="W721" s="4"/>
      <c r="X721" s="4"/>
      <c r="Y721" s="4"/>
      <c r="Z721" s="4"/>
      <c r="AA721" s="4"/>
      <c r="AB721" s="4"/>
      <c r="AC721" s="4"/>
      <c r="AD721" s="4"/>
      <c r="AE721" s="4"/>
      <c r="AF721" s="4"/>
    </row>
    <row r="722" spans="1:32" ht="15.75" customHeight="1">
      <c r="A722" s="4"/>
      <c r="B722" s="4"/>
      <c r="C722" s="4"/>
      <c r="D722" s="4"/>
      <c r="E722" s="4"/>
      <c r="F722" s="4"/>
      <c r="G722" s="4"/>
      <c r="H722" s="4"/>
      <c r="I722" s="4"/>
      <c r="J722" s="19"/>
      <c r="K722" s="4"/>
      <c r="L722" s="4"/>
      <c r="M722" s="4"/>
      <c r="N722" s="4"/>
      <c r="O722" s="4"/>
      <c r="P722" s="4"/>
      <c r="Q722" s="4"/>
      <c r="R722" s="4"/>
      <c r="S722" s="4"/>
      <c r="T722" s="4"/>
      <c r="U722" s="4"/>
      <c r="V722" s="4"/>
      <c r="W722" s="4"/>
      <c r="X722" s="4"/>
      <c r="Y722" s="4"/>
      <c r="Z722" s="4"/>
      <c r="AA722" s="4"/>
      <c r="AB722" s="4"/>
      <c r="AC722" s="4"/>
      <c r="AD722" s="4"/>
      <c r="AE722" s="4"/>
      <c r="AF722" s="4"/>
    </row>
    <row r="723" spans="1:32" ht="15.75" customHeight="1">
      <c r="A723" s="4"/>
      <c r="B723" s="4"/>
      <c r="C723" s="4"/>
      <c r="D723" s="4"/>
      <c r="E723" s="4"/>
      <c r="F723" s="4"/>
      <c r="G723" s="4"/>
      <c r="H723" s="4"/>
      <c r="I723" s="4"/>
      <c r="J723" s="19"/>
      <c r="K723" s="4"/>
      <c r="L723" s="4"/>
      <c r="M723" s="4"/>
      <c r="N723" s="4"/>
      <c r="O723" s="4"/>
      <c r="P723" s="4"/>
      <c r="Q723" s="4"/>
      <c r="R723" s="4"/>
      <c r="S723" s="4"/>
      <c r="T723" s="4"/>
      <c r="U723" s="4"/>
      <c r="V723" s="4"/>
      <c r="W723" s="4"/>
      <c r="X723" s="4"/>
      <c r="Y723" s="4"/>
      <c r="Z723" s="4"/>
      <c r="AA723" s="4"/>
      <c r="AB723" s="4"/>
      <c r="AC723" s="4"/>
      <c r="AD723" s="4"/>
      <c r="AE723" s="4"/>
      <c r="AF723" s="4"/>
    </row>
    <row r="724" spans="1:32" ht="15.75" customHeight="1">
      <c r="A724" s="4"/>
      <c r="B724" s="4"/>
      <c r="C724" s="4"/>
      <c r="D724" s="4"/>
      <c r="E724" s="4"/>
      <c r="F724" s="4"/>
      <c r="G724" s="4"/>
      <c r="H724" s="4"/>
      <c r="I724" s="4"/>
      <c r="J724" s="19"/>
      <c r="K724" s="4"/>
      <c r="L724" s="4"/>
      <c r="M724" s="4"/>
      <c r="N724" s="4"/>
      <c r="O724" s="4"/>
      <c r="P724" s="4"/>
      <c r="Q724" s="4"/>
      <c r="R724" s="4"/>
      <c r="S724" s="4"/>
      <c r="T724" s="4"/>
      <c r="U724" s="4"/>
      <c r="V724" s="4"/>
      <c r="W724" s="4"/>
      <c r="X724" s="4"/>
      <c r="Y724" s="4"/>
      <c r="Z724" s="4"/>
      <c r="AA724" s="4"/>
      <c r="AB724" s="4"/>
      <c r="AC724" s="4"/>
      <c r="AD724" s="4"/>
      <c r="AE724" s="4"/>
      <c r="AF724" s="4"/>
    </row>
    <row r="725" spans="1:32" ht="15.75" customHeight="1">
      <c r="A725" s="4"/>
      <c r="B725" s="4"/>
      <c r="C725" s="4"/>
      <c r="D725" s="4"/>
      <c r="E725" s="4"/>
      <c r="F725" s="4"/>
      <c r="G725" s="4"/>
      <c r="H725" s="4"/>
      <c r="I725" s="4"/>
      <c r="J725" s="19"/>
      <c r="K725" s="4"/>
      <c r="L725" s="4"/>
      <c r="M725" s="4"/>
      <c r="N725" s="4"/>
      <c r="O725" s="4"/>
      <c r="P725" s="4"/>
      <c r="Q725" s="4"/>
      <c r="R725" s="4"/>
      <c r="S725" s="4"/>
      <c r="T725" s="4"/>
      <c r="U725" s="4"/>
      <c r="V725" s="4"/>
      <c r="W725" s="4"/>
      <c r="X725" s="4"/>
      <c r="Y725" s="4"/>
      <c r="Z725" s="4"/>
      <c r="AA725" s="4"/>
      <c r="AB725" s="4"/>
      <c r="AC725" s="4"/>
      <c r="AD725" s="4"/>
      <c r="AE725" s="4"/>
      <c r="AF725" s="4"/>
    </row>
    <row r="726" spans="1:32" ht="15.75" customHeight="1">
      <c r="A726" s="4"/>
      <c r="B726" s="4"/>
      <c r="C726" s="4"/>
      <c r="D726" s="4"/>
      <c r="E726" s="4"/>
      <c r="F726" s="4"/>
      <c r="G726" s="4"/>
      <c r="H726" s="4"/>
      <c r="I726" s="4"/>
      <c r="J726" s="19"/>
      <c r="K726" s="4"/>
      <c r="L726" s="4"/>
      <c r="M726" s="4"/>
      <c r="N726" s="4"/>
      <c r="O726" s="4"/>
      <c r="P726" s="4"/>
      <c r="Q726" s="4"/>
      <c r="R726" s="4"/>
      <c r="S726" s="4"/>
      <c r="T726" s="4"/>
      <c r="U726" s="4"/>
      <c r="V726" s="4"/>
      <c r="W726" s="4"/>
      <c r="X726" s="4"/>
      <c r="Y726" s="4"/>
      <c r="Z726" s="4"/>
      <c r="AA726" s="4"/>
      <c r="AB726" s="4"/>
      <c r="AC726" s="4"/>
      <c r="AD726" s="4"/>
      <c r="AE726" s="4"/>
      <c r="AF726" s="4"/>
    </row>
    <row r="727" spans="1:32" ht="15.75" customHeight="1">
      <c r="A727" s="4"/>
      <c r="B727" s="4"/>
      <c r="C727" s="4"/>
      <c r="D727" s="4"/>
      <c r="E727" s="4"/>
      <c r="F727" s="4"/>
      <c r="G727" s="4"/>
      <c r="H727" s="4"/>
      <c r="I727" s="4"/>
      <c r="J727" s="19"/>
      <c r="K727" s="4"/>
      <c r="L727" s="4"/>
      <c r="M727" s="4"/>
      <c r="N727" s="4"/>
      <c r="O727" s="4"/>
      <c r="P727" s="4"/>
      <c r="Q727" s="4"/>
      <c r="R727" s="4"/>
      <c r="S727" s="4"/>
      <c r="T727" s="4"/>
      <c r="U727" s="4"/>
      <c r="V727" s="4"/>
      <c r="W727" s="4"/>
      <c r="X727" s="4"/>
      <c r="Y727" s="4"/>
      <c r="Z727" s="4"/>
      <c r="AA727" s="4"/>
      <c r="AB727" s="4"/>
      <c r="AC727" s="4"/>
      <c r="AD727" s="4"/>
      <c r="AE727" s="4"/>
      <c r="AF727" s="4"/>
    </row>
    <row r="728" spans="1:32" ht="15.75" customHeight="1">
      <c r="A728" s="4"/>
      <c r="B728" s="4"/>
      <c r="C728" s="4"/>
      <c r="D728" s="4"/>
      <c r="E728" s="4"/>
      <c r="F728" s="4"/>
      <c r="G728" s="4"/>
      <c r="H728" s="4"/>
      <c r="I728" s="4"/>
      <c r="J728" s="19"/>
      <c r="K728" s="4"/>
      <c r="L728" s="4"/>
      <c r="M728" s="4"/>
      <c r="N728" s="4"/>
      <c r="O728" s="4"/>
      <c r="P728" s="4"/>
      <c r="Q728" s="4"/>
      <c r="R728" s="4"/>
      <c r="S728" s="4"/>
      <c r="T728" s="4"/>
      <c r="U728" s="4"/>
      <c r="V728" s="4"/>
      <c r="W728" s="4"/>
      <c r="X728" s="4"/>
      <c r="Y728" s="4"/>
      <c r="Z728" s="4"/>
      <c r="AA728" s="4"/>
      <c r="AB728" s="4"/>
      <c r="AC728" s="4"/>
      <c r="AD728" s="4"/>
      <c r="AE728" s="4"/>
      <c r="AF728" s="4"/>
    </row>
    <row r="729" spans="1:32" ht="15.75" customHeight="1">
      <c r="A729" s="4"/>
      <c r="B729" s="4"/>
      <c r="C729" s="4"/>
      <c r="D729" s="4"/>
      <c r="E729" s="4"/>
      <c r="F729" s="4"/>
      <c r="G729" s="4"/>
      <c r="H729" s="4"/>
      <c r="I729" s="4"/>
      <c r="J729" s="19"/>
      <c r="K729" s="4"/>
      <c r="L729" s="4"/>
      <c r="M729" s="4"/>
      <c r="N729" s="4"/>
      <c r="O729" s="4"/>
      <c r="P729" s="4"/>
      <c r="Q729" s="4"/>
      <c r="R729" s="4"/>
      <c r="S729" s="4"/>
      <c r="T729" s="4"/>
      <c r="U729" s="4"/>
      <c r="V729" s="4"/>
      <c r="W729" s="4"/>
      <c r="X729" s="4"/>
      <c r="Y729" s="4"/>
      <c r="Z729" s="4"/>
      <c r="AA729" s="4"/>
      <c r="AB729" s="4"/>
      <c r="AC729" s="4"/>
      <c r="AD729" s="4"/>
      <c r="AE729" s="4"/>
      <c r="AF729" s="4"/>
    </row>
    <row r="730" spans="1:32" ht="15.75" customHeight="1">
      <c r="A730" s="4"/>
      <c r="B730" s="4"/>
      <c r="C730" s="4"/>
      <c r="D730" s="4"/>
      <c r="E730" s="4"/>
      <c r="F730" s="4"/>
      <c r="G730" s="4"/>
      <c r="H730" s="4"/>
      <c r="I730" s="4"/>
      <c r="J730" s="19"/>
      <c r="K730" s="4"/>
      <c r="L730" s="4"/>
      <c r="M730" s="4"/>
      <c r="N730" s="4"/>
      <c r="O730" s="4"/>
      <c r="P730" s="4"/>
      <c r="Q730" s="4"/>
      <c r="R730" s="4"/>
      <c r="S730" s="4"/>
      <c r="T730" s="4"/>
      <c r="U730" s="4"/>
      <c r="V730" s="4"/>
      <c r="W730" s="4"/>
      <c r="X730" s="4"/>
      <c r="Y730" s="4"/>
      <c r="Z730" s="4"/>
      <c r="AA730" s="4"/>
      <c r="AB730" s="4"/>
      <c r="AC730" s="4"/>
      <c r="AD730" s="4"/>
      <c r="AE730" s="4"/>
      <c r="AF730" s="4"/>
    </row>
    <row r="731" spans="1:32" ht="15.75" customHeight="1">
      <c r="A731" s="4"/>
      <c r="B731" s="4"/>
      <c r="C731" s="4"/>
      <c r="D731" s="4"/>
      <c r="E731" s="4"/>
      <c r="F731" s="4"/>
      <c r="G731" s="4"/>
      <c r="H731" s="4"/>
      <c r="I731" s="4"/>
      <c r="J731" s="19"/>
      <c r="K731" s="4"/>
      <c r="L731" s="4"/>
      <c r="M731" s="4"/>
      <c r="N731" s="4"/>
      <c r="O731" s="4"/>
      <c r="P731" s="4"/>
      <c r="Q731" s="4"/>
      <c r="R731" s="4"/>
      <c r="S731" s="4"/>
      <c r="T731" s="4"/>
      <c r="U731" s="4"/>
      <c r="V731" s="4"/>
      <c r="W731" s="4"/>
      <c r="X731" s="4"/>
      <c r="Y731" s="4"/>
      <c r="Z731" s="4"/>
      <c r="AA731" s="4"/>
      <c r="AB731" s="4"/>
      <c r="AC731" s="4"/>
      <c r="AD731" s="4"/>
      <c r="AE731" s="4"/>
      <c r="AF731" s="4"/>
    </row>
    <row r="732" spans="1:32" ht="15.75" customHeight="1">
      <c r="A732" s="4"/>
      <c r="B732" s="4"/>
      <c r="C732" s="4"/>
      <c r="D732" s="4"/>
      <c r="E732" s="4"/>
      <c r="F732" s="4"/>
      <c r="G732" s="4"/>
      <c r="H732" s="4"/>
      <c r="I732" s="4"/>
      <c r="J732" s="19"/>
      <c r="K732" s="4"/>
      <c r="L732" s="4"/>
      <c r="M732" s="4"/>
      <c r="N732" s="4"/>
      <c r="O732" s="4"/>
      <c r="P732" s="4"/>
      <c r="Q732" s="4"/>
      <c r="R732" s="4"/>
      <c r="S732" s="4"/>
      <c r="T732" s="4"/>
      <c r="U732" s="4"/>
      <c r="V732" s="4"/>
      <c r="W732" s="4"/>
      <c r="X732" s="4"/>
      <c r="Y732" s="4"/>
      <c r="Z732" s="4"/>
      <c r="AA732" s="4"/>
      <c r="AB732" s="4"/>
      <c r="AC732" s="4"/>
      <c r="AD732" s="4"/>
      <c r="AE732" s="4"/>
      <c r="AF732" s="4"/>
    </row>
    <row r="733" spans="1:32" ht="15.75" customHeight="1">
      <c r="A733" s="4"/>
      <c r="B733" s="4"/>
      <c r="C733" s="4"/>
      <c r="D733" s="4"/>
      <c r="E733" s="4"/>
      <c r="F733" s="4"/>
      <c r="G733" s="4"/>
      <c r="H733" s="4"/>
      <c r="I733" s="4"/>
      <c r="J733" s="19"/>
      <c r="K733" s="4"/>
      <c r="L733" s="4"/>
      <c r="M733" s="4"/>
      <c r="N733" s="4"/>
      <c r="O733" s="4"/>
      <c r="P733" s="4"/>
      <c r="Q733" s="4"/>
      <c r="R733" s="4"/>
      <c r="S733" s="4"/>
      <c r="T733" s="4"/>
      <c r="U733" s="4"/>
      <c r="V733" s="4"/>
      <c r="W733" s="4"/>
      <c r="X733" s="4"/>
      <c r="Y733" s="4"/>
      <c r="Z733" s="4"/>
      <c r="AA733" s="4"/>
      <c r="AB733" s="4"/>
      <c r="AC733" s="4"/>
      <c r="AD733" s="4"/>
      <c r="AE733" s="4"/>
      <c r="AF733" s="4"/>
    </row>
    <row r="734" spans="1:32" ht="15.75" customHeight="1">
      <c r="A734" s="4"/>
      <c r="B734" s="4"/>
      <c r="C734" s="4"/>
      <c r="D734" s="4"/>
      <c r="E734" s="4"/>
      <c r="F734" s="4"/>
      <c r="G734" s="4"/>
      <c r="H734" s="4"/>
      <c r="I734" s="4"/>
      <c r="J734" s="19"/>
      <c r="K734" s="4"/>
      <c r="L734" s="4"/>
      <c r="M734" s="4"/>
      <c r="N734" s="4"/>
      <c r="O734" s="4"/>
      <c r="P734" s="4"/>
      <c r="Q734" s="4"/>
      <c r="R734" s="4"/>
      <c r="S734" s="4"/>
      <c r="T734" s="4"/>
      <c r="U734" s="4"/>
      <c r="V734" s="4"/>
      <c r="W734" s="4"/>
      <c r="X734" s="4"/>
      <c r="Y734" s="4"/>
      <c r="Z734" s="4"/>
      <c r="AA734" s="4"/>
      <c r="AB734" s="4"/>
      <c r="AC734" s="4"/>
      <c r="AD734" s="4"/>
      <c r="AE734" s="4"/>
      <c r="AF734" s="4"/>
    </row>
    <row r="735" spans="1:32" ht="15.75" customHeight="1">
      <c r="A735" s="4"/>
      <c r="B735" s="4"/>
      <c r="C735" s="4"/>
      <c r="D735" s="4"/>
      <c r="E735" s="4"/>
      <c r="F735" s="4"/>
      <c r="G735" s="4"/>
      <c r="H735" s="4"/>
      <c r="I735" s="4"/>
      <c r="J735" s="19"/>
      <c r="K735" s="4"/>
      <c r="L735" s="4"/>
      <c r="M735" s="4"/>
      <c r="N735" s="4"/>
      <c r="O735" s="4"/>
      <c r="P735" s="4"/>
      <c r="Q735" s="4"/>
      <c r="R735" s="4"/>
      <c r="S735" s="4"/>
      <c r="T735" s="4"/>
      <c r="U735" s="4"/>
      <c r="V735" s="4"/>
      <c r="W735" s="4"/>
      <c r="X735" s="4"/>
      <c r="Y735" s="4"/>
      <c r="Z735" s="4"/>
      <c r="AA735" s="4"/>
      <c r="AB735" s="4"/>
      <c r="AC735" s="4"/>
      <c r="AD735" s="4"/>
      <c r="AE735" s="4"/>
      <c r="AF735" s="4"/>
    </row>
    <row r="736" spans="1:32" ht="15.75" customHeight="1">
      <c r="A736" s="4"/>
      <c r="B736" s="4"/>
      <c r="C736" s="4"/>
      <c r="D736" s="4"/>
      <c r="E736" s="4"/>
      <c r="F736" s="4"/>
      <c r="G736" s="4"/>
      <c r="H736" s="4"/>
      <c r="I736" s="4"/>
      <c r="J736" s="19"/>
      <c r="K736" s="4"/>
      <c r="L736" s="4"/>
      <c r="M736" s="4"/>
      <c r="N736" s="4"/>
      <c r="O736" s="4"/>
      <c r="P736" s="4"/>
      <c r="Q736" s="4"/>
      <c r="R736" s="4"/>
      <c r="S736" s="4"/>
      <c r="T736" s="4"/>
      <c r="U736" s="4"/>
      <c r="V736" s="4"/>
      <c r="W736" s="4"/>
      <c r="X736" s="4"/>
      <c r="Y736" s="4"/>
      <c r="Z736" s="4"/>
      <c r="AA736" s="4"/>
      <c r="AB736" s="4"/>
      <c r="AC736" s="4"/>
      <c r="AD736" s="4"/>
      <c r="AE736" s="4"/>
      <c r="AF736" s="4"/>
    </row>
    <row r="737" spans="1:32" ht="15.75" customHeight="1">
      <c r="A737" s="4"/>
      <c r="B737" s="4"/>
      <c r="C737" s="4"/>
      <c r="D737" s="4"/>
      <c r="E737" s="4"/>
      <c r="F737" s="4"/>
      <c r="G737" s="4"/>
      <c r="H737" s="4"/>
      <c r="I737" s="4"/>
      <c r="J737" s="19"/>
      <c r="K737" s="4"/>
      <c r="L737" s="4"/>
      <c r="M737" s="4"/>
      <c r="N737" s="4"/>
      <c r="O737" s="4"/>
      <c r="P737" s="4"/>
      <c r="Q737" s="4"/>
      <c r="R737" s="4"/>
      <c r="S737" s="4"/>
      <c r="T737" s="4"/>
      <c r="U737" s="4"/>
      <c r="V737" s="4"/>
      <c r="W737" s="4"/>
      <c r="X737" s="4"/>
      <c r="Y737" s="4"/>
      <c r="Z737" s="4"/>
      <c r="AA737" s="4"/>
      <c r="AB737" s="4"/>
      <c r="AC737" s="4"/>
      <c r="AD737" s="4"/>
      <c r="AE737" s="4"/>
      <c r="AF737" s="4"/>
    </row>
    <row r="738" spans="1:32" ht="15.75" customHeight="1">
      <c r="A738" s="4"/>
      <c r="B738" s="4"/>
      <c r="C738" s="4"/>
      <c r="D738" s="4"/>
      <c r="E738" s="4"/>
      <c r="F738" s="4"/>
      <c r="G738" s="4"/>
      <c r="H738" s="4"/>
      <c r="I738" s="4"/>
      <c r="J738" s="19"/>
      <c r="K738" s="4"/>
      <c r="L738" s="4"/>
      <c r="M738" s="4"/>
      <c r="N738" s="4"/>
      <c r="O738" s="4"/>
      <c r="P738" s="4"/>
      <c r="Q738" s="4"/>
      <c r="R738" s="4"/>
      <c r="S738" s="4"/>
      <c r="T738" s="4"/>
      <c r="U738" s="4"/>
      <c r="V738" s="4"/>
      <c r="W738" s="4"/>
      <c r="X738" s="4"/>
      <c r="Y738" s="4"/>
      <c r="Z738" s="4"/>
      <c r="AA738" s="4"/>
      <c r="AB738" s="4"/>
      <c r="AC738" s="4"/>
      <c r="AD738" s="4"/>
      <c r="AE738" s="4"/>
      <c r="AF738" s="4"/>
    </row>
    <row r="739" spans="1:32" ht="15.75" customHeight="1">
      <c r="A739" s="4"/>
      <c r="B739" s="4"/>
      <c r="C739" s="4"/>
      <c r="D739" s="4"/>
      <c r="E739" s="4"/>
      <c r="F739" s="4"/>
      <c r="G739" s="4"/>
      <c r="H739" s="4"/>
      <c r="I739" s="4"/>
      <c r="J739" s="19"/>
      <c r="K739" s="4"/>
      <c r="L739" s="4"/>
      <c r="M739" s="4"/>
      <c r="N739" s="4"/>
      <c r="O739" s="4"/>
      <c r="P739" s="4"/>
      <c r="Q739" s="4"/>
      <c r="R739" s="4"/>
      <c r="S739" s="4"/>
      <c r="T739" s="4"/>
      <c r="U739" s="4"/>
      <c r="V739" s="4"/>
      <c r="W739" s="4"/>
      <c r="X739" s="4"/>
      <c r="Y739" s="4"/>
      <c r="Z739" s="4"/>
      <c r="AA739" s="4"/>
      <c r="AB739" s="4"/>
      <c r="AC739" s="4"/>
      <c r="AD739" s="4"/>
      <c r="AE739" s="4"/>
      <c r="AF739" s="4"/>
    </row>
    <row r="740" spans="1:32" ht="15.75" customHeight="1">
      <c r="A740" s="4"/>
      <c r="B740" s="4"/>
      <c r="C740" s="4"/>
      <c r="D740" s="4"/>
      <c r="E740" s="4"/>
      <c r="F740" s="4"/>
      <c r="G740" s="4"/>
      <c r="H740" s="4"/>
      <c r="I740" s="4"/>
      <c r="J740" s="19"/>
      <c r="K740" s="4"/>
      <c r="L740" s="4"/>
      <c r="M740" s="4"/>
      <c r="N740" s="4"/>
      <c r="O740" s="4"/>
      <c r="P740" s="4"/>
      <c r="Q740" s="4"/>
      <c r="R740" s="4"/>
      <c r="S740" s="4"/>
      <c r="T740" s="4"/>
      <c r="U740" s="4"/>
      <c r="V740" s="4"/>
      <c r="W740" s="4"/>
      <c r="X740" s="4"/>
      <c r="Y740" s="4"/>
      <c r="Z740" s="4"/>
      <c r="AA740" s="4"/>
      <c r="AB740" s="4"/>
      <c r="AC740" s="4"/>
      <c r="AD740" s="4"/>
      <c r="AE740" s="4"/>
      <c r="AF740" s="4"/>
    </row>
    <row r="741" spans="1:32" ht="15.75" customHeight="1">
      <c r="A741" s="4"/>
      <c r="B741" s="4"/>
      <c r="C741" s="4"/>
      <c r="D741" s="4"/>
      <c r="E741" s="4"/>
      <c r="F741" s="4"/>
      <c r="G741" s="4"/>
      <c r="H741" s="4"/>
      <c r="I741" s="4"/>
      <c r="J741" s="19"/>
      <c r="K741" s="4"/>
      <c r="L741" s="4"/>
      <c r="M741" s="4"/>
      <c r="N741" s="4"/>
      <c r="O741" s="4"/>
      <c r="P741" s="4"/>
      <c r="Q741" s="4"/>
      <c r="R741" s="4"/>
      <c r="S741" s="4"/>
      <c r="T741" s="4"/>
      <c r="U741" s="4"/>
      <c r="V741" s="4"/>
      <c r="W741" s="4"/>
      <c r="X741" s="4"/>
      <c r="Y741" s="4"/>
      <c r="Z741" s="4"/>
      <c r="AA741" s="4"/>
      <c r="AB741" s="4"/>
      <c r="AC741" s="4"/>
      <c r="AD741" s="4"/>
      <c r="AE741" s="4"/>
      <c r="AF741" s="4"/>
    </row>
    <row r="742" spans="1:32" ht="15.75" customHeight="1">
      <c r="A742" s="4"/>
      <c r="B742" s="4"/>
      <c r="C742" s="4"/>
      <c r="D742" s="4"/>
      <c r="E742" s="4"/>
      <c r="F742" s="4"/>
      <c r="G742" s="4"/>
      <c r="H742" s="4"/>
      <c r="I742" s="4"/>
      <c r="J742" s="19"/>
      <c r="K742" s="4"/>
      <c r="L742" s="4"/>
      <c r="M742" s="4"/>
      <c r="N742" s="4"/>
      <c r="O742" s="4"/>
      <c r="P742" s="4"/>
      <c r="Q742" s="4"/>
      <c r="R742" s="4"/>
      <c r="S742" s="4"/>
      <c r="T742" s="4"/>
      <c r="U742" s="4"/>
      <c r="V742" s="4"/>
      <c r="W742" s="4"/>
      <c r="X742" s="4"/>
      <c r="Y742" s="4"/>
      <c r="Z742" s="4"/>
      <c r="AA742" s="4"/>
      <c r="AB742" s="4"/>
      <c r="AC742" s="4"/>
      <c r="AD742" s="4"/>
      <c r="AE742" s="4"/>
      <c r="AF742" s="4"/>
    </row>
    <row r="743" spans="1:32" ht="15.75" customHeight="1">
      <c r="A743" s="4"/>
      <c r="B743" s="4"/>
      <c r="C743" s="4"/>
      <c r="D743" s="4"/>
      <c r="E743" s="4"/>
      <c r="F743" s="4"/>
      <c r="G743" s="4"/>
      <c r="H743" s="4"/>
      <c r="I743" s="4"/>
      <c r="J743" s="19"/>
      <c r="K743" s="4"/>
      <c r="L743" s="4"/>
      <c r="M743" s="4"/>
      <c r="N743" s="4"/>
      <c r="O743" s="4"/>
      <c r="P743" s="4"/>
      <c r="Q743" s="4"/>
      <c r="R743" s="4"/>
      <c r="S743" s="4"/>
      <c r="T743" s="4"/>
      <c r="U743" s="4"/>
      <c r="V743" s="4"/>
      <c r="W743" s="4"/>
      <c r="X743" s="4"/>
      <c r="Y743" s="4"/>
      <c r="Z743" s="4"/>
      <c r="AA743" s="4"/>
      <c r="AB743" s="4"/>
      <c r="AC743" s="4"/>
      <c r="AD743" s="4"/>
      <c r="AE743" s="4"/>
      <c r="AF743" s="4"/>
    </row>
    <row r="744" spans="1:32" ht="15.75" customHeight="1">
      <c r="A744" s="4"/>
      <c r="B744" s="4"/>
      <c r="C744" s="4"/>
      <c r="D744" s="4"/>
      <c r="E744" s="4"/>
      <c r="F744" s="4"/>
      <c r="G744" s="4"/>
      <c r="H744" s="4"/>
      <c r="I744" s="4"/>
      <c r="J744" s="19"/>
      <c r="K744" s="4"/>
      <c r="L744" s="4"/>
      <c r="M744" s="4"/>
      <c r="N744" s="4"/>
      <c r="O744" s="4"/>
      <c r="P744" s="4"/>
      <c r="Q744" s="4"/>
      <c r="R744" s="4"/>
      <c r="S744" s="4"/>
      <c r="T744" s="4"/>
      <c r="U744" s="4"/>
      <c r="V744" s="4"/>
      <c r="W744" s="4"/>
      <c r="X744" s="4"/>
      <c r="Y744" s="4"/>
      <c r="Z744" s="4"/>
      <c r="AA744" s="4"/>
      <c r="AB744" s="4"/>
      <c r="AC744" s="4"/>
      <c r="AD744" s="4"/>
      <c r="AE744" s="4"/>
      <c r="AF744" s="4"/>
    </row>
    <row r="745" spans="1:32" ht="15.75" customHeight="1">
      <c r="A745" s="4"/>
      <c r="B745" s="4"/>
      <c r="C745" s="4"/>
      <c r="D745" s="4"/>
      <c r="E745" s="4"/>
      <c r="F745" s="4"/>
      <c r="G745" s="4"/>
      <c r="H745" s="4"/>
      <c r="I745" s="4"/>
      <c r="J745" s="19"/>
      <c r="K745" s="4"/>
      <c r="L745" s="4"/>
      <c r="M745" s="4"/>
      <c r="N745" s="4"/>
      <c r="O745" s="4"/>
      <c r="P745" s="4"/>
      <c r="Q745" s="4"/>
      <c r="R745" s="4"/>
      <c r="S745" s="4"/>
      <c r="T745" s="4"/>
      <c r="U745" s="4"/>
      <c r="V745" s="4"/>
      <c r="W745" s="4"/>
      <c r="X745" s="4"/>
      <c r="Y745" s="4"/>
      <c r="Z745" s="4"/>
      <c r="AA745" s="4"/>
      <c r="AB745" s="4"/>
      <c r="AC745" s="4"/>
      <c r="AD745" s="4"/>
      <c r="AE745" s="4"/>
      <c r="AF745" s="4"/>
    </row>
    <row r="746" spans="1:32" ht="15.75" customHeight="1">
      <c r="A746" s="4"/>
      <c r="B746" s="4"/>
      <c r="C746" s="4"/>
      <c r="D746" s="4"/>
      <c r="E746" s="4"/>
      <c r="F746" s="4"/>
      <c r="G746" s="4"/>
      <c r="H746" s="4"/>
      <c r="I746" s="4"/>
      <c r="J746" s="19"/>
      <c r="K746" s="4"/>
      <c r="L746" s="4"/>
      <c r="M746" s="4"/>
      <c r="N746" s="4"/>
      <c r="O746" s="4"/>
      <c r="P746" s="4"/>
      <c r="Q746" s="4"/>
      <c r="R746" s="4"/>
      <c r="S746" s="4"/>
      <c r="T746" s="4"/>
      <c r="U746" s="4"/>
      <c r="V746" s="4"/>
      <c r="W746" s="4"/>
      <c r="X746" s="4"/>
      <c r="Y746" s="4"/>
      <c r="Z746" s="4"/>
      <c r="AA746" s="4"/>
      <c r="AB746" s="4"/>
      <c r="AC746" s="4"/>
      <c r="AD746" s="4"/>
      <c r="AE746" s="4"/>
      <c r="AF746" s="4"/>
    </row>
    <row r="747" spans="1:32" ht="15.75" customHeight="1">
      <c r="A747" s="4"/>
      <c r="B747" s="4"/>
      <c r="C747" s="4"/>
      <c r="D747" s="4"/>
      <c r="E747" s="4"/>
      <c r="F747" s="4"/>
      <c r="G747" s="4"/>
      <c r="H747" s="4"/>
      <c r="I747" s="4"/>
      <c r="J747" s="19"/>
      <c r="K747" s="4"/>
      <c r="L747" s="4"/>
      <c r="M747" s="4"/>
      <c r="N747" s="4"/>
      <c r="O747" s="4"/>
      <c r="P747" s="4"/>
      <c r="Q747" s="4"/>
      <c r="R747" s="4"/>
      <c r="S747" s="4"/>
      <c r="T747" s="4"/>
      <c r="U747" s="4"/>
      <c r="V747" s="4"/>
      <c r="W747" s="4"/>
      <c r="X747" s="4"/>
      <c r="Y747" s="4"/>
      <c r="Z747" s="4"/>
      <c r="AA747" s="4"/>
      <c r="AB747" s="4"/>
      <c r="AC747" s="4"/>
      <c r="AD747" s="4"/>
      <c r="AE747" s="4"/>
      <c r="AF747" s="4"/>
    </row>
    <row r="748" spans="1:32" ht="15.75" customHeight="1">
      <c r="A748" s="4"/>
      <c r="B748" s="4"/>
      <c r="C748" s="4"/>
      <c r="D748" s="4"/>
      <c r="E748" s="4"/>
      <c r="F748" s="4"/>
      <c r="G748" s="4"/>
      <c r="H748" s="4"/>
      <c r="I748" s="4"/>
      <c r="J748" s="19"/>
      <c r="K748" s="4"/>
      <c r="L748" s="4"/>
      <c r="M748" s="4"/>
      <c r="N748" s="4"/>
      <c r="O748" s="4"/>
      <c r="P748" s="4"/>
      <c r="Q748" s="4"/>
      <c r="R748" s="4"/>
      <c r="S748" s="4"/>
      <c r="T748" s="4"/>
      <c r="U748" s="4"/>
      <c r="V748" s="4"/>
      <c r="W748" s="4"/>
      <c r="X748" s="4"/>
      <c r="Y748" s="4"/>
      <c r="Z748" s="4"/>
      <c r="AA748" s="4"/>
      <c r="AB748" s="4"/>
      <c r="AC748" s="4"/>
      <c r="AD748" s="4"/>
      <c r="AE748" s="4"/>
      <c r="AF748" s="4"/>
    </row>
    <row r="749" spans="1:32" ht="15.75" customHeight="1">
      <c r="A749" s="4"/>
      <c r="B749" s="4"/>
      <c r="C749" s="4"/>
      <c r="D749" s="4"/>
      <c r="E749" s="4"/>
      <c r="F749" s="4"/>
      <c r="G749" s="4"/>
      <c r="H749" s="4"/>
      <c r="I749" s="4"/>
      <c r="J749" s="19"/>
      <c r="K749" s="4"/>
      <c r="L749" s="4"/>
      <c r="M749" s="4"/>
      <c r="N749" s="4"/>
      <c r="O749" s="4"/>
      <c r="P749" s="4"/>
      <c r="Q749" s="4"/>
      <c r="R749" s="4"/>
      <c r="S749" s="4"/>
      <c r="T749" s="4"/>
      <c r="U749" s="4"/>
      <c r="V749" s="4"/>
      <c r="W749" s="4"/>
      <c r="X749" s="4"/>
      <c r="Y749" s="4"/>
      <c r="Z749" s="4"/>
      <c r="AA749" s="4"/>
      <c r="AB749" s="4"/>
      <c r="AC749" s="4"/>
      <c r="AD749" s="4"/>
      <c r="AE749" s="4"/>
      <c r="AF749" s="4"/>
    </row>
    <row r="750" spans="1:32" ht="15.75" customHeight="1">
      <c r="A750" s="4"/>
      <c r="B750" s="4"/>
      <c r="C750" s="4"/>
      <c r="D750" s="4"/>
      <c r="E750" s="4"/>
      <c r="F750" s="4"/>
      <c r="G750" s="4"/>
      <c r="H750" s="4"/>
      <c r="I750" s="4"/>
      <c r="J750" s="19"/>
      <c r="K750" s="4"/>
      <c r="L750" s="4"/>
      <c r="M750" s="4"/>
      <c r="N750" s="4"/>
      <c r="O750" s="4"/>
      <c r="P750" s="4"/>
      <c r="Q750" s="4"/>
      <c r="R750" s="4"/>
      <c r="S750" s="4"/>
      <c r="T750" s="4"/>
      <c r="U750" s="4"/>
      <c r="V750" s="4"/>
      <c r="W750" s="4"/>
      <c r="X750" s="4"/>
      <c r="Y750" s="4"/>
      <c r="Z750" s="4"/>
      <c r="AA750" s="4"/>
      <c r="AB750" s="4"/>
      <c r="AC750" s="4"/>
      <c r="AD750" s="4"/>
      <c r="AE750" s="4"/>
      <c r="AF750" s="4"/>
    </row>
    <row r="751" spans="1:32" ht="15.75" customHeight="1">
      <c r="A751" s="4"/>
      <c r="B751" s="4"/>
      <c r="C751" s="4"/>
      <c r="D751" s="4"/>
      <c r="E751" s="4"/>
      <c r="F751" s="4"/>
      <c r="G751" s="4"/>
      <c r="H751" s="4"/>
      <c r="I751" s="4"/>
      <c r="J751" s="19"/>
      <c r="K751" s="4"/>
      <c r="L751" s="4"/>
      <c r="M751" s="4"/>
      <c r="N751" s="4"/>
      <c r="O751" s="4"/>
      <c r="P751" s="4"/>
      <c r="Q751" s="4"/>
      <c r="R751" s="4"/>
      <c r="S751" s="4"/>
      <c r="T751" s="4"/>
      <c r="U751" s="4"/>
      <c r="V751" s="4"/>
      <c r="W751" s="4"/>
      <c r="X751" s="4"/>
      <c r="Y751" s="4"/>
      <c r="Z751" s="4"/>
      <c r="AA751" s="4"/>
      <c r="AB751" s="4"/>
      <c r="AC751" s="4"/>
      <c r="AD751" s="4"/>
      <c r="AE751" s="4"/>
      <c r="AF751" s="4"/>
    </row>
    <row r="752" spans="1:32" ht="15.75" customHeight="1">
      <c r="A752" s="4"/>
      <c r="B752" s="4"/>
      <c r="C752" s="4"/>
      <c r="D752" s="4"/>
      <c r="E752" s="4"/>
      <c r="F752" s="4"/>
      <c r="G752" s="4"/>
      <c r="H752" s="4"/>
      <c r="I752" s="4"/>
      <c r="J752" s="19"/>
      <c r="K752" s="4"/>
      <c r="L752" s="4"/>
      <c r="M752" s="4"/>
      <c r="N752" s="4"/>
      <c r="O752" s="4"/>
      <c r="P752" s="4"/>
      <c r="Q752" s="4"/>
      <c r="R752" s="4"/>
      <c r="S752" s="4"/>
      <c r="T752" s="4"/>
      <c r="U752" s="4"/>
      <c r="V752" s="4"/>
      <c r="W752" s="4"/>
      <c r="X752" s="4"/>
      <c r="Y752" s="4"/>
      <c r="Z752" s="4"/>
      <c r="AA752" s="4"/>
      <c r="AB752" s="4"/>
      <c r="AC752" s="4"/>
      <c r="AD752" s="4"/>
      <c r="AE752" s="4"/>
      <c r="AF752" s="4"/>
    </row>
    <row r="753" spans="1:32" ht="15.75" customHeight="1">
      <c r="A753" s="4"/>
      <c r="B753" s="4"/>
      <c r="C753" s="4"/>
      <c r="D753" s="4"/>
      <c r="E753" s="4"/>
      <c r="F753" s="4"/>
      <c r="G753" s="4"/>
      <c r="H753" s="4"/>
      <c r="I753" s="4"/>
      <c r="J753" s="19"/>
      <c r="K753" s="4"/>
      <c r="L753" s="4"/>
      <c r="M753" s="4"/>
      <c r="N753" s="4"/>
      <c r="O753" s="4"/>
      <c r="P753" s="4"/>
      <c r="Q753" s="4"/>
      <c r="R753" s="4"/>
      <c r="S753" s="4"/>
      <c r="T753" s="4"/>
      <c r="U753" s="4"/>
      <c r="V753" s="4"/>
      <c r="W753" s="4"/>
      <c r="X753" s="4"/>
      <c r="Y753" s="4"/>
      <c r="Z753" s="4"/>
      <c r="AA753" s="4"/>
      <c r="AB753" s="4"/>
      <c r="AC753" s="4"/>
      <c r="AD753" s="4"/>
      <c r="AE753" s="4"/>
      <c r="AF753" s="4"/>
    </row>
    <row r="754" spans="1:32" ht="15.75" customHeight="1">
      <c r="A754" s="4"/>
      <c r="B754" s="4"/>
      <c r="C754" s="4"/>
      <c r="D754" s="4"/>
      <c r="E754" s="4"/>
      <c r="F754" s="4"/>
      <c r="G754" s="4"/>
      <c r="H754" s="4"/>
      <c r="I754" s="4"/>
      <c r="J754" s="19"/>
      <c r="K754" s="4"/>
      <c r="L754" s="4"/>
      <c r="M754" s="4"/>
      <c r="N754" s="4"/>
      <c r="O754" s="4"/>
      <c r="P754" s="4"/>
      <c r="Q754" s="4"/>
      <c r="R754" s="4"/>
      <c r="S754" s="4"/>
      <c r="T754" s="4"/>
      <c r="U754" s="4"/>
      <c r="V754" s="4"/>
      <c r="W754" s="4"/>
      <c r="X754" s="4"/>
      <c r="Y754" s="4"/>
      <c r="Z754" s="4"/>
      <c r="AA754" s="4"/>
      <c r="AB754" s="4"/>
      <c r="AC754" s="4"/>
      <c r="AD754" s="4"/>
      <c r="AE754" s="4"/>
      <c r="AF754" s="4"/>
    </row>
    <row r="755" spans="1:32" ht="15.75" customHeight="1">
      <c r="A755" s="4"/>
      <c r="B755" s="4"/>
      <c r="C755" s="4"/>
      <c r="D755" s="4"/>
      <c r="E755" s="4"/>
      <c r="F755" s="4"/>
      <c r="G755" s="4"/>
      <c r="H755" s="4"/>
      <c r="I755" s="4"/>
      <c r="J755" s="19"/>
      <c r="K755" s="4"/>
      <c r="L755" s="4"/>
      <c r="M755" s="4"/>
      <c r="N755" s="4"/>
      <c r="O755" s="4"/>
      <c r="P755" s="4"/>
      <c r="Q755" s="4"/>
      <c r="R755" s="4"/>
      <c r="S755" s="4"/>
      <c r="T755" s="4"/>
      <c r="U755" s="4"/>
      <c r="V755" s="4"/>
      <c r="W755" s="4"/>
      <c r="X755" s="4"/>
      <c r="Y755" s="4"/>
      <c r="Z755" s="4"/>
      <c r="AA755" s="4"/>
      <c r="AB755" s="4"/>
      <c r="AC755" s="4"/>
      <c r="AD755" s="4"/>
      <c r="AE755" s="4"/>
      <c r="AF755" s="4"/>
    </row>
    <row r="756" spans="1:32" ht="15.75" customHeight="1">
      <c r="A756" s="4"/>
      <c r="B756" s="4"/>
      <c r="C756" s="4"/>
      <c r="D756" s="4"/>
      <c r="E756" s="4"/>
      <c r="F756" s="4"/>
      <c r="G756" s="4"/>
      <c r="H756" s="4"/>
      <c r="I756" s="4"/>
      <c r="J756" s="19"/>
      <c r="K756" s="4"/>
      <c r="L756" s="4"/>
      <c r="M756" s="4"/>
      <c r="N756" s="4"/>
      <c r="O756" s="4"/>
      <c r="P756" s="4"/>
      <c r="Q756" s="4"/>
      <c r="R756" s="4"/>
      <c r="S756" s="4"/>
      <c r="T756" s="4"/>
      <c r="U756" s="4"/>
      <c r="V756" s="4"/>
      <c r="W756" s="4"/>
      <c r="X756" s="4"/>
      <c r="Y756" s="4"/>
      <c r="Z756" s="4"/>
      <c r="AA756" s="4"/>
      <c r="AB756" s="4"/>
      <c r="AC756" s="4"/>
      <c r="AD756" s="4"/>
      <c r="AE756" s="4"/>
      <c r="AF756" s="4"/>
    </row>
    <row r="757" spans="1:32" ht="15.75" customHeight="1">
      <c r="A757" s="4"/>
      <c r="B757" s="4"/>
      <c r="C757" s="4"/>
      <c r="D757" s="4"/>
      <c r="E757" s="4"/>
      <c r="F757" s="4"/>
      <c r="G757" s="4"/>
      <c r="H757" s="4"/>
      <c r="I757" s="4"/>
      <c r="J757" s="19"/>
      <c r="K757" s="4"/>
      <c r="L757" s="4"/>
      <c r="M757" s="4"/>
      <c r="N757" s="4"/>
      <c r="O757" s="4"/>
      <c r="P757" s="4"/>
      <c r="Q757" s="4"/>
      <c r="R757" s="4"/>
      <c r="S757" s="4"/>
      <c r="T757" s="4"/>
      <c r="U757" s="4"/>
      <c r="V757" s="4"/>
      <c r="W757" s="4"/>
      <c r="X757" s="4"/>
      <c r="Y757" s="4"/>
      <c r="Z757" s="4"/>
      <c r="AA757" s="4"/>
      <c r="AB757" s="4"/>
      <c r="AC757" s="4"/>
      <c r="AD757" s="4"/>
      <c r="AE757" s="4"/>
      <c r="AF757" s="4"/>
    </row>
    <row r="758" spans="1:32" ht="15.75" customHeight="1">
      <c r="A758" s="4"/>
      <c r="B758" s="4"/>
      <c r="C758" s="4"/>
      <c r="D758" s="4"/>
      <c r="E758" s="4"/>
      <c r="F758" s="4"/>
      <c r="G758" s="4"/>
      <c r="H758" s="4"/>
      <c r="I758" s="4"/>
      <c r="J758" s="19"/>
      <c r="K758" s="4"/>
      <c r="L758" s="4"/>
      <c r="M758" s="4"/>
      <c r="N758" s="4"/>
      <c r="O758" s="4"/>
      <c r="P758" s="4"/>
      <c r="Q758" s="4"/>
      <c r="R758" s="4"/>
      <c r="S758" s="4"/>
      <c r="T758" s="4"/>
      <c r="U758" s="4"/>
      <c r="V758" s="4"/>
      <c r="W758" s="4"/>
      <c r="X758" s="4"/>
      <c r="Y758" s="4"/>
      <c r="Z758" s="4"/>
      <c r="AA758" s="4"/>
      <c r="AB758" s="4"/>
      <c r="AC758" s="4"/>
      <c r="AD758" s="4"/>
      <c r="AE758" s="4"/>
      <c r="AF758" s="4"/>
    </row>
    <row r="759" spans="1:32" ht="15.75" customHeight="1">
      <c r="A759" s="4"/>
      <c r="B759" s="4"/>
      <c r="C759" s="4"/>
      <c r="D759" s="4"/>
      <c r="E759" s="4"/>
      <c r="F759" s="4"/>
      <c r="G759" s="4"/>
      <c r="H759" s="4"/>
      <c r="I759" s="4"/>
      <c r="J759" s="19"/>
      <c r="K759" s="4"/>
      <c r="L759" s="4"/>
      <c r="M759" s="4"/>
      <c r="N759" s="4"/>
      <c r="O759" s="4"/>
      <c r="P759" s="4"/>
      <c r="Q759" s="4"/>
      <c r="R759" s="4"/>
      <c r="S759" s="4"/>
      <c r="T759" s="4"/>
      <c r="U759" s="4"/>
      <c r="V759" s="4"/>
      <c r="W759" s="4"/>
      <c r="X759" s="4"/>
      <c r="Y759" s="4"/>
      <c r="Z759" s="4"/>
      <c r="AA759" s="4"/>
      <c r="AB759" s="4"/>
      <c r="AC759" s="4"/>
      <c r="AD759" s="4"/>
      <c r="AE759" s="4"/>
      <c r="AF759" s="4"/>
    </row>
    <row r="760" spans="1:32" ht="15.75" customHeight="1">
      <c r="A760" s="4"/>
      <c r="B760" s="4"/>
      <c r="C760" s="4"/>
      <c r="D760" s="4"/>
      <c r="E760" s="4"/>
      <c r="F760" s="4"/>
      <c r="G760" s="4"/>
      <c r="H760" s="4"/>
      <c r="I760" s="4"/>
      <c r="J760" s="19"/>
      <c r="K760" s="4"/>
      <c r="L760" s="4"/>
      <c r="M760" s="4"/>
      <c r="N760" s="4"/>
      <c r="O760" s="4"/>
      <c r="P760" s="4"/>
      <c r="Q760" s="4"/>
      <c r="R760" s="4"/>
      <c r="S760" s="4"/>
      <c r="T760" s="4"/>
      <c r="U760" s="4"/>
      <c r="V760" s="4"/>
      <c r="W760" s="4"/>
      <c r="X760" s="4"/>
      <c r="Y760" s="4"/>
      <c r="Z760" s="4"/>
      <c r="AA760" s="4"/>
      <c r="AB760" s="4"/>
      <c r="AC760" s="4"/>
      <c r="AD760" s="4"/>
      <c r="AE760" s="4"/>
      <c r="AF760" s="4"/>
    </row>
    <row r="761" spans="1:32" ht="15.75" customHeight="1">
      <c r="A761" s="4"/>
      <c r="B761" s="4"/>
      <c r="C761" s="4"/>
      <c r="D761" s="4"/>
      <c r="E761" s="4"/>
      <c r="F761" s="4"/>
      <c r="G761" s="4"/>
      <c r="H761" s="4"/>
      <c r="I761" s="4"/>
      <c r="J761" s="19"/>
      <c r="K761" s="4"/>
      <c r="L761" s="4"/>
      <c r="M761" s="4"/>
      <c r="N761" s="4"/>
      <c r="O761" s="4"/>
      <c r="P761" s="4"/>
      <c r="Q761" s="4"/>
      <c r="R761" s="4"/>
      <c r="S761" s="4"/>
      <c r="T761" s="4"/>
      <c r="U761" s="4"/>
      <c r="V761" s="4"/>
      <c r="W761" s="4"/>
      <c r="X761" s="4"/>
      <c r="Y761" s="4"/>
      <c r="Z761" s="4"/>
      <c r="AA761" s="4"/>
      <c r="AB761" s="4"/>
      <c r="AC761" s="4"/>
      <c r="AD761" s="4"/>
      <c r="AE761" s="4"/>
      <c r="AF761" s="4"/>
    </row>
    <row r="762" spans="1:32" ht="15.75" customHeight="1">
      <c r="A762" s="4"/>
      <c r="B762" s="4"/>
      <c r="C762" s="4"/>
      <c r="D762" s="4"/>
      <c r="E762" s="4"/>
      <c r="F762" s="4"/>
      <c r="G762" s="4"/>
      <c r="H762" s="4"/>
      <c r="I762" s="4"/>
      <c r="J762" s="19"/>
      <c r="K762" s="4"/>
      <c r="L762" s="4"/>
      <c r="M762" s="4"/>
      <c r="N762" s="4"/>
      <c r="O762" s="4"/>
      <c r="P762" s="4"/>
      <c r="Q762" s="4"/>
      <c r="R762" s="4"/>
      <c r="S762" s="4"/>
      <c r="T762" s="4"/>
      <c r="U762" s="4"/>
      <c r="V762" s="4"/>
      <c r="W762" s="4"/>
      <c r="X762" s="4"/>
      <c r="Y762" s="4"/>
      <c r="Z762" s="4"/>
      <c r="AA762" s="4"/>
      <c r="AB762" s="4"/>
      <c r="AC762" s="4"/>
      <c r="AD762" s="4"/>
      <c r="AE762" s="4"/>
      <c r="AF762" s="4"/>
    </row>
    <row r="763" spans="1:32" ht="15.75" customHeight="1">
      <c r="A763" s="4"/>
      <c r="B763" s="4"/>
      <c r="C763" s="4"/>
      <c r="D763" s="4"/>
      <c r="E763" s="4"/>
      <c r="F763" s="4"/>
      <c r="G763" s="4"/>
      <c r="H763" s="4"/>
      <c r="I763" s="4"/>
      <c r="J763" s="19"/>
      <c r="K763" s="4"/>
      <c r="L763" s="4"/>
      <c r="M763" s="4"/>
      <c r="N763" s="4"/>
      <c r="O763" s="4"/>
      <c r="P763" s="4"/>
      <c r="Q763" s="4"/>
      <c r="R763" s="4"/>
      <c r="S763" s="4"/>
      <c r="T763" s="4"/>
      <c r="U763" s="4"/>
      <c r="V763" s="4"/>
      <c r="W763" s="4"/>
      <c r="X763" s="4"/>
      <c r="Y763" s="4"/>
      <c r="Z763" s="4"/>
      <c r="AA763" s="4"/>
      <c r="AB763" s="4"/>
      <c r="AC763" s="4"/>
      <c r="AD763" s="4"/>
      <c r="AE763" s="4"/>
      <c r="AF763" s="4"/>
    </row>
    <row r="764" spans="1:32" ht="15.75" customHeight="1">
      <c r="A764" s="4"/>
      <c r="B764" s="4"/>
      <c r="C764" s="4"/>
      <c r="D764" s="4"/>
      <c r="E764" s="4"/>
      <c r="F764" s="4"/>
      <c r="G764" s="4"/>
      <c r="H764" s="4"/>
      <c r="I764" s="4"/>
      <c r="J764" s="19"/>
      <c r="K764" s="4"/>
      <c r="L764" s="4"/>
      <c r="M764" s="4"/>
      <c r="N764" s="4"/>
      <c r="O764" s="4"/>
      <c r="P764" s="4"/>
      <c r="Q764" s="4"/>
      <c r="R764" s="4"/>
      <c r="S764" s="4"/>
      <c r="T764" s="4"/>
      <c r="U764" s="4"/>
      <c r="V764" s="4"/>
      <c r="W764" s="4"/>
      <c r="X764" s="4"/>
      <c r="Y764" s="4"/>
      <c r="Z764" s="4"/>
      <c r="AA764" s="4"/>
      <c r="AB764" s="4"/>
      <c r="AC764" s="4"/>
      <c r="AD764" s="4"/>
      <c r="AE764" s="4"/>
      <c r="AF764" s="4"/>
    </row>
    <row r="765" spans="1:32" ht="15.75" customHeight="1">
      <c r="A765" s="4"/>
      <c r="B765" s="4"/>
      <c r="C765" s="4"/>
      <c r="D765" s="4"/>
      <c r="E765" s="4"/>
      <c r="F765" s="4"/>
      <c r="G765" s="4"/>
      <c r="H765" s="4"/>
      <c r="I765" s="4"/>
      <c r="J765" s="19"/>
      <c r="K765" s="4"/>
      <c r="L765" s="4"/>
      <c r="M765" s="4"/>
      <c r="N765" s="4"/>
      <c r="O765" s="4"/>
      <c r="P765" s="4"/>
      <c r="Q765" s="4"/>
      <c r="R765" s="4"/>
      <c r="S765" s="4"/>
      <c r="T765" s="4"/>
      <c r="U765" s="4"/>
      <c r="V765" s="4"/>
      <c r="W765" s="4"/>
      <c r="X765" s="4"/>
      <c r="Y765" s="4"/>
      <c r="Z765" s="4"/>
      <c r="AA765" s="4"/>
      <c r="AB765" s="4"/>
      <c r="AC765" s="4"/>
      <c r="AD765" s="4"/>
      <c r="AE765" s="4"/>
      <c r="AF765" s="4"/>
    </row>
    <row r="766" spans="1:32" ht="15.75" customHeight="1">
      <c r="A766" s="4"/>
      <c r="B766" s="4"/>
      <c r="C766" s="4"/>
      <c r="D766" s="4"/>
      <c r="E766" s="4"/>
      <c r="F766" s="4"/>
      <c r="G766" s="4"/>
      <c r="H766" s="4"/>
      <c r="I766" s="4"/>
      <c r="J766" s="19"/>
      <c r="K766" s="4"/>
      <c r="L766" s="4"/>
      <c r="M766" s="4"/>
      <c r="N766" s="4"/>
      <c r="O766" s="4"/>
      <c r="P766" s="4"/>
      <c r="Q766" s="4"/>
      <c r="R766" s="4"/>
      <c r="S766" s="4"/>
      <c r="T766" s="4"/>
      <c r="U766" s="4"/>
      <c r="V766" s="4"/>
      <c r="W766" s="4"/>
      <c r="X766" s="4"/>
      <c r="Y766" s="4"/>
      <c r="Z766" s="4"/>
      <c r="AA766" s="4"/>
      <c r="AB766" s="4"/>
      <c r="AC766" s="4"/>
      <c r="AD766" s="4"/>
      <c r="AE766" s="4"/>
      <c r="AF766" s="4"/>
    </row>
    <row r="767" spans="1:32" ht="15.75" customHeight="1">
      <c r="A767" s="4"/>
      <c r="B767" s="4"/>
      <c r="C767" s="4"/>
      <c r="D767" s="4"/>
      <c r="E767" s="4"/>
      <c r="F767" s="4"/>
      <c r="G767" s="4"/>
      <c r="H767" s="4"/>
      <c r="I767" s="4"/>
      <c r="J767" s="19"/>
      <c r="K767" s="4"/>
      <c r="L767" s="4"/>
      <c r="M767" s="4"/>
      <c r="N767" s="4"/>
      <c r="O767" s="4"/>
      <c r="P767" s="4"/>
      <c r="Q767" s="4"/>
      <c r="R767" s="4"/>
      <c r="S767" s="4"/>
      <c r="T767" s="4"/>
      <c r="U767" s="4"/>
      <c r="V767" s="4"/>
      <c r="W767" s="4"/>
      <c r="X767" s="4"/>
      <c r="Y767" s="4"/>
      <c r="Z767" s="4"/>
      <c r="AA767" s="4"/>
      <c r="AB767" s="4"/>
      <c r="AC767" s="4"/>
      <c r="AD767" s="4"/>
      <c r="AE767" s="4"/>
      <c r="AF767" s="4"/>
    </row>
    <row r="768" spans="1:32" ht="15.75" customHeight="1">
      <c r="A768" s="4"/>
      <c r="B768" s="4"/>
      <c r="C768" s="4"/>
      <c r="D768" s="4"/>
      <c r="E768" s="4"/>
      <c r="F768" s="4"/>
      <c r="G768" s="4"/>
      <c r="H768" s="4"/>
      <c r="I768" s="4"/>
      <c r="J768" s="19"/>
      <c r="K768" s="4"/>
      <c r="L768" s="4"/>
      <c r="M768" s="4"/>
      <c r="N768" s="4"/>
      <c r="O768" s="4"/>
      <c r="P768" s="4"/>
      <c r="Q768" s="4"/>
      <c r="R768" s="4"/>
      <c r="S768" s="4"/>
      <c r="T768" s="4"/>
      <c r="U768" s="4"/>
      <c r="V768" s="4"/>
      <c r="W768" s="4"/>
      <c r="X768" s="4"/>
      <c r="Y768" s="4"/>
      <c r="Z768" s="4"/>
      <c r="AA768" s="4"/>
      <c r="AB768" s="4"/>
      <c r="AC768" s="4"/>
      <c r="AD768" s="4"/>
      <c r="AE768" s="4"/>
      <c r="AF768" s="4"/>
    </row>
    <row r="769" spans="1:32" ht="15.75" customHeight="1">
      <c r="A769" s="4"/>
      <c r="B769" s="4"/>
      <c r="C769" s="4"/>
      <c r="D769" s="4"/>
      <c r="E769" s="4"/>
      <c r="F769" s="4"/>
      <c r="G769" s="4"/>
      <c r="H769" s="4"/>
      <c r="I769" s="4"/>
      <c r="J769" s="19"/>
      <c r="K769" s="4"/>
      <c r="L769" s="4"/>
      <c r="M769" s="4"/>
      <c r="N769" s="4"/>
      <c r="O769" s="4"/>
      <c r="P769" s="4"/>
      <c r="Q769" s="4"/>
      <c r="R769" s="4"/>
      <c r="S769" s="4"/>
      <c r="T769" s="4"/>
      <c r="U769" s="4"/>
      <c r="V769" s="4"/>
      <c r="W769" s="4"/>
      <c r="X769" s="4"/>
      <c r="Y769" s="4"/>
      <c r="Z769" s="4"/>
      <c r="AA769" s="4"/>
      <c r="AB769" s="4"/>
      <c r="AC769" s="4"/>
      <c r="AD769" s="4"/>
      <c r="AE769" s="4"/>
      <c r="AF769" s="4"/>
    </row>
    <row r="770" spans="1:32" ht="15.75" customHeight="1">
      <c r="A770" s="4"/>
      <c r="B770" s="4"/>
      <c r="C770" s="4"/>
      <c r="D770" s="4"/>
      <c r="E770" s="4"/>
      <c r="F770" s="4"/>
      <c r="G770" s="4"/>
      <c r="H770" s="4"/>
      <c r="I770" s="4"/>
      <c r="J770" s="19"/>
      <c r="K770" s="4"/>
      <c r="L770" s="4"/>
      <c r="M770" s="4"/>
      <c r="N770" s="4"/>
      <c r="O770" s="4"/>
      <c r="P770" s="4"/>
      <c r="Q770" s="4"/>
      <c r="R770" s="4"/>
      <c r="S770" s="4"/>
      <c r="T770" s="4"/>
      <c r="U770" s="4"/>
      <c r="V770" s="4"/>
      <c r="W770" s="4"/>
      <c r="X770" s="4"/>
      <c r="Y770" s="4"/>
      <c r="Z770" s="4"/>
      <c r="AA770" s="4"/>
      <c r="AB770" s="4"/>
      <c r="AC770" s="4"/>
      <c r="AD770" s="4"/>
      <c r="AE770" s="4"/>
      <c r="AF770" s="4"/>
    </row>
    <row r="771" spans="1:32" ht="15.75" customHeight="1">
      <c r="A771" s="4"/>
      <c r="B771" s="4"/>
      <c r="C771" s="4"/>
      <c r="D771" s="4"/>
      <c r="E771" s="4"/>
      <c r="F771" s="4"/>
      <c r="G771" s="4"/>
      <c r="H771" s="4"/>
      <c r="I771" s="4"/>
      <c r="J771" s="19"/>
      <c r="K771" s="4"/>
      <c r="L771" s="4"/>
      <c r="M771" s="4"/>
      <c r="N771" s="4"/>
      <c r="O771" s="4"/>
      <c r="P771" s="4"/>
      <c r="Q771" s="4"/>
      <c r="R771" s="4"/>
      <c r="S771" s="4"/>
      <c r="T771" s="4"/>
      <c r="U771" s="4"/>
      <c r="V771" s="4"/>
      <c r="W771" s="4"/>
      <c r="X771" s="4"/>
      <c r="Y771" s="4"/>
      <c r="Z771" s="4"/>
      <c r="AA771" s="4"/>
      <c r="AB771" s="4"/>
      <c r="AC771" s="4"/>
      <c r="AD771" s="4"/>
      <c r="AE771" s="4"/>
      <c r="AF771" s="4"/>
    </row>
    <row r="772" spans="1:32" ht="15.75" customHeight="1">
      <c r="A772" s="4"/>
      <c r="B772" s="4"/>
      <c r="C772" s="4"/>
      <c r="D772" s="4"/>
      <c r="E772" s="4"/>
      <c r="F772" s="4"/>
      <c r="G772" s="4"/>
      <c r="H772" s="4"/>
      <c r="I772" s="4"/>
      <c r="J772" s="19"/>
      <c r="K772" s="4"/>
      <c r="L772" s="4"/>
      <c r="M772" s="4"/>
      <c r="N772" s="4"/>
      <c r="O772" s="4"/>
      <c r="P772" s="4"/>
      <c r="Q772" s="4"/>
      <c r="R772" s="4"/>
      <c r="S772" s="4"/>
      <c r="T772" s="4"/>
      <c r="U772" s="4"/>
      <c r="V772" s="4"/>
      <c r="W772" s="4"/>
      <c r="X772" s="4"/>
      <c r="Y772" s="4"/>
      <c r="Z772" s="4"/>
      <c r="AA772" s="4"/>
      <c r="AB772" s="4"/>
      <c r="AC772" s="4"/>
      <c r="AD772" s="4"/>
      <c r="AE772" s="4"/>
      <c r="AF772" s="4"/>
    </row>
    <row r="773" spans="1:32" ht="15.75" customHeight="1">
      <c r="A773" s="4"/>
      <c r="B773" s="4"/>
      <c r="C773" s="4"/>
      <c r="D773" s="4"/>
      <c r="E773" s="4"/>
      <c r="F773" s="4"/>
      <c r="G773" s="4"/>
      <c r="H773" s="4"/>
      <c r="I773" s="4"/>
      <c r="J773" s="19"/>
      <c r="K773" s="4"/>
      <c r="L773" s="4"/>
      <c r="M773" s="4"/>
      <c r="N773" s="4"/>
      <c r="O773" s="4"/>
      <c r="P773" s="4"/>
      <c r="Q773" s="4"/>
      <c r="R773" s="4"/>
      <c r="S773" s="4"/>
      <c r="T773" s="4"/>
      <c r="U773" s="4"/>
      <c r="V773" s="4"/>
      <c r="W773" s="4"/>
      <c r="X773" s="4"/>
      <c r="Y773" s="4"/>
      <c r="Z773" s="4"/>
      <c r="AA773" s="4"/>
      <c r="AB773" s="4"/>
      <c r="AC773" s="4"/>
      <c r="AD773" s="4"/>
      <c r="AE773" s="4"/>
      <c r="AF773" s="4"/>
    </row>
    <row r="774" spans="1:32" ht="15.75" customHeight="1">
      <c r="A774" s="4"/>
      <c r="B774" s="4"/>
      <c r="C774" s="4"/>
      <c r="D774" s="4"/>
      <c r="E774" s="4"/>
      <c r="F774" s="4"/>
      <c r="G774" s="4"/>
      <c r="H774" s="4"/>
      <c r="I774" s="4"/>
      <c r="J774" s="19"/>
      <c r="K774" s="4"/>
      <c r="L774" s="4"/>
      <c r="M774" s="4"/>
      <c r="N774" s="4"/>
      <c r="O774" s="4"/>
      <c r="P774" s="4"/>
      <c r="Q774" s="4"/>
      <c r="R774" s="4"/>
      <c r="S774" s="4"/>
      <c r="T774" s="4"/>
      <c r="U774" s="4"/>
      <c r="V774" s="4"/>
      <c r="W774" s="4"/>
      <c r="X774" s="4"/>
      <c r="Y774" s="4"/>
      <c r="Z774" s="4"/>
      <c r="AA774" s="4"/>
      <c r="AB774" s="4"/>
      <c r="AC774" s="4"/>
      <c r="AD774" s="4"/>
      <c r="AE774" s="4"/>
      <c r="AF774" s="4"/>
    </row>
    <row r="775" spans="1:32" ht="15.75" customHeight="1">
      <c r="A775" s="4"/>
      <c r="B775" s="4"/>
      <c r="C775" s="4"/>
      <c r="D775" s="4"/>
      <c r="E775" s="4"/>
      <c r="F775" s="4"/>
      <c r="G775" s="4"/>
      <c r="H775" s="4"/>
      <c r="I775" s="4"/>
      <c r="J775" s="19"/>
      <c r="K775" s="4"/>
      <c r="L775" s="4"/>
      <c r="M775" s="4"/>
      <c r="N775" s="4"/>
      <c r="O775" s="4"/>
      <c r="P775" s="4"/>
      <c r="Q775" s="4"/>
      <c r="R775" s="4"/>
      <c r="S775" s="4"/>
      <c r="T775" s="4"/>
      <c r="U775" s="4"/>
      <c r="V775" s="4"/>
      <c r="W775" s="4"/>
      <c r="X775" s="4"/>
      <c r="Y775" s="4"/>
      <c r="Z775" s="4"/>
      <c r="AA775" s="4"/>
      <c r="AB775" s="4"/>
      <c r="AC775" s="4"/>
      <c r="AD775" s="4"/>
      <c r="AE775" s="4"/>
      <c r="AF775" s="4"/>
    </row>
    <row r="776" spans="1:32" ht="15.75" customHeight="1">
      <c r="A776" s="4"/>
      <c r="B776" s="4"/>
      <c r="C776" s="4"/>
      <c r="D776" s="4"/>
      <c r="E776" s="4"/>
      <c r="F776" s="4"/>
      <c r="G776" s="4"/>
      <c r="H776" s="4"/>
      <c r="I776" s="4"/>
      <c r="J776" s="19"/>
      <c r="K776" s="4"/>
      <c r="L776" s="4"/>
      <c r="M776" s="4"/>
      <c r="N776" s="4"/>
      <c r="O776" s="4"/>
      <c r="P776" s="4"/>
      <c r="Q776" s="4"/>
      <c r="R776" s="4"/>
      <c r="S776" s="4"/>
      <c r="T776" s="4"/>
      <c r="U776" s="4"/>
      <c r="V776" s="4"/>
      <c r="W776" s="4"/>
      <c r="X776" s="4"/>
      <c r="Y776" s="4"/>
      <c r="Z776" s="4"/>
      <c r="AA776" s="4"/>
      <c r="AB776" s="4"/>
      <c r="AC776" s="4"/>
      <c r="AD776" s="4"/>
      <c r="AE776" s="4"/>
      <c r="AF776" s="4"/>
    </row>
    <row r="777" spans="1:32" ht="15.75" customHeight="1">
      <c r="A777" s="4"/>
      <c r="B777" s="4"/>
      <c r="C777" s="4"/>
      <c r="D777" s="4"/>
      <c r="E777" s="4"/>
      <c r="F777" s="4"/>
      <c r="G777" s="4"/>
      <c r="H777" s="4"/>
      <c r="I777" s="4"/>
      <c r="J777" s="19"/>
      <c r="K777" s="4"/>
      <c r="L777" s="4"/>
      <c r="M777" s="4"/>
      <c r="N777" s="4"/>
      <c r="O777" s="4"/>
      <c r="P777" s="4"/>
      <c r="Q777" s="4"/>
      <c r="R777" s="4"/>
      <c r="S777" s="4"/>
      <c r="T777" s="4"/>
      <c r="U777" s="4"/>
      <c r="V777" s="4"/>
      <c r="W777" s="4"/>
      <c r="X777" s="4"/>
      <c r="Y777" s="4"/>
      <c r="Z777" s="4"/>
      <c r="AA777" s="4"/>
      <c r="AB777" s="4"/>
      <c r="AC777" s="4"/>
      <c r="AD777" s="4"/>
      <c r="AE777" s="4"/>
      <c r="AF777" s="4"/>
    </row>
    <row r="778" spans="1:32" ht="15.75" customHeight="1">
      <c r="A778" s="4"/>
      <c r="B778" s="4"/>
      <c r="C778" s="4"/>
      <c r="D778" s="4"/>
      <c r="E778" s="4"/>
      <c r="F778" s="4"/>
      <c r="G778" s="4"/>
      <c r="H778" s="4"/>
      <c r="I778" s="4"/>
      <c r="J778" s="19"/>
      <c r="K778" s="4"/>
      <c r="L778" s="4"/>
      <c r="M778" s="4"/>
      <c r="N778" s="4"/>
      <c r="O778" s="4"/>
      <c r="P778" s="4"/>
      <c r="Q778" s="4"/>
      <c r="R778" s="4"/>
      <c r="S778" s="4"/>
      <c r="T778" s="4"/>
      <c r="U778" s="4"/>
      <c r="V778" s="4"/>
      <c r="W778" s="4"/>
      <c r="X778" s="4"/>
      <c r="Y778" s="4"/>
      <c r="Z778" s="4"/>
      <c r="AA778" s="4"/>
      <c r="AB778" s="4"/>
      <c r="AC778" s="4"/>
      <c r="AD778" s="4"/>
      <c r="AE778" s="4"/>
      <c r="AF778" s="4"/>
    </row>
    <row r="779" spans="1:32" ht="15.75" customHeight="1">
      <c r="A779" s="4"/>
      <c r="B779" s="4"/>
      <c r="C779" s="4"/>
      <c r="D779" s="4"/>
      <c r="E779" s="4"/>
      <c r="F779" s="4"/>
      <c r="G779" s="4"/>
      <c r="H779" s="4"/>
      <c r="I779" s="4"/>
      <c r="J779" s="19"/>
      <c r="K779" s="4"/>
      <c r="L779" s="4"/>
      <c r="M779" s="4"/>
      <c r="N779" s="4"/>
      <c r="O779" s="4"/>
      <c r="P779" s="4"/>
      <c r="Q779" s="4"/>
      <c r="R779" s="4"/>
      <c r="S779" s="4"/>
      <c r="T779" s="4"/>
      <c r="U779" s="4"/>
      <c r="V779" s="4"/>
      <c r="W779" s="4"/>
      <c r="X779" s="4"/>
      <c r="Y779" s="4"/>
      <c r="Z779" s="4"/>
      <c r="AA779" s="4"/>
      <c r="AB779" s="4"/>
      <c r="AC779" s="4"/>
      <c r="AD779" s="4"/>
      <c r="AE779" s="4"/>
      <c r="AF779" s="4"/>
    </row>
    <row r="780" spans="1:32" ht="15.75" customHeight="1">
      <c r="A780" s="4"/>
      <c r="B780" s="4"/>
      <c r="C780" s="4"/>
      <c r="D780" s="4"/>
      <c r="E780" s="4"/>
      <c r="F780" s="4"/>
      <c r="G780" s="4"/>
      <c r="H780" s="4"/>
      <c r="I780" s="4"/>
      <c r="J780" s="19"/>
      <c r="K780" s="4"/>
      <c r="L780" s="4"/>
      <c r="M780" s="4"/>
      <c r="N780" s="4"/>
      <c r="O780" s="4"/>
      <c r="P780" s="4"/>
      <c r="Q780" s="4"/>
      <c r="R780" s="4"/>
      <c r="S780" s="4"/>
      <c r="T780" s="4"/>
      <c r="U780" s="4"/>
      <c r="V780" s="4"/>
      <c r="W780" s="4"/>
      <c r="X780" s="4"/>
      <c r="Y780" s="4"/>
      <c r="Z780" s="4"/>
      <c r="AA780" s="4"/>
      <c r="AB780" s="4"/>
      <c r="AC780" s="4"/>
      <c r="AD780" s="4"/>
      <c r="AE780" s="4"/>
      <c r="AF780" s="4"/>
    </row>
    <row r="781" spans="1:32" ht="15.75" customHeight="1">
      <c r="A781" s="4"/>
      <c r="B781" s="4"/>
      <c r="C781" s="4"/>
      <c r="D781" s="4"/>
      <c r="E781" s="4"/>
      <c r="F781" s="4"/>
      <c r="G781" s="4"/>
      <c r="H781" s="4"/>
      <c r="I781" s="4"/>
      <c r="J781" s="19"/>
      <c r="K781" s="4"/>
      <c r="L781" s="4"/>
      <c r="M781" s="4"/>
      <c r="N781" s="4"/>
      <c r="O781" s="4"/>
      <c r="P781" s="4"/>
      <c r="Q781" s="4"/>
      <c r="R781" s="4"/>
      <c r="S781" s="4"/>
      <c r="T781" s="4"/>
      <c r="U781" s="4"/>
      <c r="V781" s="4"/>
      <c r="W781" s="4"/>
      <c r="X781" s="4"/>
      <c r="Y781" s="4"/>
      <c r="Z781" s="4"/>
      <c r="AA781" s="4"/>
      <c r="AB781" s="4"/>
      <c r="AC781" s="4"/>
      <c r="AD781" s="4"/>
      <c r="AE781" s="4"/>
      <c r="AF781" s="4"/>
    </row>
    <row r="782" spans="1:32" ht="15.75" customHeight="1">
      <c r="A782" s="4"/>
      <c r="B782" s="4"/>
      <c r="C782" s="4"/>
      <c r="D782" s="4"/>
      <c r="E782" s="4"/>
      <c r="F782" s="4"/>
      <c r="G782" s="4"/>
      <c r="H782" s="4"/>
      <c r="I782" s="4"/>
      <c r="J782" s="19"/>
      <c r="K782" s="4"/>
      <c r="L782" s="4"/>
      <c r="M782" s="4"/>
      <c r="N782" s="4"/>
      <c r="O782" s="4"/>
      <c r="P782" s="4"/>
      <c r="Q782" s="4"/>
      <c r="R782" s="4"/>
      <c r="S782" s="4"/>
      <c r="T782" s="4"/>
      <c r="U782" s="4"/>
      <c r="V782" s="4"/>
      <c r="W782" s="4"/>
      <c r="X782" s="4"/>
      <c r="Y782" s="4"/>
      <c r="Z782" s="4"/>
      <c r="AA782" s="4"/>
      <c r="AB782" s="4"/>
      <c r="AC782" s="4"/>
      <c r="AD782" s="4"/>
      <c r="AE782" s="4"/>
      <c r="AF782" s="4"/>
    </row>
    <row r="783" spans="1:32" ht="15.75" customHeight="1">
      <c r="A783" s="4"/>
      <c r="B783" s="4"/>
      <c r="C783" s="4"/>
      <c r="D783" s="4"/>
      <c r="E783" s="4"/>
      <c r="F783" s="4"/>
      <c r="G783" s="4"/>
      <c r="H783" s="4"/>
      <c r="I783" s="4"/>
      <c r="J783" s="19"/>
      <c r="K783" s="4"/>
      <c r="L783" s="4"/>
      <c r="M783" s="4"/>
      <c r="N783" s="4"/>
      <c r="O783" s="4"/>
      <c r="P783" s="4"/>
      <c r="Q783" s="4"/>
      <c r="R783" s="4"/>
      <c r="S783" s="4"/>
      <c r="T783" s="4"/>
      <c r="U783" s="4"/>
      <c r="V783" s="4"/>
      <c r="W783" s="4"/>
      <c r="X783" s="4"/>
      <c r="Y783" s="4"/>
      <c r="Z783" s="4"/>
      <c r="AA783" s="4"/>
      <c r="AB783" s="4"/>
      <c r="AC783" s="4"/>
      <c r="AD783" s="4"/>
      <c r="AE783" s="4"/>
      <c r="AF783" s="4"/>
    </row>
    <row r="784" spans="1:32" ht="15.75" customHeight="1">
      <c r="A784" s="4"/>
      <c r="B784" s="4"/>
      <c r="C784" s="4"/>
      <c r="D784" s="4"/>
      <c r="E784" s="4"/>
      <c r="F784" s="4"/>
      <c r="G784" s="4"/>
      <c r="H784" s="4"/>
      <c r="I784" s="4"/>
      <c r="J784" s="19"/>
      <c r="K784" s="4"/>
      <c r="L784" s="4"/>
      <c r="M784" s="4"/>
      <c r="N784" s="4"/>
      <c r="O784" s="4"/>
      <c r="P784" s="4"/>
      <c r="Q784" s="4"/>
      <c r="R784" s="4"/>
      <c r="S784" s="4"/>
      <c r="T784" s="4"/>
      <c r="U784" s="4"/>
      <c r="V784" s="4"/>
      <c r="W784" s="4"/>
      <c r="X784" s="4"/>
      <c r="Y784" s="4"/>
      <c r="Z784" s="4"/>
      <c r="AA784" s="4"/>
      <c r="AB784" s="4"/>
      <c r="AC784" s="4"/>
      <c r="AD784" s="4"/>
      <c r="AE784" s="4"/>
      <c r="AF784" s="4"/>
    </row>
    <row r="785" spans="1:32" ht="15.75" customHeight="1">
      <c r="A785" s="4"/>
      <c r="B785" s="4"/>
      <c r="C785" s="4"/>
      <c r="D785" s="4"/>
      <c r="E785" s="4"/>
      <c r="F785" s="4"/>
      <c r="G785" s="4"/>
      <c r="H785" s="4"/>
      <c r="I785" s="4"/>
      <c r="J785" s="19"/>
      <c r="K785" s="4"/>
      <c r="L785" s="4"/>
      <c r="M785" s="4"/>
      <c r="N785" s="4"/>
      <c r="O785" s="4"/>
      <c r="P785" s="4"/>
      <c r="Q785" s="4"/>
      <c r="R785" s="4"/>
      <c r="S785" s="4"/>
      <c r="T785" s="4"/>
      <c r="U785" s="4"/>
      <c r="V785" s="4"/>
      <c r="W785" s="4"/>
      <c r="X785" s="4"/>
      <c r="Y785" s="4"/>
      <c r="Z785" s="4"/>
      <c r="AA785" s="4"/>
      <c r="AB785" s="4"/>
      <c r="AC785" s="4"/>
      <c r="AD785" s="4"/>
      <c r="AE785" s="4"/>
      <c r="AF785" s="4"/>
    </row>
    <row r="786" spans="1:32" ht="15.75" customHeight="1">
      <c r="A786" s="4"/>
      <c r="B786" s="4"/>
      <c r="C786" s="4"/>
      <c r="D786" s="4"/>
      <c r="E786" s="4"/>
      <c r="F786" s="4"/>
      <c r="G786" s="4"/>
      <c r="H786" s="4"/>
      <c r="I786" s="4"/>
      <c r="J786" s="19"/>
      <c r="K786" s="4"/>
      <c r="L786" s="4"/>
      <c r="M786" s="4"/>
      <c r="N786" s="4"/>
      <c r="O786" s="4"/>
      <c r="P786" s="4"/>
      <c r="Q786" s="4"/>
      <c r="R786" s="4"/>
      <c r="S786" s="4"/>
      <c r="T786" s="4"/>
      <c r="U786" s="4"/>
      <c r="V786" s="4"/>
      <c r="W786" s="4"/>
      <c r="X786" s="4"/>
      <c r="Y786" s="4"/>
      <c r="Z786" s="4"/>
      <c r="AA786" s="4"/>
      <c r="AB786" s="4"/>
      <c r="AC786" s="4"/>
      <c r="AD786" s="4"/>
      <c r="AE786" s="4"/>
      <c r="AF786" s="4"/>
    </row>
    <row r="787" spans="1:32" ht="15.75" customHeight="1">
      <c r="A787" s="4"/>
      <c r="B787" s="4"/>
      <c r="C787" s="4"/>
      <c r="D787" s="4"/>
      <c r="E787" s="4"/>
      <c r="F787" s="4"/>
      <c r="G787" s="4"/>
      <c r="H787" s="4"/>
      <c r="I787" s="4"/>
      <c r="J787" s="19"/>
      <c r="K787" s="4"/>
      <c r="L787" s="4"/>
      <c r="M787" s="4"/>
      <c r="N787" s="4"/>
      <c r="O787" s="4"/>
      <c r="P787" s="4"/>
      <c r="Q787" s="4"/>
      <c r="R787" s="4"/>
      <c r="S787" s="4"/>
      <c r="T787" s="4"/>
      <c r="U787" s="4"/>
      <c r="V787" s="4"/>
      <c r="W787" s="4"/>
      <c r="X787" s="4"/>
      <c r="Y787" s="4"/>
      <c r="Z787" s="4"/>
      <c r="AA787" s="4"/>
      <c r="AB787" s="4"/>
      <c r="AC787" s="4"/>
      <c r="AD787" s="4"/>
      <c r="AE787" s="4"/>
      <c r="AF787" s="4"/>
    </row>
    <row r="788" spans="1:32" ht="15.75" customHeight="1">
      <c r="A788" s="4"/>
      <c r="B788" s="4"/>
      <c r="C788" s="4"/>
      <c r="D788" s="4"/>
      <c r="E788" s="4"/>
      <c r="F788" s="4"/>
      <c r="G788" s="4"/>
      <c r="H788" s="4"/>
      <c r="I788" s="4"/>
      <c r="J788" s="19"/>
      <c r="K788" s="4"/>
      <c r="L788" s="4"/>
      <c r="M788" s="4"/>
      <c r="N788" s="4"/>
      <c r="O788" s="4"/>
      <c r="P788" s="4"/>
      <c r="Q788" s="4"/>
      <c r="R788" s="4"/>
      <c r="S788" s="4"/>
      <c r="T788" s="4"/>
      <c r="U788" s="4"/>
      <c r="V788" s="4"/>
      <c r="W788" s="4"/>
      <c r="X788" s="4"/>
      <c r="Y788" s="4"/>
      <c r="Z788" s="4"/>
      <c r="AA788" s="4"/>
      <c r="AB788" s="4"/>
      <c r="AC788" s="4"/>
      <c r="AD788" s="4"/>
      <c r="AE788" s="4"/>
      <c r="AF788" s="4"/>
    </row>
    <row r="789" spans="1:32" ht="15.75" customHeight="1">
      <c r="A789" s="4"/>
      <c r="B789" s="4"/>
      <c r="C789" s="4"/>
      <c r="D789" s="4"/>
      <c r="E789" s="4"/>
      <c r="F789" s="4"/>
      <c r="G789" s="4"/>
      <c r="H789" s="4"/>
      <c r="I789" s="4"/>
      <c r="J789" s="19"/>
      <c r="K789" s="4"/>
      <c r="L789" s="4"/>
      <c r="M789" s="4"/>
      <c r="N789" s="4"/>
      <c r="O789" s="4"/>
      <c r="P789" s="4"/>
      <c r="Q789" s="4"/>
      <c r="R789" s="4"/>
      <c r="S789" s="4"/>
      <c r="T789" s="4"/>
      <c r="U789" s="4"/>
      <c r="V789" s="4"/>
      <c r="W789" s="4"/>
      <c r="X789" s="4"/>
      <c r="Y789" s="4"/>
      <c r="Z789" s="4"/>
      <c r="AA789" s="4"/>
      <c r="AB789" s="4"/>
      <c r="AC789" s="4"/>
      <c r="AD789" s="4"/>
      <c r="AE789" s="4"/>
      <c r="AF789" s="4"/>
    </row>
    <row r="790" spans="1:32" ht="15.75" customHeight="1">
      <c r="A790" s="4"/>
      <c r="B790" s="4"/>
      <c r="C790" s="4"/>
      <c r="D790" s="4"/>
      <c r="E790" s="4"/>
      <c r="F790" s="4"/>
      <c r="G790" s="4"/>
      <c r="H790" s="4"/>
      <c r="I790" s="4"/>
      <c r="J790" s="19"/>
      <c r="K790" s="4"/>
      <c r="L790" s="4"/>
      <c r="M790" s="4"/>
      <c r="N790" s="4"/>
      <c r="O790" s="4"/>
      <c r="P790" s="4"/>
      <c r="Q790" s="4"/>
      <c r="R790" s="4"/>
      <c r="S790" s="4"/>
      <c r="T790" s="4"/>
      <c r="U790" s="4"/>
      <c r="V790" s="4"/>
      <c r="W790" s="4"/>
      <c r="X790" s="4"/>
      <c r="Y790" s="4"/>
      <c r="Z790" s="4"/>
      <c r="AA790" s="4"/>
      <c r="AB790" s="4"/>
      <c r="AC790" s="4"/>
      <c r="AD790" s="4"/>
      <c r="AE790" s="4"/>
      <c r="AF790" s="4"/>
    </row>
    <row r="791" spans="1:32" ht="15.75" customHeight="1">
      <c r="A791" s="4"/>
      <c r="B791" s="4"/>
      <c r="C791" s="4"/>
      <c r="D791" s="4"/>
      <c r="E791" s="4"/>
      <c r="F791" s="4"/>
      <c r="G791" s="4"/>
      <c r="H791" s="4"/>
      <c r="I791" s="4"/>
      <c r="J791" s="19"/>
      <c r="K791" s="4"/>
      <c r="L791" s="4"/>
      <c r="M791" s="4"/>
      <c r="N791" s="4"/>
      <c r="O791" s="4"/>
      <c r="P791" s="4"/>
      <c r="Q791" s="4"/>
      <c r="R791" s="4"/>
      <c r="S791" s="4"/>
      <c r="T791" s="4"/>
      <c r="U791" s="4"/>
      <c r="V791" s="4"/>
      <c r="W791" s="4"/>
      <c r="X791" s="4"/>
      <c r="Y791" s="4"/>
      <c r="Z791" s="4"/>
      <c r="AA791" s="4"/>
      <c r="AB791" s="4"/>
      <c r="AC791" s="4"/>
      <c r="AD791" s="4"/>
      <c r="AE791" s="4"/>
      <c r="AF791" s="4"/>
    </row>
    <row r="792" spans="1:32" ht="15.75" customHeight="1">
      <c r="A792" s="4"/>
      <c r="B792" s="4"/>
      <c r="C792" s="4"/>
      <c r="D792" s="4"/>
      <c r="E792" s="4"/>
      <c r="F792" s="4"/>
      <c r="G792" s="4"/>
      <c r="H792" s="4"/>
      <c r="I792" s="4"/>
      <c r="J792" s="19"/>
      <c r="K792" s="4"/>
      <c r="L792" s="4"/>
      <c r="M792" s="4"/>
      <c r="N792" s="4"/>
      <c r="O792" s="4"/>
      <c r="P792" s="4"/>
      <c r="Q792" s="4"/>
      <c r="R792" s="4"/>
      <c r="S792" s="4"/>
      <c r="T792" s="4"/>
      <c r="U792" s="4"/>
      <c r="V792" s="4"/>
      <c r="W792" s="4"/>
      <c r="X792" s="4"/>
      <c r="Y792" s="4"/>
      <c r="Z792" s="4"/>
      <c r="AA792" s="4"/>
      <c r="AB792" s="4"/>
      <c r="AC792" s="4"/>
      <c r="AD792" s="4"/>
      <c r="AE792" s="4"/>
      <c r="AF792" s="4"/>
    </row>
    <row r="793" spans="1:32" ht="15.75" customHeight="1">
      <c r="A793" s="4"/>
      <c r="B793" s="4"/>
      <c r="C793" s="4"/>
      <c r="D793" s="4"/>
      <c r="E793" s="4"/>
      <c r="F793" s="4"/>
      <c r="G793" s="4"/>
      <c r="H793" s="4"/>
      <c r="I793" s="4"/>
      <c r="J793" s="19"/>
      <c r="K793" s="4"/>
      <c r="L793" s="4"/>
      <c r="M793" s="4"/>
      <c r="N793" s="4"/>
      <c r="O793" s="4"/>
      <c r="P793" s="4"/>
      <c r="Q793" s="4"/>
      <c r="R793" s="4"/>
      <c r="S793" s="4"/>
      <c r="T793" s="4"/>
      <c r="U793" s="4"/>
      <c r="V793" s="4"/>
      <c r="W793" s="4"/>
      <c r="X793" s="4"/>
      <c r="Y793" s="4"/>
      <c r="Z793" s="4"/>
      <c r="AA793" s="4"/>
      <c r="AB793" s="4"/>
      <c r="AC793" s="4"/>
      <c r="AD793" s="4"/>
      <c r="AE793" s="4"/>
      <c r="AF793" s="4"/>
    </row>
    <row r="794" spans="1:32" ht="15.75" customHeight="1">
      <c r="A794" s="4"/>
      <c r="B794" s="4"/>
      <c r="C794" s="4"/>
      <c r="D794" s="4"/>
      <c r="E794" s="4"/>
      <c r="F794" s="4"/>
      <c r="G794" s="4"/>
      <c r="H794" s="4"/>
      <c r="I794" s="4"/>
      <c r="J794" s="19"/>
      <c r="K794" s="4"/>
      <c r="L794" s="4"/>
      <c r="M794" s="4"/>
      <c r="N794" s="4"/>
      <c r="O794" s="4"/>
      <c r="P794" s="4"/>
      <c r="Q794" s="4"/>
      <c r="R794" s="4"/>
      <c r="S794" s="4"/>
      <c r="T794" s="4"/>
      <c r="U794" s="4"/>
      <c r="V794" s="4"/>
      <c r="W794" s="4"/>
      <c r="X794" s="4"/>
      <c r="Y794" s="4"/>
      <c r="Z794" s="4"/>
      <c r="AA794" s="4"/>
      <c r="AB794" s="4"/>
      <c r="AC794" s="4"/>
      <c r="AD794" s="4"/>
      <c r="AE794" s="4"/>
      <c r="AF794" s="4"/>
    </row>
    <row r="795" spans="1:32" ht="15.75" customHeight="1">
      <c r="A795" s="4"/>
      <c r="B795" s="4"/>
      <c r="C795" s="4"/>
      <c r="D795" s="4"/>
      <c r="E795" s="4"/>
      <c r="F795" s="4"/>
      <c r="G795" s="4"/>
      <c r="H795" s="4"/>
      <c r="I795" s="4"/>
      <c r="J795" s="19"/>
      <c r="K795" s="4"/>
      <c r="L795" s="4"/>
      <c r="M795" s="4"/>
      <c r="N795" s="4"/>
      <c r="O795" s="4"/>
      <c r="P795" s="4"/>
      <c r="Q795" s="4"/>
      <c r="R795" s="4"/>
      <c r="S795" s="4"/>
      <c r="T795" s="4"/>
      <c r="U795" s="4"/>
      <c r="V795" s="4"/>
      <c r="W795" s="4"/>
      <c r="X795" s="4"/>
      <c r="Y795" s="4"/>
      <c r="Z795" s="4"/>
      <c r="AA795" s="4"/>
      <c r="AB795" s="4"/>
      <c r="AC795" s="4"/>
      <c r="AD795" s="4"/>
      <c r="AE795" s="4"/>
      <c r="AF795" s="4"/>
    </row>
    <row r="796" spans="1:32" ht="15.75" customHeight="1">
      <c r="A796" s="4"/>
      <c r="B796" s="4"/>
      <c r="C796" s="4"/>
      <c r="D796" s="4"/>
      <c r="E796" s="4"/>
      <c r="F796" s="4"/>
      <c r="G796" s="4"/>
      <c r="H796" s="4"/>
      <c r="I796" s="4"/>
      <c r="J796" s="19"/>
      <c r="K796" s="4"/>
      <c r="L796" s="4"/>
      <c r="M796" s="4"/>
      <c r="N796" s="4"/>
      <c r="O796" s="4"/>
      <c r="P796" s="4"/>
      <c r="Q796" s="4"/>
      <c r="R796" s="4"/>
      <c r="S796" s="4"/>
      <c r="T796" s="4"/>
      <c r="U796" s="4"/>
      <c r="V796" s="4"/>
      <c r="W796" s="4"/>
      <c r="X796" s="4"/>
      <c r="Y796" s="4"/>
      <c r="Z796" s="4"/>
      <c r="AA796" s="4"/>
      <c r="AB796" s="4"/>
      <c r="AC796" s="4"/>
      <c r="AD796" s="4"/>
      <c r="AE796" s="4"/>
      <c r="AF796" s="4"/>
    </row>
    <row r="797" spans="1:32" ht="15.75" customHeight="1">
      <c r="A797" s="4"/>
      <c r="B797" s="4"/>
      <c r="C797" s="4"/>
      <c r="D797" s="4"/>
      <c r="E797" s="4"/>
      <c r="F797" s="4"/>
      <c r="G797" s="4"/>
      <c r="H797" s="4"/>
      <c r="I797" s="4"/>
      <c r="J797" s="19"/>
      <c r="K797" s="4"/>
      <c r="L797" s="4"/>
      <c r="M797" s="4"/>
      <c r="N797" s="4"/>
      <c r="O797" s="4"/>
      <c r="P797" s="4"/>
      <c r="Q797" s="4"/>
      <c r="R797" s="4"/>
      <c r="S797" s="4"/>
      <c r="T797" s="4"/>
      <c r="U797" s="4"/>
      <c r="V797" s="4"/>
      <c r="W797" s="4"/>
      <c r="X797" s="4"/>
      <c r="Y797" s="4"/>
      <c r="Z797" s="4"/>
      <c r="AA797" s="4"/>
      <c r="AB797" s="4"/>
      <c r="AC797" s="4"/>
      <c r="AD797" s="4"/>
      <c r="AE797" s="4"/>
      <c r="AF797" s="4"/>
    </row>
    <row r="798" spans="1:32" ht="15.75" customHeight="1">
      <c r="A798" s="4"/>
      <c r="B798" s="4"/>
      <c r="C798" s="4"/>
      <c r="D798" s="4"/>
      <c r="E798" s="4"/>
      <c r="F798" s="4"/>
      <c r="G798" s="4"/>
      <c r="H798" s="4"/>
      <c r="I798" s="4"/>
      <c r="J798" s="19"/>
      <c r="K798" s="4"/>
      <c r="L798" s="4"/>
      <c r="M798" s="4"/>
      <c r="N798" s="4"/>
      <c r="O798" s="4"/>
      <c r="P798" s="4"/>
      <c r="Q798" s="4"/>
      <c r="R798" s="4"/>
      <c r="S798" s="4"/>
      <c r="T798" s="4"/>
      <c r="U798" s="4"/>
      <c r="V798" s="4"/>
      <c r="W798" s="4"/>
      <c r="X798" s="4"/>
      <c r="Y798" s="4"/>
      <c r="Z798" s="4"/>
      <c r="AA798" s="4"/>
      <c r="AB798" s="4"/>
      <c r="AC798" s="4"/>
      <c r="AD798" s="4"/>
      <c r="AE798" s="4"/>
      <c r="AF798" s="4"/>
    </row>
    <row r="799" spans="1:32" ht="15.75" customHeight="1">
      <c r="A799" s="4"/>
      <c r="B799" s="4"/>
      <c r="C799" s="4"/>
      <c r="D799" s="4"/>
      <c r="E799" s="4"/>
      <c r="F799" s="4"/>
      <c r="G799" s="4"/>
      <c r="H799" s="4"/>
      <c r="I799" s="4"/>
      <c r="J799" s="19"/>
      <c r="K799" s="4"/>
      <c r="L799" s="4"/>
      <c r="M799" s="4"/>
      <c r="N799" s="4"/>
      <c r="O799" s="4"/>
      <c r="P799" s="4"/>
      <c r="Q799" s="4"/>
      <c r="R799" s="4"/>
      <c r="S799" s="4"/>
      <c r="T799" s="4"/>
      <c r="U799" s="4"/>
      <c r="V799" s="4"/>
      <c r="W799" s="4"/>
      <c r="X799" s="4"/>
      <c r="Y799" s="4"/>
      <c r="Z799" s="4"/>
      <c r="AA799" s="4"/>
      <c r="AB799" s="4"/>
      <c r="AC799" s="4"/>
      <c r="AD799" s="4"/>
      <c r="AE799" s="4"/>
      <c r="AF799" s="4"/>
    </row>
    <row r="800" spans="1:32" ht="15.75" customHeight="1">
      <c r="A800" s="4"/>
      <c r="B800" s="4"/>
      <c r="C800" s="4"/>
      <c r="D800" s="4"/>
      <c r="E800" s="4"/>
      <c r="F800" s="4"/>
      <c r="G800" s="4"/>
      <c r="H800" s="4"/>
      <c r="I800" s="4"/>
      <c r="J800" s="19"/>
      <c r="K800" s="4"/>
      <c r="L800" s="4"/>
      <c r="M800" s="4"/>
      <c r="N800" s="4"/>
      <c r="O800" s="4"/>
      <c r="P800" s="4"/>
      <c r="Q800" s="4"/>
      <c r="R800" s="4"/>
      <c r="S800" s="4"/>
      <c r="T800" s="4"/>
      <c r="U800" s="4"/>
      <c r="V800" s="4"/>
      <c r="W800" s="4"/>
      <c r="X800" s="4"/>
      <c r="Y800" s="4"/>
      <c r="Z800" s="4"/>
      <c r="AA800" s="4"/>
      <c r="AB800" s="4"/>
      <c r="AC800" s="4"/>
      <c r="AD800" s="4"/>
      <c r="AE800" s="4"/>
      <c r="AF800" s="4"/>
    </row>
    <row r="801" spans="1:32" ht="15.75" customHeight="1">
      <c r="A801" s="4"/>
      <c r="B801" s="4"/>
      <c r="C801" s="4"/>
      <c r="D801" s="4"/>
      <c r="E801" s="4"/>
      <c r="F801" s="4"/>
      <c r="G801" s="4"/>
      <c r="H801" s="4"/>
      <c r="I801" s="4"/>
      <c r="J801" s="19"/>
      <c r="K801" s="4"/>
      <c r="L801" s="4"/>
      <c r="M801" s="4"/>
      <c r="N801" s="4"/>
      <c r="O801" s="4"/>
      <c r="P801" s="4"/>
      <c r="Q801" s="4"/>
      <c r="R801" s="4"/>
      <c r="S801" s="4"/>
      <c r="T801" s="4"/>
      <c r="U801" s="4"/>
      <c r="V801" s="4"/>
      <c r="W801" s="4"/>
      <c r="X801" s="4"/>
      <c r="Y801" s="4"/>
      <c r="Z801" s="4"/>
      <c r="AA801" s="4"/>
      <c r="AB801" s="4"/>
      <c r="AC801" s="4"/>
      <c r="AD801" s="4"/>
      <c r="AE801" s="4"/>
      <c r="AF801" s="4"/>
    </row>
    <row r="802" spans="1:32" ht="15.75" customHeight="1">
      <c r="A802" s="4"/>
      <c r="B802" s="4"/>
      <c r="C802" s="4"/>
      <c r="D802" s="4"/>
      <c r="E802" s="4"/>
      <c r="F802" s="4"/>
      <c r="G802" s="4"/>
      <c r="H802" s="4"/>
      <c r="I802" s="4"/>
      <c r="J802" s="19"/>
      <c r="K802" s="4"/>
      <c r="L802" s="4"/>
      <c r="M802" s="4"/>
      <c r="N802" s="4"/>
      <c r="O802" s="4"/>
      <c r="P802" s="4"/>
      <c r="Q802" s="4"/>
      <c r="R802" s="4"/>
      <c r="S802" s="4"/>
      <c r="T802" s="4"/>
      <c r="U802" s="4"/>
      <c r="V802" s="4"/>
      <c r="W802" s="4"/>
      <c r="X802" s="4"/>
      <c r="Y802" s="4"/>
      <c r="Z802" s="4"/>
      <c r="AA802" s="4"/>
      <c r="AB802" s="4"/>
      <c r="AC802" s="4"/>
      <c r="AD802" s="4"/>
      <c r="AE802" s="4"/>
      <c r="AF802" s="4"/>
    </row>
    <row r="803" spans="1:32" ht="15.75" customHeight="1">
      <c r="A803" s="4"/>
      <c r="B803" s="4"/>
      <c r="C803" s="4"/>
      <c r="D803" s="4"/>
      <c r="E803" s="4"/>
      <c r="F803" s="4"/>
      <c r="G803" s="4"/>
      <c r="H803" s="4"/>
      <c r="I803" s="4"/>
      <c r="J803" s="19"/>
      <c r="K803" s="4"/>
      <c r="L803" s="4"/>
      <c r="M803" s="4"/>
      <c r="N803" s="4"/>
      <c r="O803" s="4"/>
      <c r="P803" s="4"/>
      <c r="Q803" s="4"/>
      <c r="R803" s="4"/>
      <c r="S803" s="4"/>
      <c r="T803" s="4"/>
      <c r="U803" s="4"/>
      <c r="V803" s="4"/>
      <c r="W803" s="4"/>
      <c r="X803" s="4"/>
      <c r="Y803" s="4"/>
      <c r="Z803" s="4"/>
      <c r="AA803" s="4"/>
      <c r="AB803" s="4"/>
      <c r="AC803" s="4"/>
      <c r="AD803" s="4"/>
      <c r="AE803" s="4"/>
      <c r="AF803" s="4"/>
    </row>
    <row r="804" spans="1:32" ht="15.75" customHeight="1">
      <c r="A804" s="4"/>
      <c r="B804" s="4"/>
      <c r="C804" s="4"/>
      <c r="D804" s="4"/>
      <c r="E804" s="4"/>
      <c r="F804" s="4"/>
      <c r="G804" s="4"/>
      <c r="H804" s="4"/>
      <c r="I804" s="4"/>
      <c r="J804" s="19"/>
      <c r="K804" s="4"/>
      <c r="L804" s="4"/>
      <c r="M804" s="4"/>
      <c r="N804" s="4"/>
      <c r="O804" s="4"/>
      <c r="P804" s="4"/>
      <c r="Q804" s="4"/>
      <c r="R804" s="4"/>
      <c r="S804" s="4"/>
      <c r="T804" s="4"/>
      <c r="U804" s="4"/>
      <c r="V804" s="4"/>
      <c r="W804" s="4"/>
      <c r="X804" s="4"/>
      <c r="Y804" s="4"/>
      <c r="Z804" s="4"/>
      <c r="AA804" s="4"/>
      <c r="AB804" s="4"/>
      <c r="AC804" s="4"/>
      <c r="AD804" s="4"/>
      <c r="AE804" s="4"/>
      <c r="AF804" s="4"/>
    </row>
    <row r="805" spans="1:32" ht="15.75" customHeight="1">
      <c r="A805" s="4"/>
      <c r="B805" s="4"/>
      <c r="C805" s="4"/>
      <c r="D805" s="4"/>
      <c r="E805" s="4"/>
      <c r="F805" s="4"/>
      <c r="G805" s="4"/>
      <c r="H805" s="4"/>
      <c r="I805" s="4"/>
      <c r="J805" s="19"/>
      <c r="K805" s="4"/>
      <c r="L805" s="4"/>
      <c r="M805" s="4"/>
      <c r="N805" s="4"/>
      <c r="O805" s="4"/>
      <c r="P805" s="4"/>
      <c r="Q805" s="4"/>
      <c r="R805" s="4"/>
      <c r="S805" s="4"/>
      <c r="T805" s="4"/>
      <c r="U805" s="4"/>
      <c r="V805" s="4"/>
      <c r="W805" s="4"/>
      <c r="X805" s="4"/>
      <c r="Y805" s="4"/>
      <c r="Z805" s="4"/>
      <c r="AA805" s="4"/>
      <c r="AB805" s="4"/>
      <c r="AC805" s="4"/>
      <c r="AD805" s="4"/>
      <c r="AE805" s="4"/>
      <c r="AF805" s="4"/>
    </row>
    <row r="806" spans="1:32" ht="15.75" customHeight="1">
      <c r="A806" s="4"/>
      <c r="B806" s="4"/>
      <c r="C806" s="4"/>
      <c r="D806" s="4"/>
      <c r="E806" s="4"/>
      <c r="F806" s="4"/>
      <c r="G806" s="4"/>
      <c r="H806" s="4"/>
      <c r="I806" s="4"/>
      <c r="J806" s="19"/>
      <c r="K806" s="4"/>
      <c r="L806" s="4"/>
      <c r="M806" s="4"/>
      <c r="N806" s="4"/>
      <c r="O806" s="4"/>
      <c r="P806" s="4"/>
      <c r="Q806" s="4"/>
      <c r="R806" s="4"/>
      <c r="S806" s="4"/>
      <c r="T806" s="4"/>
      <c r="U806" s="4"/>
      <c r="V806" s="4"/>
      <c r="W806" s="4"/>
      <c r="X806" s="4"/>
      <c r="Y806" s="4"/>
      <c r="Z806" s="4"/>
      <c r="AA806" s="4"/>
      <c r="AB806" s="4"/>
      <c r="AC806" s="4"/>
      <c r="AD806" s="4"/>
      <c r="AE806" s="4"/>
      <c r="AF806" s="4"/>
    </row>
    <row r="807" spans="1:32" ht="15.75" customHeight="1">
      <c r="A807" s="4"/>
      <c r="B807" s="4"/>
      <c r="C807" s="4"/>
      <c r="D807" s="4"/>
      <c r="E807" s="4"/>
      <c r="F807" s="4"/>
      <c r="G807" s="4"/>
      <c r="H807" s="4"/>
      <c r="I807" s="4"/>
      <c r="J807" s="19"/>
      <c r="K807" s="4"/>
      <c r="L807" s="4"/>
      <c r="M807" s="4"/>
      <c r="N807" s="4"/>
      <c r="O807" s="4"/>
      <c r="P807" s="4"/>
      <c r="Q807" s="4"/>
      <c r="R807" s="4"/>
      <c r="S807" s="4"/>
      <c r="T807" s="4"/>
      <c r="U807" s="4"/>
      <c r="V807" s="4"/>
      <c r="W807" s="4"/>
      <c r="X807" s="4"/>
      <c r="Y807" s="4"/>
      <c r="Z807" s="4"/>
      <c r="AA807" s="4"/>
      <c r="AB807" s="4"/>
      <c r="AC807" s="4"/>
      <c r="AD807" s="4"/>
      <c r="AE807" s="4"/>
      <c r="AF807" s="4"/>
    </row>
    <row r="808" spans="1:32" ht="15.75" customHeight="1">
      <c r="A808" s="4"/>
      <c r="B808" s="4"/>
      <c r="C808" s="4"/>
      <c r="D808" s="4"/>
      <c r="E808" s="4"/>
      <c r="F808" s="4"/>
      <c r="G808" s="4"/>
      <c r="H808" s="4"/>
      <c r="I808" s="4"/>
      <c r="J808" s="19"/>
      <c r="K808" s="4"/>
      <c r="L808" s="4"/>
      <c r="M808" s="4"/>
      <c r="N808" s="4"/>
      <c r="O808" s="4"/>
      <c r="P808" s="4"/>
      <c r="Q808" s="4"/>
      <c r="R808" s="4"/>
      <c r="S808" s="4"/>
      <c r="T808" s="4"/>
      <c r="U808" s="4"/>
      <c r="V808" s="4"/>
      <c r="W808" s="4"/>
      <c r="X808" s="4"/>
      <c r="Y808" s="4"/>
      <c r="Z808" s="4"/>
      <c r="AA808" s="4"/>
      <c r="AB808" s="4"/>
      <c r="AC808" s="4"/>
      <c r="AD808" s="4"/>
      <c r="AE808" s="4"/>
      <c r="AF808" s="4"/>
    </row>
    <row r="809" spans="1:32" ht="15.75" customHeight="1">
      <c r="A809" s="4"/>
      <c r="B809" s="4"/>
      <c r="C809" s="4"/>
      <c r="D809" s="4"/>
      <c r="E809" s="4"/>
      <c r="F809" s="4"/>
      <c r="G809" s="4"/>
      <c r="H809" s="4"/>
      <c r="I809" s="4"/>
      <c r="J809" s="19"/>
      <c r="K809" s="4"/>
      <c r="L809" s="4"/>
      <c r="M809" s="4"/>
      <c r="N809" s="4"/>
      <c r="O809" s="4"/>
      <c r="P809" s="4"/>
      <c r="Q809" s="4"/>
      <c r="R809" s="4"/>
      <c r="S809" s="4"/>
      <c r="T809" s="4"/>
      <c r="U809" s="4"/>
      <c r="V809" s="4"/>
      <c r="W809" s="4"/>
      <c r="X809" s="4"/>
      <c r="Y809" s="4"/>
      <c r="Z809" s="4"/>
      <c r="AA809" s="4"/>
      <c r="AB809" s="4"/>
      <c r="AC809" s="4"/>
      <c r="AD809" s="4"/>
      <c r="AE809" s="4"/>
      <c r="AF809" s="4"/>
    </row>
    <row r="810" spans="1:32" ht="15.75" customHeight="1">
      <c r="A810" s="4"/>
      <c r="B810" s="4"/>
      <c r="C810" s="4"/>
      <c r="D810" s="4"/>
      <c r="E810" s="4"/>
      <c r="F810" s="4"/>
      <c r="G810" s="4"/>
      <c r="H810" s="4"/>
      <c r="I810" s="4"/>
      <c r="J810" s="19"/>
      <c r="K810" s="4"/>
      <c r="L810" s="4"/>
      <c r="M810" s="4"/>
      <c r="N810" s="4"/>
      <c r="O810" s="4"/>
      <c r="P810" s="4"/>
      <c r="Q810" s="4"/>
      <c r="R810" s="4"/>
      <c r="S810" s="4"/>
      <c r="T810" s="4"/>
      <c r="U810" s="4"/>
      <c r="V810" s="4"/>
      <c r="W810" s="4"/>
      <c r="X810" s="4"/>
      <c r="Y810" s="4"/>
      <c r="Z810" s="4"/>
      <c r="AA810" s="4"/>
      <c r="AB810" s="4"/>
      <c r="AC810" s="4"/>
      <c r="AD810" s="4"/>
      <c r="AE810" s="4"/>
      <c r="AF810" s="4"/>
    </row>
    <row r="811" spans="1:32" ht="15.75" customHeight="1">
      <c r="A811" s="4"/>
      <c r="B811" s="4"/>
      <c r="C811" s="4"/>
      <c r="D811" s="4"/>
      <c r="E811" s="4"/>
      <c r="F811" s="4"/>
      <c r="G811" s="4"/>
      <c r="H811" s="4"/>
      <c r="I811" s="4"/>
      <c r="J811" s="19"/>
      <c r="K811" s="4"/>
      <c r="L811" s="4"/>
      <c r="M811" s="4"/>
      <c r="N811" s="4"/>
      <c r="O811" s="4"/>
      <c r="P811" s="4"/>
      <c r="Q811" s="4"/>
      <c r="R811" s="4"/>
      <c r="S811" s="4"/>
      <c r="T811" s="4"/>
      <c r="U811" s="4"/>
      <c r="V811" s="4"/>
      <c r="W811" s="4"/>
      <c r="X811" s="4"/>
      <c r="Y811" s="4"/>
      <c r="Z811" s="4"/>
      <c r="AA811" s="4"/>
      <c r="AB811" s="4"/>
      <c r="AC811" s="4"/>
      <c r="AD811" s="4"/>
      <c r="AE811" s="4"/>
      <c r="AF811" s="4"/>
    </row>
    <row r="812" spans="1:32" ht="15.75" customHeight="1">
      <c r="A812" s="4"/>
      <c r="B812" s="4"/>
      <c r="C812" s="4"/>
      <c r="D812" s="4"/>
      <c r="E812" s="4"/>
      <c r="F812" s="4"/>
      <c r="G812" s="4"/>
      <c r="H812" s="4"/>
      <c r="I812" s="4"/>
      <c r="J812" s="19"/>
      <c r="K812" s="4"/>
      <c r="L812" s="4"/>
      <c r="M812" s="4"/>
      <c r="N812" s="4"/>
      <c r="O812" s="4"/>
      <c r="P812" s="4"/>
      <c r="Q812" s="4"/>
      <c r="R812" s="4"/>
      <c r="S812" s="4"/>
      <c r="T812" s="4"/>
      <c r="U812" s="4"/>
      <c r="V812" s="4"/>
      <c r="W812" s="4"/>
      <c r="X812" s="4"/>
      <c r="Y812" s="4"/>
      <c r="Z812" s="4"/>
      <c r="AA812" s="4"/>
      <c r="AB812" s="4"/>
      <c r="AC812" s="4"/>
      <c r="AD812" s="4"/>
      <c r="AE812" s="4"/>
      <c r="AF812" s="4"/>
    </row>
    <row r="813" spans="1:32" ht="15.75" customHeight="1">
      <c r="A813" s="4"/>
      <c r="B813" s="4"/>
      <c r="C813" s="4"/>
      <c r="D813" s="4"/>
      <c r="E813" s="4"/>
      <c r="F813" s="4"/>
      <c r="G813" s="4"/>
      <c r="H813" s="4"/>
      <c r="I813" s="4"/>
      <c r="J813" s="19"/>
      <c r="K813" s="4"/>
      <c r="L813" s="4"/>
      <c r="M813" s="4"/>
      <c r="N813" s="4"/>
      <c r="O813" s="4"/>
      <c r="P813" s="4"/>
      <c r="Q813" s="4"/>
      <c r="R813" s="4"/>
      <c r="S813" s="4"/>
      <c r="T813" s="4"/>
      <c r="U813" s="4"/>
      <c r="V813" s="4"/>
      <c r="W813" s="4"/>
      <c r="X813" s="4"/>
      <c r="Y813" s="4"/>
      <c r="Z813" s="4"/>
      <c r="AA813" s="4"/>
      <c r="AB813" s="4"/>
      <c r="AC813" s="4"/>
      <c r="AD813" s="4"/>
      <c r="AE813" s="4"/>
      <c r="AF813" s="4"/>
    </row>
    <row r="814" spans="1:32" ht="15.75" customHeight="1">
      <c r="A814" s="4"/>
      <c r="B814" s="4"/>
      <c r="C814" s="4"/>
      <c r="D814" s="4"/>
      <c r="E814" s="4"/>
      <c r="F814" s="4"/>
      <c r="G814" s="4"/>
      <c r="H814" s="4"/>
      <c r="I814" s="4"/>
      <c r="J814" s="19"/>
      <c r="K814" s="4"/>
      <c r="L814" s="4"/>
      <c r="M814" s="4"/>
      <c r="N814" s="4"/>
      <c r="O814" s="4"/>
      <c r="P814" s="4"/>
      <c r="Q814" s="4"/>
      <c r="R814" s="4"/>
      <c r="S814" s="4"/>
      <c r="T814" s="4"/>
      <c r="U814" s="4"/>
      <c r="V814" s="4"/>
      <c r="W814" s="4"/>
      <c r="X814" s="4"/>
      <c r="Y814" s="4"/>
      <c r="Z814" s="4"/>
      <c r="AA814" s="4"/>
      <c r="AB814" s="4"/>
      <c r="AC814" s="4"/>
      <c r="AD814" s="4"/>
      <c r="AE814" s="4"/>
      <c r="AF814" s="4"/>
    </row>
    <row r="815" spans="1:32" ht="15.75" customHeight="1">
      <c r="A815" s="4"/>
      <c r="B815" s="4"/>
      <c r="C815" s="4"/>
      <c r="D815" s="4"/>
      <c r="E815" s="4"/>
      <c r="F815" s="4"/>
      <c r="G815" s="4"/>
      <c r="H815" s="4"/>
      <c r="I815" s="4"/>
      <c r="J815" s="19"/>
      <c r="K815" s="4"/>
      <c r="L815" s="4"/>
      <c r="M815" s="4"/>
      <c r="N815" s="4"/>
      <c r="O815" s="4"/>
      <c r="P815" s="4"/>
      <c r="Q815" s="4"/>
      <c r="R815" s="4"/>
      <c r="S815" s="4"/>
      <c r="T815" s="4"/>
      <c r="U815" s="4"/>
      <c r="V815" s="4"/>
      <c r="W815" s="4"/>
      <c r="X815" s="4"/>
      <c r="Y815" s="4"/>
      <c r="Z815" s="4"/>
      <c r="AA815" s="4"/>
      <c r="AB815" s="4"/>
      <c r="AC815" s="4"/>
      <c r="AD815" s="4"/>
      <c r="AE815" s="4"/>
      <c r="AF815" s="4"/>
    </row>
    <row r="816" spans="1:32" ht="15.75" customHeight="1">
      <c r="A816" s="4"/>
      <c r="B816" s="4"/>
      <c r="C816" s="4"/>
      <c r="D816" s="4"/>
      <c r="E816" s="4"/>
      <c r="F816" s="4"/>
      <c r="G816" s="4"/>
      <c r="H816" s="4"/>
      <c r="I816" s="4"/>
      <c r="J816" s="19"/>
      <c r="K816" s="4"/>
      <c r="L816" s="4"/>
      <c r="M816" s="4"/>
      <c r="N816" s="4"/>
      <c r="O816" s="4"/>
      <c r="P816" s="4"/>
      <c r="Q816" s="4"/>
      <c r="R816" s="4"/>
      <c r="S816" s="4"/>
      <c r="T816" s="4"/>
      <c r="U816" s="4"/>
      <c r="V816" s="4"/>
      <c r="W816" s="4"/>
      <c r="X816" s="4"/>
      <c r="Y816" s="4"/>
      <c r="Z816" s="4"/>
      <c r="AA816" s="4"/>
      <c r="AB816" s="4"/>
      <c r="AC816" s="4"/>
      <c r="AD816" s="4"/>
      <c r="AE816" s="4"/>
      <c r="AF816" s="4"/>
    </row>
    <row r="817" spans="1:32" ht="15.75" customHeight="1">
      <c r="A817" s="4"/>
      <c r="B817" s="4"/>
      <c r="C817" s="4"/>
      <c r="D817" s="4"/>
      <c r="E817" s="4"/>
      <c r="F817" s="4"/>
      <c r="G817" s="4"/>
      <c r="H817" s="4"/>
      <c r="I817" s="4"/>
      <c r="J817" s="19"/>
      <c r="K817" s="4"/>
      <c r="L817" s="4"/>
      <c r="M817" s="4"/>
      <c r="N817" s="4"/>
      <c r="O817" s="4"/>
      <c r="P817" s="4"/>
      <c r="Q817" s="4"/>
      <c r="R817" s="4"/>
      <c r="S817" s="4"/>
      <c r="T817" s="4"/>
      <c r="U817" s="4"/>
      <c r="V817" s="4"/>
      <c r="W817" s="4"/>
      <c r="X817" s="4"/>
      <c r="Y817" s="4"/>
      <c r="Z817" s="4"/>
      <c r="AA817" s="4"/>
      <c r="AB817" s="4"/>
      <c r="AC817" s="4"/>
      <c r="AD817" s="4"/>
      <c r="AE817" s="4"/>
      <c r="AF817" s="4"/>
    </row>
    <row r="818" spans="1:32" ht="15.75" customHeight="1">
      <c r="A818" s="4"/>
      <c r="B818" s="4"/>
      <c r="C818" s="4"/>
      <c r="D818" s="4"/>
      <c r="E818" s="4"/>
      <c r="F818" s="4"/>
      <c r="G818" s="4"/>
      <c r="H818" s="4"/>
      <c r="I818" s="4"/>
      <c r="J818" s="19"/>
      <c r="K818" s="4"/>
      <c r="L818" s="4"/>
      <c r="M818" s="4"/>
      <c r="N818" s="4"/>
      <c r="O818" s="4"/>
      <c r="P818" s="4"/>
      <c r="Q818" s="4"/>
      <c r="R818" s="4"/>
      <c r="S818" s="4"/>
      <c r="T818" s="4"/>
      <c r="U818" s="4"/>
      <c r="V818" s="4"/>
      <c r="W818" s="4"/>
      <c r="X818" s="4"/>
      <c r="Y818" s="4"/>
      <c r="Z818" s="4"/>
      <c r="AA818" s="4"/>
      <c r="AB818" s="4"/>
      <c r="AC818" s="4"/>
      <c r="AD818" s="4"/>
      <c r="AE818" s="4"/>
      <c r="AF818" s="4"/>
    </row>
    <row r="819" spans="1:32" ht="15.75" customHeight="1">
      <c r="A819" s="4"/>
      <c r="B819" s="4"/>
      <c r="C819" s="4"/>
      <c r="D819" s="4"/>
      <c r="E819" s="4"/>
      <c r="F819" s="4"/>
      <c r="G819" s="4"/>
      <c r="H819" s="4"/>
      <c r="I819" s="4"/>
      <c r="J819" s="19"/>
      <c r="K819" s="4"/>
      <c r="L819" s="4"/>
      <c r="M819" s="4"/>
      <c r="N819" s="4"/>
      <c r="O819" s="4"/>
      <c r="P819" s="4"/>
      <c r="Q819" s="4"/>
      <c r="R819" s="4"/>
      <c r="S819" s="4"/>
      <c r="T819" s="4"/>
      <c r="U819" s="4"/>
      <c r="V819" s="4"/>
      <c r="W819" s="4"/>
      <c r="X819" s="4"/>
      <c r="Y819" s="4"/>
      <c r="Z819" s="4"/>
      <c r="AA819" s="4"/>
      <c r="AB819" s="4"/>
      <c r="AC819" s="4"/>
      <c r="AD819" s="4"/>
      <c r="AE819" s="4"/>
      <c r="AF819" s="4"/>
    </row>
    <row r="820" spans="1:32" ht="15.75" customHeight="1">
      <c r="A820" s="4"/>
      <c r="B820" s="4"/>
      <c r="C820" s="4"/>
      <c r="D820" s="4"/>
      <c r="E820" s="4"/>
      <c r="F820" s="4"/>
      <c r="G820" s="4"/>
      <c r="H820" s="4"/>
      <c r="I820" s="4"/>
      <c r="J820" s="19"/>
      <c r="K820" s="4"/>
      <c r="L820" s="4"/>
      <c r="M820" s="4"/>
      <c r="N820" s="4"/>
      <c r="O820" s="4"/>
      <c r="P820" s="4"/>
      <c r="Q820" s="4"/>
      <c r="R820" s="4"/>
      <c r="S820" s="4"/>
      <c r="T820" s="4"/>
      <c r="U820" s="4"/>
      <c r="V820" s="4"/>
      <c r="W820" s="4"/>
      <c r="X820" s="4"/>
      <c r="Y820" s="4"/>
      <c r="Z820" s="4"/>
      <c r="AA820" s="4"/>
      <c r="AB820" s="4"/>
      <c r="AC820" s="4"/>
      <c r="AD820" s="4"/>
      <c r="AE820" s="4"/>
      <c r="AF820" s="4"/>
    </row>
    <row r="821" spans="1:32" ht="15.75" customHeight="1">
      <c r="A821" s="4"/>
      <c r="B821" s="4"/>
      <c r="C821" s="4"/>
      <c r="D821" s="4"/>
      <c r="E821" s="4"/>
      <c r="F821" s="4"/>
      <c r="G821" s="4"/>
      <c r="H821" s="4"/>
      <c r="I821" s="4"/>
      <c r="J821" s="19"/>
      <c r="K821" s="4"/>
      <c r="L821" s="4"/>
      <c r="M821" s="4"/>
      <c r="N821" s="4"/>
      <c r="O821" s="4"/>
      <c r="P821" s="4"/>
      <c r="Q821" s="4"/>
      <c r="R821" s="4"/>
      <c r="S821" s="4"/>
      <c r="T821" s="4"/>
      <c r="U821" s="4"/>
      <c r="V821" s="4"/>
      <c r="W821" s="4"/>
      <c r="X821" s="4"/>
      <c r="Y821" s="4"/>
      <c r="Z821" s="4"/>
      <c r="AA821" s="4"/>
      <c r="AB821" s="4"/>
      <c r="AC821" s="4"/>
      <c r="AD821" s="4"/>
      <c r="AE821" s="4"/>
      <c r="AF821" s="4"/>
    </row>
    <row r="822" spans="1:32" ht="15.75" customHeight="1">
      <c r="A822" s="4"/>
      <c r="B822" s="4"/>
      <c r="C822" s="4"/>
      <c r="D822" s="4"/>
      <c r="E822" s="4"/>
      <c r="F822" s="4"/>
      <c r="G822" s="4"/>
      <c r="H822" s="4"/>
      <c r="I822" s="4"/>
      <c r="J822" s="19"/>
      <c r="K822" s="4"/>
      <c r="L822" s="4"/>
      <c r="M822" s="4"/>
      <c r="N822" s="4"/>
      <c r="O822" s="4"/>
      <c r="P822" s="4"/>
      <c r="Q822" s="4"/>
      <c r="R822" s="4"/>
      <c r="S822" s="4"/>
      <c r="T822" s="4"/>
      <c r="U822" s="4"/>
      <c r="V822" s="4"/>
      <c r="W822" s="4"/>
      <c r="X822" s="4"/>
      <c r="Y822" s="4"/>
      <c r="Z822" s="4"/>
      <c r="AA822" s="4"/>
      <c r="AB822" s="4"/>
      <c r="AC822" s="4"/>
      <c r="AD822" s="4"/>
      <c r="AE822" s="4"/>
      <c r="AF822" s="4"/>
    </row>
    <row r="823" spans="1:32" ht="15.75" customHeight="1">
      <c r="A823" s="4"/>
      <c r="B823" s="4"/>
      <c r="C823" s="4"/>
      <c r="D823" s="4"/>
      <c r="E823" s="4"/>
      <c r="F823" s="4"/>
      <c r="G823" s="4"/>
      <c r="H823" s="4"/>
      <c r="I823" s="4"/>
      <c r="J823" s="19"/>
      <c r="K823" s="4"/>
      <c r="L823" s="4"/>
      <c r="M823" s="4"/>
      <c r="N823" s="4"/>
      <c r="O823" s="4"/>
      <c r="P823" s="4"/>
      <c r="Q823" s="4"/>
      <c r="R823" s="4"/>
      <c r="S823" s="4"/>
      <c r="T823" s="4"/>
      <c r="U823" s="4"/>
      <c r="V823" s="4"/>
      <c r="W823" s="4"/>
      <c r="X823" s="4"/>
      <c r="Y823" s="4"/>
      <c r="Z823" s="4"/>
      <c r="AA823" s="4"/>
      <c r="AB823" s="4"/>
      <c r="AC823" s="4"/>
      <c r="AD823" s="4"/>
      <c r="AE823" s="4"/>
      <c r="AF823" s="4"/>
    </row>
    <row r="824" spans="1:32" ht="15.75" customHeight="1">
      <c r="A824" s="4"/>
      <c r="B824" s="4"/>
      <c r="C824" s="4"/>
      <c r="D824" s="4"/>
      <c r="E824" s="4"/>
      <c r="F824" s="4"/>
      <c r="G824" s="4"/>
      <c r="H824" s="4"/>
      <c r="I824" s="4"/>
      <c r="J824" s="19"/>
      <c r="K824" s="4"/>
      <c r="L824" s="4"/>
      <c r="M824" s="4"/>
      <c r="N824" s="4"/>
      <c r="O824" s="4"/>
      <c r="P824" s="4"/>
      <c r="Q824" s="4"/>
      <c r="R824" s="4"/>
      <c r="S824" s="4"/>
      <c r="T824" s="4"/>
      <c r="U824" s="4"/>
      <c r="V824" s="4"/>
      <c r="W824" s="4"/>
      <c r="X824" s="4"/>
      <c r="Y824" s="4"/>
      <c r="Z824" s="4"/>
      <c r="AA824" s="4"/>
      <c r="AB824" s="4"/>
      <c r="AC824" s="4"/>
      <c r="AD824" s="4"/>
      <c r="AE824" s="4"/>
      <c r="AF824" s="4"/>
    </row>
    <row r="825" spans="1:32" ht="15.75" customHeight="1">
      <c r="A825" s="4"/>
      <c r="B825" s="4"/>
      <c r="C825" s="4"/>
      <c r="D825" s="4"/>
      <c r="E825" s="4"/>
      <c r="F825" s="4"/>
      <c r="G825" s="4"/>
      <c r="H825" s="4"/>
      <c r="I825" s="4"/>
      <c r="J825" s="19"/>
      <c r="K825" s="4"/>
      <c r="L825" s="4"/>
      <c r="M825" s="4"/>
      <c r="N825" s="4"/>
      <c r="O825" s="4"/>
      <c r="P825" s="4"/>
      <c r="Q825" s="4"/>
      <c r="R825" s="4"/>
      <c r="S825" s="4"/>
      <c r="T825" s="4"/>
      <c r="U825" s="4"/>
      <c r="V825" s="4"/>
      <c r="W825" s="4"/>
      <c r="X825" s="4"/>
      <c r="Y825" s="4"/>
      <c r="Z825" s="4"/>
      <c r="AA825" s="4"/>
      <c r="AB825" s="4"/>
      <c r="AC825" s="4"/>
      <c r="AD825" s="4"/>
      <c r="AE825" s="4"/>
      <c r="AF825" s="4"/>
    </row>
    <row r="826" spans="1:32" ht="15.75" customHeight="1">
      <c r="A826" s="4"/>
      <c r="B826" s="4"/>
      <c r="C826" s="4"/>
      <c r="D826" s="4"/>
      <c r="E826" s="4"/>
      <c r="F826" s="4"/>
      <c r="G826" s="4"/>
      <c r="H826" s="4"/>
      <c r="I826" s="4"/>
      <c r="J826" s="19"/>
      <c r="K826" s="4"/>
      <c r="L826" s="4"/>
      <c r="M826" s="4"/>
      <c r="N826" s="4"/>
      <c r="O826" s="4"/>
      <c r="P826" s="4"/>
      <c r="Q826" s="4"/>
      <c r="R826" s="4"/>
      <c r="S826" s="4"/>
      <c r="T826" s="4"/>
      <c r="U826" s="4"/>
      <c r="V826" s="4"/>
      <c r="W826" s="4"/>
      <c r="X826" s="4"/>
      <c r="Y826" s="4"/>
      <c r="Z826" s="4"/>
      <c r="AA826" s="4"/>
      <c r="AB826" s="4"/>
      <c r="AC826" s="4"/>
      <c r="AD826" s="4"/>
      <c r="AE826" s="4"/>
      <c r="AF826" s="4"/>
    </row>
    <row r="827" spans="1:32" ht="15.75" customHeight="1">
      <c r="A827" s="4"/>
      <c r="B827" s="4"/>
      <c r="C827" s="4"/>
      <c r="D827" s="4"/>
      <c r="E827" s="4"/>
      <c r="F827" s="4"/>
      <c r="G827" s="4"/>
      <c r="H827" s="4"/>
      <c r="I827" s="4"/>
      <c r="J827" s="19"/>
      <c r="K827" s="4"/>
      <c r="L827" s="4"/>
      <c r="M827" s="4"/>
      <c r="N827" s="4"/>
      <c r="O827" s="4"/>
      <c r="P827" s="4"/>
      <c r="Q827" s="4"/>
      <c r="R827" s="4"/>
      <c r="S827" s="4"/>
      <c r="T827" s="4"/>
      <c r="U827" s="4"/>
      <c r="V827" s="4"/>
      <c r="W827" s="4"/>
      <c r="X827" s="4"/>
      <c r="Y827" s="4"/>
      <c r="Z827" s="4"/>
      <c r="AA827" s="4"/>
      <c r="AB827" s="4"/>
      <c r="AC827" s="4"/>
      <c r="AD827" s="4"/>
      <c r="AE827" s="4"/>
      <c r="AF827" s="4"/>
    </row>
    <row r="828" spans="1:32" ht="15.75" customHeight="1">
      <c r="A828" s="4"/>
      <c r="B828" s="4"/>
      <c r="C828" s="4"/>
      <c r="D828" s="4"/>
      <c r="E828" s="4"/>
      <c r="F828" s="4"/>
      <c r="G828" s="4"/>
      <c r="H828" s="4"/>
      <c r="I828" s="4"/>
      <c r="J828" s="19"/>
      <c r="K828" s="4"/>
      <c r="L828" s="4"/>
      <c r="M828" s="4"/>
      <c r="N828" s="4"/>
      <c r="O828" s="4"/>
      <c r="P828" s="4"/>
      <c r="Q828" s="4"/>
      <c r="R828" s="4"/>
      <c r="S828" s="4"/>
      <c r="T828" s="4"/>
      <c r="U828" s="4"/>
      <c r="V828" s="4"/>
      <c r="W828" s="4"/>
      <c r="X828" s="4"/>
      <c r="Y828" s="4"/>
      <c r="Z828" s="4"/>
      <c r="AA828" s="4"/>
      <c r="AB828" s="4"/>
      <c r="AC828" s="4"/>
      <c r="AD828" s="4"/>
      <c r="AE828" s="4"/>
      <c r="AF828" s="4"/>
    </row>
    <row r="829" spans="1:32" ht="15.75" customHeight="1">
      <c r="A829" s="4"/>
      <c r="B829" s="4"/>
      <c r="C829" s="4"/>
      <c r="D829" s="4"/>
      <c r="E829" s="4"/>
      <c r="F829" s="4"/>
      <c r="G829" s="4"/>
      <c r="H829" s="4"/>
      <c r="I829" s="4"/>
      <c r="J829" s="19"/>
      <c r="K829" s="4"/>
      <c r="L829" s="4"/>
      <c r="M829" s="4"/>
      <c r="N829" s="4"/>
      <c r="O829" s="4"/>
      <c r="P829" s="4"/>
      <c r="Q829" s="4"/>
      <c r="R829" s="4"/>
      <c r="S829" s="4"/>
      <c r="T829" s="4"/>
      <c r="U829" s="4"/>
      <c r="V829" s="4"/>
      <c r="W829" s="4"/>
      <c r="X829" s="4"/>
      <c r="Y829" s="4"/>
      <c r="Z829" s="4"/>
      <c r="AA829" s="4"/>
      <c r="AB829" s="4"/>
      <c r="AC829" s="4"/>
      <c r="AD829" s="4"/>
      <c r="AE829" s="4"/>
      <c r="AF829" s="4"/>
    </row>
    <row r="830" spans="1:32" ht="15.75" customHeight="1">
      <c r="A830" s="4"/>
      <c r="B830" s="4"/>
      <c r="C830" s="4"/>
      <c r="D830" s="4"/>
      <c r="E830" s="4"/>
      <c r="F830" s="4"/>
      <c r="G830" s="4"/>
      <c r="H830" s="4"/>
      <c r="I830" s="4"/>
      <c r="J830" s="19"/>
      <c r="K830" s="4"/>
      <c r="L830" s="4"/>
      <c r="M830" s="4"/>
      <c r="N830" s="4"/>
      <c r="O830" s="4"/>
      <c r="P830" s="4"/>
      <c r="Q830" s="4"/>
      <c r="R830" s="4"/>
      <c r="S830" s="4"/>
      <c r="T830" s="4"/>
      <c r="U830" s="4"/>
      <c r="V830" s="4"/>
      <c r="W830" s="4"/>
      <c r="X830" s="4"/>
      <c r="Y830" s="4"/>
      <c r="Z830" s="4"/>
      <c r="AA830" s="4"/>
      <c r="AB830" s="4"/>
      <c r="AC830" s="4"/>
      <c r="AD830" s="4"/>
      <c r="AE830" s="4"/>
      <c r="AF830" s="4"/>
    </row>
    <row r="831" spans="1:32" ht="15.75" customHeight="1">
      <c r="A831" s="4"/>
      <c r="B831" s="4"/>
      <c r="C831" s="4"/>
      <c r="D831" s="4"/>
      <c r="E831" s="4"/>
      <c r="F831" s="4"/>
      <c r="G831" s="4"/>
      <c r="H831" s="4"/>
      <c r="I831" s="4"/>
      <c r="J831" s="19"/>
      <c r="K831" s="4"/>
      <c r="L831" s="4"/>
      <c r="M831" s="4"/>
      <c r="N831" s="4"/>
      <c r="O831" s="4"/>
      <c r="P831" s="4"/>
      <c r="Q831" s="4"/>
      <c r="R831" s="4"/>
      <c r="S831" s="4"/>
      <c r="T831" s="4"/>
      <c r="U831" s="4"/>
      <c r="V831" s="4"/>
      <c r="W831" s="4"/>
      <c r="X831" s="4"/>
      <c r="Y831" s="4"/>
      <c r="Z831" s="4"/>
      <c r="AA831" s="4"/>
      <c r="AB831" s="4"/>
      <c r="AC831" s="4"/>
      <c r="AD831" s="4"/>
      <c r="AE831" s="4"/>
      <c r="AF831" s="4"/>
    </row>
    <row r="832" spans="1:32" ht="15.75" customHeight="1">
      <c r="A832" s="4"/>
      <c r="B832" s="4"/>
      <c r="C832" s="4"/>
      <c r="D832" s="4"/>
      <c r="E832" s="4"/>
      <c r="F832" s="4"/>
      <c r="G832" s="4"/>
      <c r="H832" s="4"/>
      <c r="I832" s="4"/>
      <c r="J832" s="19"/>
      <c r="K832" s="4"/>
      <c r="L832" s="4"/>
      <c r="M832" s="4"/>
      <c r="N832" s="4"/>
      <c r="O832" s="4"/>
      <c r="P832" s="4"/>
      <c r="Q832" s="4"/>
      <c r="R832" s="4"/>
      <c r="S832" s="4"/>
      <c r="T832" s="4"/>
      <c r="U832" s="4"/>
      <c r="V832" s="4"/>
      <c r="W832" s="4"/>
      <c r="X832" s="4"/>
      <c r="Y832" s="4"/>
      <c r="Z832" s="4"/>
      <c r="AA832" s="4"/>
      <c r="AB832" s="4"/>
      <c r="AC832" s="4"/>
      <c r="AD832" s="4"/>
      <c r="AE832" s="4"/>
      <c r="AF832" s="4"/>
    </row>
    <row r="833" spans="1:32" ht="15.75" customHeight="1">
      <c r="A833" s="4"/>
      <c r="B833" s="4"/>
      <c r="C833" s="4"/>
      <c r="D833" s="4"/>
      <c r="E833" s="4"/>
      <c r="F833" s="4"/>
      <c r="G833" s="4"/>
      <c r="H833" s="4"/>
      <c r="I833" s="4"/>
      <c r="J833" s="19"/>
      <c r="K833" s="4"/>
      <c r="L833" s="4"/>
      <c r="M833" s="4"/>
      <c r="N833" s="4"/>
      <c r="O833" s="4"/>
      <c r="P833" s="4"/>
      <c r="Q833" s="4"/>
      <c r="R833" s="4"/>
      <c r="S833" s="4"/>
      <c r="T833" s="4"/>
      <c r="U833" s="4"/>
      <c r="V833" s="4"/>
      <c r="W833" s="4"/>
      <c r="X833" s="4"/>
      <c r="Y833" s="4"/>
      <c r="Z833" s="4"/>
      <c r="AA833" s="4"/>
      <c r="AB833" s="4"/>
      <c r="AC833" s="4"/>
      <c r="AD833" s="4"/>
      <c r="AE833" s="4"/>
      <c r="AF833" s="4"/>
    </row>
    <row r="834" spans="1:32" ht="15.75" customHeight="1">
      <c r="A834" s="4"/>
      <c r="B834" s="4"/>
      <c r="C834" s="4"/>
      <c r="D834" s="4"/>
      <c r="E834" s="4"/>
      <c r="F834" s="4"/>
      <c r="G834" s="4"/>
      <c r="H834" s="4"/>
      <c r="I834" s="4"/>
      <c r="J834" s="19"/>
      <c r="K834" s="4"/>
      <c r="L834" s="4"/>
      <c r="M834" s="4"/>
      <c r="N834" s="4"/>
      <c r="O834" s="4"/>
      <c r="P834" s="4"/>
      <c r="Q834" s="4"/>
      <c r="R834" s="4"/>
      <c r="S834" s="4"/>
      <c r="T834" s="4"/>
      <c r="U834" s="4"/>
      <c r="V834" s="4"/>
      <c r="W834" s="4"/>
      <c r="X834" s="4"/>
      <c r="Y834" s="4"/>
      <c r="Z834" s="4"/>
      <c r="AA834" s="4"/>
      <c r="AB834" s="4"/>
      <c r="AC834" s="4"/>
      <c r="AD834" s="4"/>
      <c r="AE834" s="4"/>
      <c r="AF834" s="4"/>
    </row>
    <row r="835" spans="1:32" ht="15.75" customHeight="1">
      <c r="A835" s="4"/>
      <c r="B835" s="4"/>
      <c r="C835" s="4"/>
      <c r="D835" s="4"/>
      <c r="E835" s="4"/>
      <c r="F835" s="4"/>
      <c r="G835" s="4"/>
      <c r="H835" s="4"/>
      <c r="I835" s="4"/>
      <c r="J835" s="19"/>
      <c r="K835" s="4"/>
      <c r="L835" s="4"/>
      <c r="M835" s="4"/>
      <c r="N835" s="4"/>
      <c r="O835" s="4"/>
      <c r="P835" s="4"/>
      <c r="Q835" s="4"/>
      <c r="R835" s="4"/>
      <c r="S835" s="4"/>
      <c r="T835" s="4"/>
      <c r="U835" s="4"/>
      <c r="V835" s="4"/>
      <c r="W835" s="4"/>
      <c r="X835" s="4"/>
      <c r="Y835" s="4"/>
      <c r="Z835" s="4"/>
      <c r="AA835" s="4"/>
      <c r="AB835" s="4"/>
      <c r="AC835" s="4"/>
      <c r="AD835" s="4"/>
      <c r="AE835" s="4"/>
      <c r="AF835" s="4"/>
    </row>
    <row r="836" spans="1:32" ht="15.75" customHeight="1">
      <c r="A836" s="4"/>
      <c r="B836" s="4"/>
      <c r="C836" s="4"/>
      <c r="D836" s="4"/>
      <c r="E836" s="4"/>
      <c r="F836" s="4"/>
      <c r="G836" s="4"/>
      <c r="H836" s="4"/>
      <c r="I836" s="4"/>
      <c r="J836" s="19"/>
      <c r="K836" s="4"/>
      <c r="L836" s="4"/>
      <c r="M836" s="4"/>
      <c r="N836" s="4"/>
      <c r="O836" s="4"/>
      <c r="P836" s="4"/>
      <c r="Q836" s="4"/>
      <c r="R836" s="4"/>
      <c r="S836" s="4"/>
      <c r="T836" s="4"/>
      <c r="U836" s="4"/>
      <c r="V836" s="4"/>
      <c r="W836" s="4"/>
      <c r="X836" s="4"/>
      <c r="Y836" s="4"/>
      <c r="Z836" s="4"/>
      <c r="AA836" s="4"/>
      <c r="AB836" s="4"/>
      <c r="AC836" s="4"/>
      <c r="AD836" s="4"/>
      <c r="AE836" s="4"/>
      <c r="AF836" s="4"/>
    </row>
    <row r="837" spans="1:32" ht="15.75" customHeight="1">
      <c r="A837" s="4"/>
      <c r="B837" s="4"/>
      <c r="C837" s="4"/>
      <c r="D837" s="4"/>
      <c r="E837" s="4"/>
      <c r="F837" s="4"/>
      <c r="G837" s="4"/>
      <c r="H837" s="4"/>
      <c r="I837" s="4"/>
      <c r="J837" s="19"/>
      <c r="K837" s="4"/>
      <c r="L837" s="4"/>
      <c r="M837" s="4"/>
      <c r="N837" s="4"/>
      <c r="O837" s="4"/>
      <c r="P837" s="4"/>
      <c r="Q837" s="4"/>
      <c r="R837" s="4"/>
      <c r="S837" s="4"/>
      <c r="T837" s="4"/>
      <c r="U837" s="4"/>
      <c r="V837" s="4"/>
      <c r="W837" s="4"/>
      <c r="X837" s="4"/>
      <c r="Y837" s="4"/>
      <c r="Z837" s="4"/>
      <c r="AA837" s="4"/>
      <c r="AB837" s="4"/>
      <c r="AC837" s="4"/>
      <c r="AD837" s="4"/>
      <c r="AE837" s="4"/>
      <c r="AF837" s="4"/>
    </row>
    <row r="838" spans="1:32" ht="15.75" customHeight="1">
      <c r="A838" s="4"/>
      <c r="B838" s="4"/>
      <c r="C838" s="4"/>
      <c r="D838" s="4"/>
      <c r="E838" s="4"/>
      <c r="F838" s="4"/>
      <c r="G838" s="4"/>
      <c r="H838" s="4"/>
      <c r="I838" s="4"/>
      <c r="J838" s="19"/>
      <c r="K838" s="4"/>
      <c r="L838" s="4"/>
      <c r="M838" s="4"/>
      <c r="N838" s="4"/>
      <c r="O838" s="4"/>
      <c r="P838" s="4"/>
      <c r="Q838" s="4"/>
      <c r="R838" s="4"/>
      <c r="S838" s="4"/>
      <c r="T838" s="4"/>
      <c r="U838" s="4"/>
      <c r="V838" s="4"/>
      <c r="W838" s="4"/>
      <c r="X838" s="4"/>
      <c r="Y838" s="4"/>
      <c r="Z838" s="4"/>
      <c r="AA838" s="4"/>
      <c r="AB838" s="4"/>
      <c r="AC838" s="4"/>
      <c r="AD838" s="4"/>
      <c r="AE838" s="4"/>
      <c r="AF838" s="4"/>
    </row>
    <row r="839" spans="1:32" ht="15.75" customHeight="1">
      <c r="A839" s="4"/>
      <c r="B839" s="4"/>
      <c r="C839" s="4"/>
      <c r="D839" s="4"/>
      <c r="E839" s="4"/>
      <c r="F839" s="4"/>
      <c r="G839" s="4"/>
      <c r="H839" s="4"/>
      <c r="I839" s="4"/>
      <c r="J839" s="19"/>
      <c r="K839" s="4"/>
      <c r="L839" s="4"/>
      <c r="M839" s="4"/>
      <c r="N839" s="4"/>
      <c r="O839" s="4"/>
      <c r="P839" s="4"/>
      <c r="Q839" s="4"/>
      <c r="R839" s="4"/>
      <c r="S839" s="4"/>
      <c r="T839" s="4"/>
      <c r="U839" s="4"/>
      <c r="V839" s="4"/>
      <c r="W839" s="4"/>
      <c r="X839" s="4"/>
      <c r="Y839" s="4"/>
      <c r="Z839" s="4"/>
      <c r="AA839" s="4"/>
      <c r="AB839" s="4"/>
      <c r="AC839" s="4"/>
      <c r="AD839" s="4"/>
      <c r="AE839" s="4"/>
      <c r="AF839" s="4"/>
    </row>
    <row r="840" spans="1:32" ht="15.75" customHeight="1">
      <c r="A840" s="4"/>
      <c r="B840" s="4"/>
      <c r="C840" s="4"/>
      <c r="D840" s="4"/>
      <c r="E840" s="4"/>
      <c r="F840" s="4"/>
      <c r="G840" s="4"/>
      <c r="H840" s="4"/>
      <c r="I840" s="4"/>
      <c r="J840" s="19"/>
      <c r="K840" s="4"/>
      <c r="L840" s="4"/>
      <c r="M840" s="4"/>
      <c r="N840" s="4"/>
      <c r="O840" s="4"/>
      <c r="P840" s="4"/>
      <c r="Q840" s="4"/>
      <c r="R840" s="4"/>
      <c r="S840" s="4"/>
      <c r="T840" s="4"/>
      <c r="U840" s="4"/>
      <c r="V840" s="4"/>
      <c r="W840" s="4"/>
      <c r="X840" s="4"/>
      <c r="Y840" s="4"/>
      <c r="Z840" s="4"/>
      <c r="AA840" s="4"/>
      <c r="AB840" s="4"/>
      <c r="AC840" s="4"/>
      <c r="AD840" s="4"/>
      <c r="AE840" s="4"/>
      <c r="AF840" s="4"/>
    </row>
    <row r="841" spans="1:32" ht="15.75" customHeight="1">
      <c r="A841" s="4"/>
      <c r="B841" s="4"/>
      <c r="C841" s="4"/>
      <c r="D841" s="4"/>
      <c r="E841" s="4"/>
      <c r="F841" s="4"/>
      <c r="G841" s="4"/>
      <c r="H841" s="4"/>
      <c r="I841" s="4"/>
      <c r="J841" s="19"/>
      <c r="K841" s="4"/>
      <c r="L841" s="4"/>
      <c r="M841" s="4"/>
      <c r="N841" s="4"/>
      <c r="O841" s="4"/>
      <c r="P841" s="4"/>
      <c r="Q841" s="4"/>
      <c r="R841" s="4"/>
      <c r="S841" s="4"/>
      <c r="T841" s="4"/>
      <c r="U841" s="4"/>
      <c r="V841" s="4"/>
      <c r="W841" s="4"/>
      <c r="X841" s="4"/>
      <c r="Y841" s="4"/>
      <c r="Z841" s="4"/>
      <c r="AA841" s="4"/>
      <c r="AB841" s="4"/>
      <c r="AC841" s="4"/>
      <c r="AD841" s="4"/>
      <c r="AE841" s="4"/>
      <c r="AF841" s="4"/>
    </row>
    <row r="842" spans="1:32" ht="15.75" customHeight="1">
      <c r="A842" s="4"/>
      <c r="B842" s="4"/>
      <c r="C842" s="4"/>
      <c r="D842" s="4"/>
      <c r="E842" s="4"/>
      <c r="F842" s="4"/>
      <c r="G842" s="4"/>
      <c r="H842" s="4"/>
      <c r="I842" s="4"/>
      <c r="J842" s="19"/>
      <c r="K842" s="4"/>
      <c r="L842" s="4"/>
      <c r="M842" s="4"/>
      <c r="N842" s="4"/>
      <c r="O842" s="4"/>
      <c r="P842" s="4"/>
      <c r="Q842" s="4"/>
      <c r="R842" s="4"/>
      <c r="S842" s="4"/>
      <c r="T842" s="4"/>
      <c r="U842" s="4"/>
      <c r="V842" s="4"/>
      <c r="W842" s="4"/>
      <c r="X842" s="4"/>
      <c r="Y842" s="4"/>
      <c r="Z842" s="4"/>
      <c r="AA842" s="4"/>
      <c r="AB842" s="4"/>
      <c r="AC842" s="4"/>
      <c r="AD842" s="4"/>
      <c r="AE842" s="4"/>
      <c r="AF842" s="4"/>
    </row>
    <row r="843" spans="1:32" ht="15.75" customHeight="1">
      <c r="A843" s="4"/>
      <c r="B843" s="4"/>
      <c r="C843" s="4"/>
      <c r="D843" s="4"/>
      <c r="E843" s="4"/>
      <c r="F843" s="4"/>
      <c r="G843" s="4"/>
      <c r="H843" s="4"/>
      <c r="I843" s="4"/>
      <c r="J843" s="19"/>
      <c r="K843" s="4"/>
      <c r="L843" s="4"/>
      <c r="M843" s="4"/>
      <c r="N843" s="4"/>
      <c r="O843" s="4"/>
      <c r="P843" s="4"/>
      <c r="Q843" s="4"/>
      <c r="R843" s="4"/>
      <c r="S843" s="4"/>
      <c r="T843" s="4"/>
      <c r="U843" s="4"/>
      <c r="V843" s="4"/>
      <c r="W843" s="4"/>
      <c r="X843" s="4"/>
      <c r="Y843" s="4"/>
      <c r="Z843" s="4"/>
      <c r="AA843" s="4"/>
      <c r="AB843" s="4"/>
      <c r="AC843" s="4"/>
      <c r="AD843" s="4"/>
      <c r="AE843" s="4"/>
      <c r="AF843" s="4"/>
    </row>
    <row r="844" spans="1:32" ht="15.75" customHeight="1">
      <c r="A844" s="4"/>
      <c r="B844" s="4"/>
      <c r="C844" s="4"/>
      <c r="D844" s="4"/>
      <c r="E844" s="4"/>
      <c r="F844" s="4"/>
      <c r="G844" s="4"/>
      <c r="H844" s="4"/>
      <c r="I844" s="4"/>
      <c r="J844" s="19"/>
      <c r="K844" s="4"/>
      <c r="L844" s="4"/>
      <c r="M844" s="4"/>
      <c r="N844" s="4"/>
      <c r="O844" s="4"/>
      <c r="P844" s="4"/>
      <c r="Q844" s="4"/>
      <c r="R844" s="4"/>
      <c r="S844" s="4"/>
      <c r="T844" s="4"/>
      <c r="U844" s="4"/>
      <c r="V844" s="4"/>
      <c r="W844" s="4"/>
      <c r="X844" s="4"/>
      <c r="Y844" s="4"/>
      <c r="Z844" s="4"/>
      <c r="AA844" s="4"/>
      <c r="AB844" s="4"/>
      <c r="AC844" s="4"/>
      <c r="AD844" s="4"/>
      <c r="AE844" s="4"/>
      <c r="AF844" s="4"/>
    </row>
    <row r="845" spans="1:32" ht="15.75" customHeight="1">
      <c r="A845" s="4"/>
      <c r="B845" s="4"/>
      <c r="C845" s="4"/>
      <c r="D845" s="4"/>
      <c r="E845" s="4"/>
      <c r="F845" s="4"/>
      <c r="G845" s="4"/>
      <c r="H845" s="4"/>
      <c r="I845" s="4"/>
      <c r="J845" s="19"/>
      <c r="K845" s="4"/>
      <c r="L845" s="4"/>
      <c r="M845" s="4"/>
      <c r="N845" s="4"/>
      <c r="O845" s="4"/>
      <c r="P845" s="4"/>
      <c r="Q845" s="4"/>
      <c r="R845" s="4"/>
      <c r="S845" s="4"/>
      <c r="T845" s="4"/>
      <c r="U845" s="4"/>
      <c r="V845" s="4"/>
      <c r="W845" s="4"/>
      <c r="X845" s="4"/>
      <c r="Y845" s="4"/>
      <c r="Z845" s="4"/>
      <c r="AA845" s="4"/>
      <c r="AB845" s="4"/>
      <c r="AC845" s="4"/>
      <c r="AD845" s="4"/>
      <c r="AE845" s="4"/>
      <c r="AF845" s="4"/>
    </row>
    <row r="846" spans="1:32" ht="15.75" customHeight="1">
      <c r="A846" s="4"/>
      <c r="B846" s="4"/>
      <c r="C846" s="4"/>
      <c r="D846" s="4"/>
      <c r="E846" s="4"/>
      <c r="F846" s="4"/>
      <c r="G846" s="4"/>
      <c r="H846" s="4"/>
      <c r="I846" s="4"/>
      <c r="J846" s="19"/>
      <c r="K846" s="4"/>
      <c r="L846" s="4"/>
      <c r="M846" s="4"/>
      <c r="N846" s="4"/>
      <c r="O846" s="4"/>
      <c r="P846" s="4"/>
      <c r="Q846" s="4"/>
      <c r="R846" s="4"/>
      <c r="S846" s="4"/>
      <c r="T846" s="4"/>
      <c r="U846" s="4"/>
      <c r="V846" s="4"/>
      <c r="W846" s="4"/>
      <c r="X846" s="4"/>
      <c r="Y846" s="4"/>
      <c r="Z846" s="4"/>
      <c r="AA846" s="4"/>
      <c r="AB846" s="4"/>
      <c r="AC846" s="4"/>
      <c r="AD846" s="4"/>
      <c r="AE846" s="4"/>
      <c r="AF846" s="4"/>
    </row>
    <row r="847" spans="1:32" ht="15.75" customHeight="1">
      <c r="A847" s="4"/>
      <c r="B847" s="4"/>
      <c r="C847" s="4"/>
      <c r="D847" s="4"/>
      <c r="E847" s="4"/>
      <c r="F847" s="4"/>
      <c r="G847" s="4"/>
      <c r="H847" s="4"/>
      <c r="I847" s="4"/>
      <c r="J847" s="19"/>
      <c r="K847" s="4"/>
      <c r="L847" s="4"/>
      <c r="M847" s="4"/>
      <c r="N847" s="4"/>
      <c r="O847" s="4"/>
      <c r="P847" s="4"/>
      <c r="Q847" s="4"/>
      <c r="R847" s="4"/>
      <c r="S847" s="4"/>
      <c r="T847" s="4"/>
      <c r="U847" s="4"/>
      <c r="V847" s="4"/>
      <c r="W847" s="4"/>
      <c r="X847" s="4"/>
      <c r="Y847" s="4"/>
      <c r="Z847" s="4"/>
      <c r="AA847" s="4"/>
      <c r="AB847" s="4"/>
      <c r="AC847" s="4"/>
      <c r="AD847" s="4"/>
      <c r="AE847" s="4"/>
      <c r="AF847" s="4"/>
    </row>
    <row r="848" spans="1:32" ht="15.75" customHeight="1">
      <c r="A848" s="4"/>
      <c r="B848" s="4"/>
      <c r="C848" s="4"/>
      <c r="D848" s="4"/>
      <c r="E848" s="4"/>
      <c r="F848" s="4"/>
      <c r="G848" s="4"/>
      <c r="H848" s="4"/>
      <c r="I848" s="4"/>
      <c r="J848" s="19"/>
      <c r="K848" s="4"/>
      <c r="L848" s="4"/>
      <c r="M848" s="4"/>
      <c r="N848" s="4"/>
      <c r="O848" s="4"/>
      <c r="P848" s="4"/>
      <c r="Q848" s="4"/>
      <c r="R848" s="4"/>
      <c r="S848" s="4"/>
      <c r="T848" s="4"/>
      <c r="U848" s="4"/>
      <c r="V848" s="4"/>
      <c r="W848" s="4"/>
      <c r="X848" s="4"/>
      <c r="Y848" s="4"/>
      <c r="Z848" s="4"/>
      <c r="AA848" s="4"/>
      <c r="AB848" s="4"/>
      <c r="AC848" s="4"/>
      <c r="AD848" s="4"/>
      <c r="AE848" s="4"/>
      <c r="AF848" s="4"/>
    </row>
    <row r="849" spans="1:32" ht="15.75" customHeight="1">
      <c r="A849" s="4"/>
      <c r="B849" s="4"/>
      <c r="C849" s="4"/>
      <c r="D849" s="4"/>
      <c r="E849" s="4"/>
      <c r="F849" s="4"/>
      <c r="G849" s="4"/>
      <c r="H849" s="4"/>
      <c r="I849" s="4"/>
      <c r="J849" s="19"/>
      <c r="K849" s="4"/>
      <c r="L849" s="4"/>
      <c r="M849" s="4"/>
      <c r="N849" s="4"/>
      <c r="O849" s="4"/>
      <c r="P849" s="4"/>
      <c r="Q849" s="4"/>
      <c r="R849" s="4"/>
      <c r="S849" s="4"/>
      <c r="T849" s="4"/>
      <c r="U849" s="4"/>
      <c r="V849" s="4"/>
      <c r="W849" s="4"/>
      <c r="X849" s="4"/>
      <c r="Y849" s="4"/>
      <c r="Z849" s="4"/>
      <c r="AA849" s="4"/>
      <c r="AB849" s="4"/>
      <c r="AC849" s="4"/>
      <c r="AD849" s="4"/>
      <c r="AE849" s="4"/>
      <c r="AF849" s="4"/>
    </row>
    <row r="850" spans="1:32" ht="15.75" customHeight="1">
      <c r="A850" s="4"/>
      <c r="B850" s="4"/>
      <c r="C850" s="4"/>
      <c r="D850" s="4"/>
      <c r="E850" s="4"/>
      <c r="F850" s="4"/>
      <c r="G850" s="4"/>
      <c r="H850" s="4"/>
      <c r="I850" s="4"/>
      <c r="J850" s="19"/>
      <c r="K850" s="4"/>
      <c r="L850" s="4"/>
      <c r="M850" s="4"/>
      <c r="N850" s="4"/>
      <c r="O850" s="4"/>
      <c r="P850" s="4"/>
      <c r="Q850" s="4"/>
      <c r="R850" s="4"/>
      <c r="S850" s="4"/>
      <c r="T850" s="4"/>
      <c r="U850" s="4"/>
      <c r="V850" s="4"/>
      <c r="W850" s="4"/>
      <c r="X850" s="4"/>
      <c r="Y850" s="4"/>
      <c r="Z850" s="4"/>
      <c r="AA850" s="4"/>
      <c r="AB850" s="4"/>
      <c r="AC850" s="4"/>
      <c r="AD850" s="4"/>
      <c r="AE850" s="4"/>
      <c r="AF850" s="4"/>
    </row>
    <row r="851" spans="1:32" ht="15.75" customHeight="1">
      <c r="A851" s="4"/>
      <c r="B851" s="4"/>
      <c r="C851" s="4"/>
      <c r="D851" s="4"/>
      <c r="E851" s="4"/>
      <c r="F851" s="4"/>
      <c r="G851" s="4"/>
      <c r="H851" s="4"/>
      <c r="I851" s="4"/>
      <c r="J851" s="19"/>
      <c r="K851" s="4"/>
      <c r="L851" s="4"/>
      <c r="M851" s="4"/>
      <c r="N851" s="4"/>
      <c r="O851" s="4"/>
      <c r="P851" s="4"/>
      <c r="Q851" s="4"/>
      <c r="R851" s="4"/>
      <c r="S851" s="4"/>
      <c r="T851" s="4"/>
      <c r="U851" s="4"/>
      <c r="V851" s="4"/>
      <c r="W851" s="4"/>
      <c r="X851" s="4"/>
      <c r="Y851" s="4"/>
      <c r="Z851" s="4"/>
      <c r="AA851" s="4"/>
      <c r="AB851" s="4"/>
      <c r="AC851" s="4"/>
      <c r="AD851" s="4"/>
      <c r="AE851" s="4"/>
      <c r="AF851" s="4"/>
    </row>
    <row r="852" spans="1:32" ht="15.75" customHeight="1">
      <c r="A852" s="4"/>
      <c r="B852" s="4"/>
      <c r="C852" s="4"/>
      <c r="D852" s="4"/>
      <c r="E852" s="4"/>
      <c r="F852" s="4"/>
      <c r="G852" s="4"/>
      <c r="H852" s="4"/>
      <c r="I852" s="4"/>
      <c r="J852" s="19"/>
      <c r="K852" s="4"/>
      <c r="L852" s="4"/>
      <c r="M852" s="4"/>
      <c r="N852" s="4"/>
      <c r="O852" s="4"/>
      <c r="P852" s="4"/>
      <c r="Q852" s="4"/>
      <c r="R852" s="4"/>
      <c r="S852" s="4"/>
      <c r="T852" s="4"/>
      <c r="U852" s="4"/>
      <c r="V852" s="4"/>
      <c r="W852" s="4"/>
      <c r="X852" s="4"/>
      <c r="Y852" s="4"/>
      <c r="Z852" s="4"/>
      <c r="AA852" s="4"/>
      <c r="AB852" s="4"/>
      <c r="AC852" s="4"/>
      <c r="AD852" s="4"/>
      <c r="AE852" s="4"/>
      <c r="AF852" s="4"/>
    </row>
    <row r="853" spans="1:32" ht="15.75" customHeight="1">
      <c r="A853" s="4"/>
      <c r="B853" s="4"/>
      <c r="C853" s="4"/>
      <c r="D853" s="4"/>
      <c r="E853" s="4"/>
      <c r="F853" s="4"/>
      <c r="G853" s="4"/>
      <c r="H853" s="4"/>
      <c r="I853" s="4"/>
      <c r="J853" s="19"/>
      <c r="K853" s="4"/>
      <c r="L853" s="4"/>
      <c r="M853" s="4"/>
      <c r="N853" s="4"/>
      <c r="O853" s="4"/>
      <c r="P853" s="4"/>
      <c r="Q853" s="4"/>
      <c r="R853" s="4"/>
      <c r="S853" s="4"/>
      <c r="T853" s="4"/>
      <c r="U853" s="4"/>
      <c r="V853" s="4"/>
      <c r="W853" s="4"/>
      <c r="X853" s="4"/>
      <c r="Y853" s="4"/>
      <c r="Z853" s="4"/>
      <c r="AA853" s="4"/>
      <c r="AB853" s="4"/>
      <c r="AC853" s="4"/>
      <c r="AD853" s="4"/>
      <c r="AE853" s="4"/>
      <c r="AF853" s="4"/>
    </row>
    <row r="854" spans="1:32" ht="15.75" customHeight="1">
      <c r="A854" s="4"/>
      <c r="B854" s="4"/>
      <c r="C854" s="4"/>
      <c r="D854" s="4"/>
      <c r="E854" s="4"/>
      <c r="F854" s="4"/>
      <c r="G854" s="4"/>
      <c r="H854" s="4"/>
      <c r="I854" s="4"/>
      <c r="J854" s="19"/>
      <c r="K854" s="4"/>
      <c r="L854" s="4"/>
      <c r="M854" s="4"/>
      <c r="N854" s="4"/>
      <c r="O854" s="4"/>
      <c r="P854" s="4"/>
      <c r="Q854" s="4"/>
      <c r="R854" s="4"/>
      <c r="S854" s="4"/>
      <c r="T854" s="4"/>
      <c r="U854" s="4"/>
      <c r="V854" s="4"/>
      <c r="W854" s="4"/>
      <c r="X854" s="4"/>
      <c r="Y854" s="4"/>
      <c r="Z854" s="4"/>
      <c r="AA854" s="4"/>
      <c r="AB854" s="4"/>
      <c r="AC854" s="4"/>
      <c r="AD854" s="4"/>
      <c r="AE854" s="4"/>
      <c r="AF854" s="4"/>
    </row>
    <row r="855" spans="1:32" ht="15.75" customHeight="1">
      <c r="A855" s="4"/>
      <c r="B855" s="4"/>
      <c r="C855" s="4"/>
      <c r="D855" s="4"/>
      <c r="E855" s="4"/>
      <c r="F855" s="4"/>
      <c r="G855" s="4"/>
      <c r="H855" s="4"/>
      <c r="I855" s="4"/>
      <c r="J855" s="19"/>
      <c r="K855" s="4"/>
      <c r="L855" s="4"/>
      <c r="M855" s="4"/>
      <c r="N855" s="4"/>
      <c r="O855" s="4"/>
      <c r="P855" s="4"/>
      <c r="Q855" s="4"/>
      <c r="R855" s="4"/>
      <c r="S855" s="4"/>
      <c r="T855" s="4"/>
      <c r="U855" s="4"/>
      <c r="V855" s="4"/>
      <c r="W855" s="4"/>
      <c r="X855" s="4"/>
      <c r="Y855" s="4"/>
      <c r="Z855" s="4"/>
      <c r="AA855" s="4"/>
      <c r="AB855" s="4"/>
      <c r="AC855" s="4"/>
      <c r="AD855" s="4"/>
      <c r="AE855" s="4"/>
      <c r="AF855" s="4"/>
    </row>
    <row r="856" spans="1:32" ht="15.75" customHeight="1">
      <c r="A856" s="4"/>
      <c r="B856" s="4"/>
      <c r="C856" s="4"/>
      <c r="D856" s="4"/>
      <c r="E856" s="4"/>
      <c r="F856" s="4"/>
      <c r="G856" s="4"/>
      <c r="H856" s="4"/>
      <c r="I856" s="4"/>
      <c r="J856" s="19"/>
      <c r="K856" s="4"/>
      <c r="L856" s="4"/>
      <c r="M856" s="4"/>
      <c r="N856" s="4"/>
      <c r="O856" s="4"/>
      <c r="P856" s="4"/>
      <c r="Q856" s="4"/>
      <c r="R856" s="4"/>
      <c r="S856" s="4"/>
      <c r="T856" s="4"/>
      <c r="U856" s="4"/>
      <c r="V856" s="4"/>
      <c r="W856" s="4"/>
      <c r="X856" s="4"/>
      <c r="Y856" s="4"/>
      <c r="Z856" s="4"/>
      <c r="AA856" s="4"/>
      <c r="AB856" s="4"/>
      <c r="AC856" s="4"/>
      <c r="AD856" s="4"/>
      <c r="AE856" s="4"/>
      <c r="AF856" s="4"/>
    </row>
    <row r="857" spans="1:32" ht="15.75" customHeight="1">
      <c r="A857" s="4"/>
      <c r="B857" s="4"/>
      <c r="C857" s="4"/>
      <c r="D857" s="4"/>
      <c r="E857" s="4"/>
      <c r="F857" s="4"/>
      <c r="G857" s="4"/>
      <c r="H857" s="4"/>
      <c r="I857" s="4"/>
      <c r="J857" s="19"/>
      <c r="K857" s="4"/>
      <c r="L857" s="4"/>
      <c r="M857" s="4"/>
      <c r="N857" s="4"/>
      <c r="O857" s="4"/>
      <c r="P857" s="4"/>
      <c r="Q857" s="4"/>
      <c r="R857" s="4"/>
      <c r="S857" s="4"/>
      <c r="T857" s="4"/>
      <c r="U857" s="4"/>
      <c r="V857" s="4"/>
      <c r="W857" s="4"/>
      <c r="X857" s="4"/>
      <c r="Y857" s="4"/>
      <c r="Z857" s="4"/>
      <c r="AA857" s="4"/>
      <c r="AB857" s="4"/>
      <c r="AC857" s="4"/>
      <c r="AD857" s="4"/>
      <c r="AE857" s="4"/>
      <c r="AF857" s="4"/>
    </row>
    <row r="858" spans="1:32" ht="15.75" customHeight="1">
      <c r="A858" s="4"/>
      <c r="B858" s="4"/>
      <c r="C858" s="4"/>
      <c r="D858" s="4"/>
      <c r="E858" s="4"/>
      <c r="F858" s="4"/>
      <c r="G858" s="4"/>
      <c r="H858" s="4"/>
      <c r="I858" s="4"/>
      <c r="J858" s="19"/>
      <c r="K858" s="4"/>
      <c r="L858" s="4"/>
      <c r="M858" s="4"/>
      <c r="N858" s="4"/>
      <c r="O858" s="4"/>
      <c r="P858" s="4"/>
      <c r="Q858" s="4"/>
      <c r="R858" s="4"/>
      <c r="S858" s="4"/>
      <c r="T858" s="4"/>
      <c r="U858" s="4"/>
      <c r="V858" s="4"/>
      <c r="W858" s="4"/>
      <c r="X858" s="4"/>
      <c r="Y858" s="4"/>
      <c r="Z858" s="4"/>
      <c r="AA858" s="4"/>
      <c r="AB858" s="4"/>
      <c r="AC858" s="4"/>
      <c r="AD858" s="4"/>
      <c r="AE858" s="4"/>
      <c r="AF858" s="4"/>
    </row>
    <row r="859" spans="1:32" ht="15.75" customHeight="1">
      <c r="A859" s="4"/>
      <c r="B859" s="4"/>
      <c r="C859" s="4"/>
      <c r="D859" s="4"/>
      <c r="E859" s="4"/>
      <c r="F859" s="4"/>
      <c r="G859" s="4"/>
      <c r="H859" s="4"/>
      <c r="I859" s="4"/>
      <c r="J859" s="19"/>
      <c r="K859" s="4"/>
      <c r="L859" s="4"/>
      <c r="M859" s="4"/>
      <c r="N859" s="4"/>
      <c r="O859" s="4"/>
      <c r="P859" s="4"/>
      <c r="Q859" s="4"/>
      <c r="R859" s="4"/>
      <c r="S859" s="4"/>
      <c r="T859" s="4"/>
      <c r="U859" s="4"/>
      <c r="V859" s="4"/>
      <c r="W859" s="4"/>
      <c r="X859" s="4"/>
      <c r="Y859" s="4"/>
      <c r="Z859" s="4"/>
      <c r="AA859" s="4"/>
      <c r="AB859" s="4"/>
      <c r="AC859" s="4"/>
      <c r="AD859" s="4"/>
      <c r="AE859" s="4"/>
      <c r="AF859" s="4"/>
    </row>
    <row r="860" spans="1:32" ht="15.75" customHeight="1">
      <c r="A860" s="4"/>
      <c r="B860" s="4"/>
      <c r="C860" s="4"/>
      <c r="D860" s="4"/>
      <c r="E860" s="4"/>
      <c r="F860" s="4"/>
      <c r="G860" s="4"/>
      <c r="H860" s="4"/>
      <c r="I860" s="4"/>
      <c r="J860" s="19"/>
      <c r="K860" s="4"/>
      <c r="L860" s="4"/>
      <c r="M860" s="4"/>
      <c r="N860" s="4"/>
      <c r="O860" s="4"/>
      <c r="P860" s="4"/>
      <c r="Q860" s="4"/>
      <c r="R860" s="4"/>
      <c r="S860" s="4"/>
      <c r="T860" s="4"/>
      <c r="U860" s="4"/>
      <c r="V860" s="4"/>
      <c r="W860" s="4"/>
      <c r="X860" s="4"/>
      <c r="Y860" s="4"/>
      <c r="Z860" s="4"/>
      <c r="AA860" s="4"/>
      <c r="AB860" s="4"/>
      <c r="AC860" s="4"/>
      <c r="AD860" s="4"/>
      <c r="AE860" s="4"/>
      <c r="AF860" s="4"/>
    </row>
    <row r="861" spans="1:32" ht="15.75" customHeight="1">
      <c r="A861" s="4"/>
      <c r="B861" s="4"/>
      <c r="C861" s="4"/>
      <c r="D861" s="4"/>
      <c r="E861" s="4"/>
      <c r="F861" s="4"/>
      <c r="G861" s="4"/>
      <c r="H861" s="4"/>
      <c r="I861" s="4"/>
      <c r="J861" s="19"/>
      <c r="K861" s="4"/>
      <c r="L861" s="4"/>
      <c r="M861" s="4"/>
      <c r="N861" s="4"/>
      <c r="O861" s="4"/>
      <c r="P861" s="4"/>
      <c r="Q861" s="4"/>
      <c r="R861" s="4"/>
      <c r="S861" s="4"/>
      <c r="T861" s="4"/>
      <c r="U861" s="4"/>
      <c r="V861" s="4"/>
      <c r="W861" s="4"/>
      <c r="X861" s="4"/>
      <c r="Y861" s="4"/>
      <c r="Z861" s="4"/>
      <c r="AA861" s="4"/>
      <c r="AB861" s="4"/>
      <c r="AC861" s="4"/>
      <c r="AD861" s="4"/>
      <c r="AE861" s="4"/>
      <c r="AF861" s="4"/>
    </row>
    <row r="862" spans="1:32" ht="15.75" customHeight="1">
      <c r="A862" s="4"/>
      <c r="B862" s="4"/>
      <c r="C862" s="4"/>
      <c r="D862" s="4"/>
      <c r="E862" s="4"/>
      <c r="F862" s="4"/>
      <c r="G862" s="4"/>
      <c r="H862" s="4"/>
      <c r="I862" s="4"/>
      <c r="J862" s="19"/>
      <c r="K862" s="4"/>
      <c r="L862" s="4"/>
      <c r="M862" s="4"/>
      <c r="N862" s="4"/>
      <c r="O862" s="4"/>
      <c r="P862" s="4"/>
      <c r="Q862" s="4"/>
      <c r="R862" s="4"/>
      <c r="S862" s="4"/>
      <c r="T862" s="4"/>
      <c r="U862" s="4"/>
      <c r="V862" s="4"/>
      <c r="W862" s="4"/>
      <c r="X862" s="4"/>
      <c r="Y862" s="4"/>
      <c r="Z862" s="4"/>
      <c r="AA862" s="4"/>
      <c r="AB862" s="4"/>
      <c r="AC862" s="4"/>
      <c r="AD862" s="4"/>
      <c r="AE862" s="4"/>
      <c r="AF862" s="4"/>
    </row>
    <row r="863" spans="1:32" ht="15.75" customHeight="1">
      <c r="A863" s="4"/>
      <c r="B863" s="4"/>
      <c r="C863" s="4"/>
      <c r="D863" s="4"/>
      <c r="E863" s="4"/>
      <c r="F863" s="4"/>
      <c r="G863" s="4"/>
      <c r="H863" s="4"/>
      <c r="I863" s="4"/>
      <c r="J863" s="19"/>
      <c r="K863" s="4"/>
      <c r="L863" s="4"/>
      <c r="M863" s="4"/>
      <c r="N863" s="4"/>
      <c r="O863" s="4"/>
      <c r="P863" s="4"/>
      <c r="Q863" s="4"/>
      <c r="R863" s="4"/>
      <c r="S863" s="4"/>
      <c r="T863" s="4"/>
      <c r="U863" s="4"/>
      <c r="V863" s="4"/>
      <c r="W863" s="4"/>
      <c r="X863" s="4"/>
      <c r="Y863" s="4"/>
      <c r="Z863" s="4"/>
      <c r="AA863" s="4"/>
      <c r="AB863" s="4"/>
      <c r="AC863" s="4"/>
      <c r="AD863" s="4"/>
      <c r="AE863" s="4"/>
      <c r="AF863" s="4"/>
    </row>
    <row r="864" spans="1:32" ht="15.75" customHeight="1">
      <c r="A864" s="4"/>
      <c r="B864" s="4"/>
      <c r="C864" s="4"/>
      <c r="D864" s="4"/>
      <c r="E864" s="4"/>
      <c r="F864" s="4"/>
      <c r="G864" s="4"/>
      <c r="H864" s="4"/>
      <c r="I864" s="4"/>
      <c r="J864" s="19"/>
      <c r="K864" s="4"/>
      <c r="L864" s="4"/>
      <c r="M864" s="4"/>
      <c r="N864" s="4"/>
      <c r="O864" s="4"/>
      <c r="P864" s="4"/>
      <c r="Q864" s="4"/>
      <c r="R864" s="4"/>
      <c r="S864" s="4"/>
      <c r="T864" s="4"/>
      <c r="U864" s="4"/>
      <c r="V864" s="4"/>
      <c r="W864" s="4"/>
      <c r="X864" s="4"/>
      <c r="Y864" s="4"/>
      <c r="Z864" s="4"/>
      <c r="AA864" s="4"/>
      <c r="AB864" s="4"/>
      <c r="AC864" s="4"/>
      <c r="AD864" s="4"/>
      <c r="AE864" s="4"/>
      <c r="AF864" s="4"/>
    </row>
    <row r="865" spans="1:32" ht="15.75" customHeight="1">
      <c r="A865" s="4"/>
      <c r="B865" s="4"/>
      <c r="C865" s="4"/>
      <c r="D865" s="4"/>
      <c r="E865" s="4"/>
      <c r="F865" s="4"/>
      <c r="G865" s="4"/>
      <c r="H865" s="4"/>
      <c r="I865" s="4"/>
      <c r="J865" s="19"/>
      <c r="K865" s="4"/>
      <c r="L865" s="4"/>
      <c r="M865" s="4"/>
      <c r="N865" s="4"/>
      <c r="O865" s="4"/>
      <c r="P865" s="4"/>
      <c r="Q865" s="4"/>
      <c r="R865" s="4"/>
      <c r="S865" s="4"/>
      <c r="T865" s="4"/>
      <c r="U865" s="4"/>
      <c r="V865" s="4"/>
      <c r="W865" s="4"/>
      <c r="X865" s="4"/>
      <c r="Y865" s="4"/>
      <c r="Z865" s="4"/>
      <c r="AA865" s="4"/>
      <c r="AB865" s="4"/>
      <c r="AC865" s="4"/>
      <c r="AD865" s="4"/>
      <c r="AE865" s="4"/>
      <c r="AF865" s="4"/>
    </row>
    <row r="866" spans="1:32" ht="15.75" customHeight="1">
      <c r="A866" s="4"/>
      <c r="B866" s="4"/>
      <c r="C866" s="4"/>
      <c r="D866" s="4"/>
      <c r="E866" s="4"/>
      <c r="F866" s="4"/>
      <c r="G866" s="4"/>
      <c r="H866" s="4"/>
      <c r="I866" s="4"/>
      <c r="J866" s="19"/>
      <c r="K866" s="4"/>
      <c r="L866" s="4"/>
      <c r="M866" s="4"/>
      <c r="N866" s="4"/>
      <c r="O866" s="4"/>
      <c r="P866" s="4"/>
      <c r="Q866" s="4"/>
      <c r="R866" s="4"/>
      <c r="S866" s="4"/>
      <c r="T866" s="4"/>
      <c r="U866" s="4"/>
      <c r="V866" s="4"/>
      <c r="W866" s="4"/>
      <c r="X866" s="4"/>
      <c r="Y866" s="4"/>
      <c r="Z866" s="4"/>
      <c r="AA866" s="4"/>
      <c r="AB866" s="4"/>
      <c r="AC866" s="4"/>
      <c r="AD866" s="4"/>
      <c r="AE866" s="4"/>
      <c r="AF866" s="4"/>
    </row>
    <row r="867" spans="1:32" ht="15.75" customHeight="1">
      <c r="A867" s="4"/>
      <c r="B867" s="4"/>
      <c r="C867" s="4"/>
      <c r="D867" s="4"/>
      <c r="E867" s="4"/>
      <c r="F867" s="4"/>
      <c r="G867" s="4"/>
      <c r="H867" s="4"/>
      <c r="I867" s="4"/>
      <c r="J867" s="19"/>
      <c r="K867" s="4"/>
      <c r="L867" s="4"/>
      <c r="M867" s="4"/>
      <c r="N867" s="4"/>
      <c r="O867" s="4"/>
      <c r="P867" s="4"/>
      <c r="Q867" s="4"/>
      <c r="R867" s="4"/>
      <c r="S867" s="4"/>
      <c r="T867" s="4"/>
      <c r="U867" s="4"/>
      <c r="V867" s="4"/>
      <c r="W867" s="4"/>
      <c r="X867" s="4"/>
      <c r="Y867" s="4"/>
      <c r="Z867" s="4"/>
      <c r="AA867" s="4"/>
      <c r="AB867" s="4"/>
      <c r="AC867" s="4"/>
      <c r="AD867" s="4"/>
      <c r="AE867" s="4"/>
      <c r="AF867" s="4"/>
    </row>
    <row r="868" spans="1:32" ht="15.75" customHeight="1">
      <c r="A868" s="4"/>
      <c r="B868" s="4"/>
      <c r="C868" s="4"/>
      <c r="D868" s="4"/>
      <c r="E868" s="4"/>
      <c r="F868" s="4"/>
      <c r="G868" s="4"/>
      <c r="H868" s="4"/>
      <c r="I868" s="4"/>
      <c r="J868" s="19"/>
      <c r="K868" s="4"/>
      <c r="L868" s="4"/>
      <c r="M868" s="4"/>
      <c r="N868" s="4"/>
      <c r="O868" s="4"/>
      <c r="P868" s="4"/>
      <c r="Q868" s="4"/>
      <c r="R868" s="4"/>
      <c r="S868" s="4"/>
      <c r="T868" s="4"/>
      <c r="U868" s="4"/>
      <c r="V868" s="4"/>
      <c r="W868" s="4"/>
      <c r="X868" s="4"/>
      <c r="Y868" s="4"/>
      <c r="Z868" s="4"/>
      <c r="AA868" s="4"/>
      <c r="AB868" s="4"/>
      <c r="AC868" s="4"/>
      <c r="AD868" s="4"/>
      <c r="AE868" s="4"/>
      <c r="AF868" s="4"/>
    </row>
    <row r="869" spans="1:32" ht="15.75" customHeight="1">
      <c r="A869" s="4"/>
      <c r="B869" s="4"/>
      <c r="C869" s="4"/>
      <c r="D869" s="4"/>
      <c r="E869" s="4"/>
      <c r="F869" s="4"/>
      <c r="G869" s="4"/>
      <c r="H869" s="4"/>
      <c r="I869" s="4"/>
      <c r="J869" s="19"/>
      <c r="K869" s="4"/>
      <c r="L869" s="4"/>
      <c r="M869" s="4"/>
      <c r="N869" s="4"/>
      <c r="O869" s="4"/>
      <c r="P869" s="4"/>
      <c r="Q869" s="4"/>
      <c r="R869" s="4"/>
      <c r="S869" s="4"/>
      <c r="T869" s="4"/>
      <c r="U869" s="4"/>
      <c r="V869" s="4"/>
      <c r="W869" s="4"/>
      <c r="X869" s="4"/>
      <c r="Y869" s="4"/>
      <c r="Z869" s="4"/>
      <c r="AA869" s="4"/>
      <c r="AB869" s="4"/>
      <c r="AC869" s="4"/>
      <c r="AD869" s="4"/>
      <c r="AE869" s="4"/>
      <c r="AF869" s="4"/>
    </row>
    <row r="870" spans="1:32" ht="15.75" customHeight="1">
      <c r="A870" s="4"/>
      <c r="B870" s="4"/>
      <c r="C870" s="4"/>
      <c r="D870" s="4"/>
      <c r="E870" s="4"/>
      <c r="F870" s="4"/>
      <c r="G870" s="4"/>
      <c r="H870" s="4"/>
      <c r="I870" s="4"/>
      <c r="J870" s="19"/>
      <c r="K870" s="4"/>
      <c r="L870" s="4"/>
      <c r="M870" s="4"/>
      <c r="N870" s="4"/>
      <c r="O870" s="4"/>
      <c r="P870" s="4"/>
      <c r="Q870" s="4"/>
      <c r="R870" s="4"/>
      <c r="S870" s="4"/>
      <c r="T870" s="4"/>
      <c r="U870" s="4"/>
      <c r="V870" s="4"/>
      <c r="W870" s="4"/>
      <c r="X870" s="4"/>
      <c r="Y870" s="4"/>
      <c r="Z870" s="4"/>
      <c r="AA870" s="4"/>
      <c r="AB870" s="4"/>
      <c r="AC870" s="4"/>
      <c r="AD870" s="4"/>
      <c r="AE870" s="4"/>
      <c r="AF870" s="4"/>
    </row>
    <row r="871" spans="1:32" ht="15.75" customHeight="1">
      <c r="A871" s="4"/>
      <c r="B871" s="4"/>
      <c r="C871" s="4"/>
      <c r="D871" s="4"/>
      <c r="E871" s="4"/>
      <c r="F871" s="4"/>
      <c r="G871" s="4"/>
      <c r="H871" s="4"/>
      <c r="I871" s="4"/>
      <c r="J871" s="19"/>
      <c r="K871" s="4"/>
      <c r="L871" s="4"/>
      <c r="M871" s="4"/>
      <c r="N871" s="4"/>
      <c r="O871" s="4"/>
      <c r="P871" s="4"/>
      <c r="Q871" s="4"/>
      <c r="R871" s="4"/>
      <c r="S871" s="4"/>
      <c r="T871" s="4"/>
      <c r="U871" s="4"/>
      <c r="V871" s="4"/>
      <c r="W871" s="4"/>
      <c r="X871" s="4"/>
      <c r="Y871" s="4"/>
      <c r="Z871" s="4"/>
      <c r="AA871" s="4"/>
      <c r="AB871" s="4"/>
      <c r="AC871" s="4"/>
      <c r="AD871" s="4"/>
      <c r="AE871" s="4"/>
      <c r="AF871" s="4"/>
    </row>
    <row r="872" spans="1:32" ht="15.75" customHeight="1">
      <c r="A872" s="4"/>
      <c r="B872" s="4"/>
      <c r="C872" s="4"/>
      <c r="D872" s="4"/>
      <c r="E872" s="4"/>
      <c r="F872" s="4"/>
      <c r="G872" s="4"/>
      <c r="H872" s="4"/>
      <c r="I872" s="4"/>
      <c r="J872" s="19"/>
      <c r="K872" s="4"/>
      <c r="L872" s="4"/>
      <c r="M872" s="4"/>
      <c r="N872" s="4"/>
      <c r="O872" s="4"/>
      <c r="P872" s="4"/>
      <c r="Q872" s="4"/>
      <c r="R872" s="4"/>
      <c r="S872" s="4"/>
      <c r="T872" s="4"/>
      <c r="U872" s="4"/>
      <c r="V872" s="4"/>
      <c r="W872" s="4"/>
      <c r="X872" s="4"/>
      <c r="Y872" s="4"/>
      <c r="Z872" s="4"/>
      <c r="AA872" s="4"/>
      <c r="AB872" s="4"/>
      <c r="AC872" s="4"/>
      <c r="AD872" s="4"/>
      <c r="AE872" s="4"/>
      <c r="AF872" s="4"/>
    </row>
    <row r="873" spans="1:32" ht="15.75" customHeight="1">
      <c r="A873" s="4"/>
      <c r="B873" s="4"/>
      <c r="C873" s="4"/>
      <c r="D873" s="4"/>
      <c r="E873" s="4"/>
      <c r="F873" s="4"/>
      <c r="G873" s="4"/>
      <c r="H873" s="4"/>
      <c r="I873" s="4"/>
      <c r="J873" s="19"/>
      <c r="K873" s="4"/>
      <c r="L873" s="4"/>
      <c r="M873" s="4"/>
      <c r="N873" s="4"/>
      <c r="O873" s="4"/>
      <c r="P873" s="4"/>
      <c r="Q873" s="4"/>
      <c r="R873" s="4"/>
      <c r="S873" s="4"/>
      <c r="T873" s="4"/>
      <c r="U873" s="4"/>
      <c r="V873" s="4"/>
      <c r="W873" s="4"/>
      <c r="X873" s="4"/>
      <c r="Y873" s="4"/>
      <c r="Z873" s="4"/>
      <c r="AA873" s="4"/>
      <c r="AB873" s="4"/>
      <c r="AC873" s="4"/>
      <c r="AD873" s="4"/>
      <c r="AE873" s="4"/>
      <c r="AF873" s="4"/>
    </row>
    <row r="874" spans="1:32" ht="15.75" customHeight="1">
      <c r="A874" s="4"/>
      <c r="B874" s="4"/>
      <c r="C874" s="4"/>
      <c r="D874" s="4"/>
      <c r="E874" s="4"/>
      <c r="F874" s="4"/>
      <c r="G874" s="4"/>
      <c r="H874" s="4"/>
      <c r="I874" s="4"/>
      <c r="J874" s="19"/>
      <c r="K874" s="4"/>
      <c r="L874" s="4"/>
      <c r="M874" s="4"/>
      <c r="N874" s="4"/>
      <c r="O874" s="4"/>
      <c r="P874" s="4"/>
      <c r="Q874" s="4"/>
      <c r="R874" s="4"/>
      <c r="S874" s="4"/>
      <c r="T874" s="4"/>
      <c r="U874" s="4"/>
      <c r="V874" s="4"/>
      <c r="W874" s="4"/>
      <c r="X874" s="4"/>
      <c r="Y874" s="4"/>
      <c r="Z874" s="4"/>
      <c r="AA874" s="4"/>
      <c r="AB874" s="4"/>
      <c r="AC874" s="4"/>
      <c r="AD874" s="4"/>
      <c r="AE874" s="4"/>
      <c r="AF874" s="4"/>
    </row>
    <row r="875" spans="1:32" ht="15.75" customHeight="1">
      <c r="A875" s="4"/>
      <c r="B875" s="4"/>
      <c r="C875" s="4"/>
      <c r="D875" s="4"/>
      <c r="E875" s="4"/>
      <c r="F875" s="4"/>
      <c r="G875" s="4"/>
      <c r="H875" s="4"/>
      <c r="I875" s="4"/>
      <c r="J875" s="19"/>
      <c r="K875" s="4"/>
      <c r="L875" s="4"/>
      <c r="M875" s="4"/>
      <c r="N875" s="4"/>
      <c r="O875" s="4"/>
      <c r="P875" s="4"/>
      <c r="Q875" s="4"/>
      <c r="R875" s="4"/>
      <c r="S875" s="4"/>
      <c r="T875" s="4"/>
      <c r="U875" s="4"/>
      <c r="V875" s="4"/>
      <c r="W875" s="4"/>
      <c r="X875" s="4"/>
      <c r="Y875" s="4"/>
      <c r="Z875" s="4"/>
      <c r="AA875" s="4"/>
      <c r="AB875" s="4"/>
      <c r="AC875" s="4"/>
      <c r="AD875" s="4"/>
      <c r="AE875" s="4"/>
      <c r="AF875" s="4"/>
    </row>
    <row r="876" spans="1:32" ht="15.75" customHeight="1">
      <c r="A876" s="4"/>
      <c r="B876" s="4"/>
      <c r="C876" s="4"/>
      <c r="D876" s="4"/>
      <c r="E876" s="4"/>
      <c r="F876" s="4"/>
      <c r="G876" s="4"/>
      <c r="H876" s="4"/>
      <c r="I876" s="4"/>
      <c r="J876" s="19"/>
      <c r="K876" s="4"/>
      <c r="L876" s="4"/>
      <c r="M876" s="4"/>
      <c r="N876" s="4"/>
      <c r="O876" s="4"/>
      <c r="P876" s="4"/>
      <c r="Q876" s="4"/>
      <c r="R876" s="4"/>
      <c r="S876" s="4"/>
      <c r="T876" s="4"/>
      <c r="U876" s="4"/>
      <c r="V876" s="4"/>
      <c r="W876" s="4"/>
      <c r="X876" s="4"/>
      <c r="Y876" s="4"/>
      <c r="Z876" s="4"/>
      <c r="AA876" s="4"/>
      <c r="AB876" s="4"/>
      <c r="AC876" s="4"/>
      <c r="AD876" s="4"/>
      <c r="AE876" s="4"/>
      <c r="AF876" s="4"/>
    </row>
    <row r="877" spans="1:32" ht="15.75" customHeight="1">
      <c r="A877" s="4"/>
      <c r="B877" s="4"/>
      <c r="C877" s="4"/>
      <c r="D877" s="4"/>
      <c r="E877" s="4"/>
      <c r="F877" s="4"/>
      <c r="G877" s="4"/>
      <c r="H877" s="4"/>
      <c r="I877" s="4"/>
      <c r="J877" s="19"/>
      <c r="K877" s="4"/>
      <c r="L877" s="4"/>
      <c r="M877" s="4"/>
      <c r="N877" s="4"/>
      <c r="O877" s="4"/>
      <c r="P877" s="4"/>
      <c r="Q877" s="4"/>
      <c r="R877" s="4"/>
      <c r="S877" s="4"/>
      <c r="T877" s="4"/>
      <c r="U877" s="4"/>
      <c r="V877" s="4"/>
      <c r="W877" s="4"/>
      <c r="X877" s="4"/>
      <c r="Y877" s="4"/>
      <c r="Z877" s="4"/>
      <c r="AA877" s="4"/>
      <c r="AB877" s="4"/>
      <c r="AC877" s="4"/>
      <c r="AD877" s="4"/>
      <c r="AE877" s="4"/>
      <c r="AF877" s="4"/>
    </row>
    <row r="878" spans="1:32" ht="15.75" customHeight="1">
      <c r="A878" s="4"/>
      <c r="B878" s="4"/>
      <c r="C878" s="4"/>
      <c r="D878" s="4"/>
      <c r="E878" s="4"/>
      <c r="F878" s="4"/>
      <c r="G878" s="4"/>
      <c r="H878" s="4"/>
      <c r="I878" s="4"/>
      <c r="J878" s="19"/>
      <c r="K878" s="4"/>
      <c r="L878" s="4"/>
      <c r="M878" s="4"/>
      <c r="N878" s="4"/>
      <c r="O878" s="4"/>
      <c r="P878" s="4"/>
      <c r="Q878" s="4"/>
      <c r="R878" s="4"/>
      <c r="S878" s="4"/>
      <c r="T878" s="4"/>
      <c r="U878" s="4"/>
      <c r="V878" s="4"/>
      <c r="W878" s="4"/>
      <c r="X878" s="4"/>
      <c r="Y878" s="4"/>
      <c r="Z878" s="4"/>
      <c r="AA878" s="4"/>
      <c r="AB878" s="4"/>
      <c r="AC878" s="4"/>
      <c r="AD878" s="4"/>
      <c r="AE878" s="4"/>
      <c r="AF878" s="4"/>
    </row>
    <row r="879" spans="1:32" ht="15.75" customHeight="1">
      <c r="A879" s="4"/>
      <c r="B879" s="4"/>
      <c r="C879" s="4"/>
      <c r="D879" s="4"/>
      <c r="E879" s="4"/>
      <c r="F879" s="4"/>
      <c r="G879" s="4"/>
      <c r="H879" s="4"/>
      <c r="I879" s="4"/>
      <c r="J879" s="19"/>
      <c r="K879" s="4"/>
      <c r="L879" s="4"/>
      <c r="M879" s="4"/>
      <c r="N879" s="4"/>
      <c r="O879" s="4"/>
      <c r="P879" s="4"/>
      <c r="Q879" s="4"/>
      <c r="R879" s="4"/>
      <c r="S879" s="4"/>
      <c r="T879" s="4"/>
      <c r="U879" s="4"/>
      <c r="V879" s="4"/>
      <c r="W879" s="4"/>
      <c r="X879" s="4"/>
      <c r="Y879" s="4"/>
      <c r="Z879" s="4"/>
      <c r="AA879" s="4"/>
      <c r="AB879" s="4"/>
      <c r="AC879" s="4"/>
      <c r="AD879" s="4"/>
      <c r="AE879" s="4"/>
      <c r="AF879" s="4"/>
    </row>
    <row r="880" spans="1:32" ht="15.75" customHeight="1">
      <c r="A880" s="4"/>
      <c r="B880" s="4"/>
      <c r="C880" s="4"/>
      <c r="D880" s="4"/>
      <c r="E880" s="4"/>
      <c r="F880" s="4"/>
      <c r="G880" s="4"/>
      <c r="H880" s="4"/>
      <c r="I880" s="4"/>
      <c r="J880" s="19"/>
      <c r="K880" s="4"/>
      <c r="L880" s="4"/>
      <c r="M880" s="4"/>
      <c r="N880" s="4"/>
      <c r="O880" s="4"/>
      <c r="P880" s="4"/>
      <c r="Q880" s="4"/>
      <c r="R880" s="4"/>
      <c r="S880" s="4"/>
      <c r="T880" s="4"/>
      <c r="U880" s="4"/>
      <c r="V880" s="4"/>
      <c r="W880" s="4"/>
      <c r="X880" s="4"/>
      <c r="Y880" s="4"/>
      <c r="Z880" s="4"/>
      <c r="AA880" s="4"/>
      <c r="AB880" s="4"/>
      <c r="AC880" s="4"/>
      <c r="AD880" s="4"/>
      <c r="AE880" s="4"/>
      <c r="AF880" s="4"/>
    </row>
    <row r="881" spans="1:32" ht="15.75" customHeight="1">
      <c r="A881" s="4"/>
      <c r="B881" s="4"/>
      <c r="C881" s="4"/>
      <c r="D881" s="4"/>
      <c r="E881" s="4"/>
      <c r="F881" s="4"/>
      <c r="G881" s="4"/>
      <c r="H881" s="4"/>
      <c r="I881" s="4"/>
      <c r="J881" s="19"/>
      <c r="K881" s="4"/>
      <c r="L881" s="4"/>
      <c r="M881" s="4"/>
      <c r="N881" s="4"/>
      <c r="O881" s="4"/>
      <c r="P881" s="4"/>
      <c r="Q881" s="4"/>
      <c r="R881" s="4"/>
      <c r="S881" s="4"/>
      <c r="T881" s="4"/>
      <c r="U881" s="4"/>
      <c r="V881" s="4"/>
      <c r="W881" s="4"/>
      <c r="X881" s="4"/>
      <c r="Y881" s="4"/>
      <c r="Z881" s="4"/>
      <c r="AA881" s="4"/>
      <c r="AB881" s="4"/>
      <c r="AC881" s="4"/>
      <c r="AD881" s="4"/>
      <c r="AE881" s="4"/>
      <c r="AF881" s="4"/>
    </row>
    <row r="882" spans="1:32" ht="15.75" customHeight="1">
      <c r="A882" s="4"/>
      <c r="B882" s="4"/>
      <c r="C882" s="4"/>
      <c r="D882" s="4"/>
      <c r="E882" s="4"/>
      <c r="F882" s="4"/>
      <c r="G882" s="4"/>
      <c r="H882" s="4"/>
      <c r="I882" s="4"/>
      <c r="J882" s="19"/>
      <c r="K882" s="4"/>
      <c r="L882" s="4"/>
      <c r="M882" s="4"/>
      <c r="N882" s="4"/>
      <c r="O882" s="4"/>
      <c r="P882" s="4"/>
      <c r="Q882" s="4"/>
      <c r="R882" s="4"/>
      <c r="S882" s="4"/>
      <c r="T882" s="4"/>
      <c r="U882" s="4"/>
      <c r="V882" s="4"/>
      <c r="W882" s="4"/>
      <c r="X882" s="4"/>
      <c r="Y882" s="4"/>
      <c r="Z882" s="4"/>
      <c r="AA882" s="4"/>
      <c r="AB882" s="4"/>
      <c r="AC882" s="4"/>
      <c r="AD882" s="4"/>
      <c r="AE882" s="4"/>
      <c r="AF882" s="4"/>
    </row>
    <row r="883" spans="1:32" ht="15.75" customHeight="1">
      <c r="A883" s="4"/>
      <c r="B883" s="4"/>
      <c r="C883" s="4"/>
      <c r="D883" s="4"/>
      <c r="E883" s="4"/>
      <c r="F883" s="4"/>
      <c r="G883" s="4"/>
      <c r="H883" s="4"/>
      <c r="I883" s="4"/>
      <c r="J883" s="19"/>
      <c r="K883" s="4"/>
      <c r="L883" s="4"/>
      <c r="M883" s="4"/>
      <c r="N883" s="4"/>
      <c r="O883" s="4"/>
      <c r="P883" s="4"/>
      <c r="Q883" s="4"/>
      <c r="R883" s="4"/>
      <c r="S883" s="4"/>
      <c r="T883" s="4"/>
      <c r="U883" s="4"/>
      <c r="V883" s="4"/>
      <c r="W883" s="4"/>
      <c r="X883" s="4"/>
      <c r="Y883" s="4"/>
      <c r="Z883" s="4"/>
      <c r="AA883" s="4"/>
      <c r="AB883" s="4"/>
      <c r="AC883" s="4"/>
      <c r="AD883" s="4"/>
      <c r="AE883" s="4"/>
      <c r="AF883" s="4"/>
    </row>
    <row r="884" spans="1:32" ht="15.75" customHeight="1">
      <c r="A884" s="4"/>
      <c r="B884" s="4"/>
      <c r="C884" s="4"/>
      <c r="D884" s="4"/>
      <c r="E884" s="4"/>
      <c r="F884" s="4"/>
      <c r="G884" s="4"/>
      <c r="H884" s="4"/>
      <c r="I884" s="4"/>
      <c r="J884" s="19"/>
      <c r="K884" s="4"/>
      <c r="L884" s="4"/>
      <c r="M884" s="4"/>
      <c r="N884" s="4"/>
      <c r="O884" s="4"/>
      <c r="P884" s="4"/>
      <c r="Q884" s="4"/>
      <c r="R884" s="4"/>
      <c r="S884" s="4"/>
      <c r="T884" s="4"/>
      <c r="U884" s="4"/>
      <c r="V884" s="4"/>
      <c r="W884" s="4"/>
      <c r="X884" s="4"/>
      <c r="Y884" s="4"/>
      <c r="Z884" s="4"/>
      <c r="AA884" s="4"/>
      <c r="AB884" s="4"/>
      <c r="AC884" s="4"/>
      <c r="AD884" s="4"/>
      <c r="AE884" s="4"/>
      <c r="AF884" s="4"/>
    </row>
    <row r="885" spans="1:32" ht="15.75" customHeight="1">
      <c r="A885" s="4"/>
      <c r="B885" s="4"/>
      <c r="C885" s="4"/>
      <c r="D885" s="4"/>
      <c r="E885" s="4"/>
      <c r="F885" s="4"/>
      <c r="G885" s="4"/>
      <c r="H885" s="4"/>
      <c r="I885" s="4"/>
      <c r="J885" s="19"/>
      <c r="K885" s="4"/>
      <c r="L885" s="4"/>
      <c r="M885" s="4"/>
      <c r="N885" s="4"/>
      <c r="O885" s="4"/>
      <c r="P885" s="4"/>
      <c r="Q885" s="4"/>
      <c r="R885" s="4"/>
      <c r="S885" s="4"/>
      <c r="T885" s="4"/>
      <c r="U885" s="4"/>
      <c r="V885" s="4"/>
      <c r="W885" s="4"/>
      <c r="X885" s="4"/>
      <c r="Y885" s="4"/>
      <c r="Z885" s="4"/>
      <c r="AA885" s="4"/>
      <c r="AB885" s="4"/>
      <c r="AC885" s="4"/>
      <c r="AD885" s="4"/>
      <c r="AE885" s="4"/>
      <c r="AF885" s="4"/>
    </row>
    <row r="886" spans="1:32" ht="15.75" customHeight="1">
      <c r="A886" s="4"/>
      <c r="B886" s="4"/>
      <c r="C886" s="4"/>
      <c r="D886" s="4"/>
      <c r="E886" s="4"/>
      <c r="F886" s="4"/>
      <c r="G886" s="4"/>
      <c r="H886" s="4"/>
      <c r="I886" s="4"/>
      <c r="J886" s="19"/>
      <c r="K886" s="4"/>
      <c r="L886" s="4"/>
      <c r="M886" s="4"/>
      <c r="N886" s="4"/>
      <c r="O886" s="4"/>
      <c r="P886" s="4"/>
      <c r="Q886" s="4"/>
      <c r="R886" s="4"/>
      <c r="S886" s="4"/>
      <c r="T886" s="4"/>
      <c r="U886" s="4"/>
      <c r="V886" s="4"/>
      <c r="W886" s="4"/>
      <c r="X886" s="4"/>
      <c r="Y886" s="4"/>
      <c r="Z886" s="4"/>
      <c r="AA886" s="4"/>
      <c r="AB886" s="4"/>
      <c r="AC886" s="4"/>
      <c r="AD886" s="4"/>
      <c r="AE886" s="4"/>
      <c r="AF886" s="4"/>
    </row>
    <row r="887" spans="1:32" ht="15.75" customHeight="1">
      <c r="A887" s="4"/>
      <c r="B887" s="4"/>
      <c r="C887" s="4"/>
      <c r="D887" s="4"/>
      <c r="E887" s="4"/>
      <c r="F887" s="4"/>
      <c r="G887" s="4"/>
      <c r="H887" s="4"/>
      <c r="I887" s="4"/>
      <c r="J887" s="19"/>
      <c r="K887" s="4"/>
      <c r="L887" s="4"/>
      <c r="M887" s="4"/>
      <c r="N887" s="4"/>
      <c r="O887" s="4"/>
      <c r="P887" s="4"/>
      <c r="Q887" s="4"/>
      <c r="R887" s="4"/>
      <c r="S887" s="4"/>
      <c r="T887" s="4"/>
      <c r="U887" s="4"/>
      <c r="V887" s="4"/>
      <c r="W887" s="4"/>
      <c r="X887" s="4"/>
      <c r="Y887" s="4"/>
      <c r="Z887" s="4"/>
      <c r="AA887" s="4"/>
      <c r="AB887" s="4"/>
      <c r="AC887" s="4"/>
      <c r="AD887" s="4"/>
      <c r="AE887" s="4"/>
      <c r="AF887" s="4"/>
    </row>
    <row r="888" spans="1:32" ht="15.75" customHeight="1">
      <c r="A888" s="4"/>
      <c r="B888" s="4"/>
      <c r="C888" s="4"/>
      <c r="D888" s="4"/>
      <c r="E888" s="4"/>
      <c r="F888" s="4"/>
      <c r="G888" s="4"/>
      <c r="H888" s="4"/>
      <c r="I888" s="4"/>
      <c r="J888" s="19"/>
      <c r="K888" s="4"/>
      <c r="L888" s="4"/>
      <c r="M888" s="4"/>
      <c r="N888" s="4"/>
      <c r="O888" s="4"/>
      <c r="P888" s="4"/>
      <c r="Q888" s="4"/>
      <c r="R888" s="4"/>
      <c r="S888" s="4"/>
      <c r="T888" s="4"/>
      <c r="U888" s="4"/>
      <c r="V888" s="4"/>
      <c r="W888" s="4"/>
      <c r="X888" s="4"/>
      <c r="Y888" s="4"/>
      <c r="Z888" s="4"/>
      <c r="AA888" s="4"/>
      <c r="AB888" s="4"/>
      <c r="AC888" s="4"/>
      <c r="AD888" s="4"/>
      <c r="AE888" s="4"/>
      <c r="AF888" s="4"/>
    </row>
    <row r="889" spans="1:32" ht="15.75" customHeight="1">
      <c r="A889" s="4"/>
      <c r="B889" s="4"/>
      <c r="C889" s="4"/>
      <c r="D889" s="4"/>
      <c r="E889" s="4"/>
      <c r="F889" s="4"/>
      <c r="G889" s="4"/>
      <c r="H889" s="4"/>
      <c r="I889" s="4"/>
      <c r="J889" s="19"/>
      <c r="K889" s="4"/>
      <c r="L889" s="4"/>
      <c r="M889" s="4"/>
      <c r="N889" s="4"/>
      <c r="O889" s="4"/>
      <c r="P889" s="4"/>
      <c r="Q889" s="4"/>
      <c r="R889" s="4"/>
      <c r="S889" s="4"/>
      <c r="T889" s="4"/>
      <c r="U889" s="4"/>
      <c r="V889" s="4"/>
      <c r="W889" s="4"/>
      <c r="X889" s="4"/>
      <c r="Y889" s="4"/>
      <c r="Z889" s="4"/>
      <c r="AA889" s="4"/>
      <c r="AB889" s="4"/>
      <c r="AC889" s="4"/>
      <c r="AD889" s="4"/>
      <c r="AE889" s="4"/>
      <c r="AF889" s="4"/>
    </row>
    <row r="890" spans="1:32" ht="15.75" customHeight="1">
      <c r="A890" s="4"/>
      <c r="B890" s="4"/>
      <c r="C890" s="4"/>
      <c r="D890" s="4"/>
      <c r="E890" s="4"/>
      <c r="F890" s="4"/>
      <c r="G890" s="4"/>
      <c r="H890" s="4"/>
      <c r="I890" s="4"/>
      <c r="J890" s="19"/>
      <c r="K890" s="4"/>
      <c r="L890" s="4"/>
      <c r="M890" s="4"/>
      <c r="N890" s="4"/>
      <c r="O890" s="4"/>
      <c r="P890" s="4"/>
      <c r="Q890" s="4"/>
      <c r="R890" s="4"/>
      <c r="S890" s="4"/>
      <c r="T890" s="4"/>
      <c r="U890" s="4"/>
      <c r="V890" s="4"/>
      <c r="W890" s="4"/>
      <c r="X890" s="4"/>
      <c r="Y890" s="4"/>
      <c r="Z890" s="4"/>
      <c r="AA890" s="4"/>
      <c r="AB890" s="4"/>
      <c r="AC890" s="4"/>
      <c r="AD890" s="4"/>
      <c r="AE890" s="4"/>
      <c r="AF890" s="4"/>
    </row>
    <row r="891" spans="1:32" ht="15.75" customHeight="1">
      <c r="A891" s="4"/>
      <c r="B891" s="4"/>
      <c r="C891" s="4"/>
      <c r="D891" s="4"/>
      <c r="E891" s="4"/>
      <c r="F891" s="4"/>
      <c r="G891" s="4"/>
      <c r="H891" s="4"/>
      <c r="I891" s="4"/>
      <c r="J891" s="19"/>
      <c r="K891" s="4"/>
      <c r="L891" s="4"/>
      <c r="M891" s="4"/>
      <c r="N891" s="4"/>
      <c r="O891" s="4"/>
      <c r="P891" s="4"/>
      <c r="Q891" s="4"/>
      <c r="R891" s="4"/>
      <c r="S891" s="4"/>
      <c r="T891" s="4"/>
      <c r="U891" s="4"/>
      <c r="V891" s="4"/>
      <c r="W891" s="4"/>
      <c r="X891" s="4"/>
      <c r="Y891" s="4"/>
      <c r="Z891" s="4"/>
      <c r="AA891" s="4"/>
      <c r="AB891" s="4"/>
      <c r="AC891" s="4"/>
      <c r="AD891" s="4"/>
      <c r="AE891" s="4"/>
      <c r="AF891" s="4"/>
    </row>
    <row r="892" spans="1:32" ht="15.75" customHeight="1">
      <c r="A892" s="4"/>
      <c r="B892" s="4"/>
      <c r="C892" s="4"/>
      <c r="D892" s="4"/>
      <c r="E892" s="4"/>
      <c r="F892" s="4"/>
      <c r="G892" s="4"/>
      <c r="H892" s="4"/>
      <c r="I892" s="4"/>
      <c r="J892" s="19"/>
      <c r="K892" s="4"/>
      <c r="L892" s="4"/>
      <c r="M892" s="4"/>
      <c r="N892" s="4"/>
      <c r="O892" s="4"/>
      <c r="P892" s="4"/>
      <c r="Q892" s="4"/>
      <c r="R892" s="4"/>
      <c r="S892" s="4"/>
      <c r="T892" s="4"/>
      <c r="U892" s="4"/>
      <c r="V892" s="4"/>
      <c r="W892" s="4"/>
      <c r="X892" s="4"/>
      <c r="Y892" s="4"/>
      <c r="Z892" s="4"/>
      <c r="AA892" s="4"/>
      <c r="AB892" s="4"/>
      <c r="AC892" s="4"/>
      <c r="AD892" s="4"/>
      <c r="AE892" s="4"/>
      <c r="AF892" s="4"/>
    </row>
    <row r="893" spans="1:32" ht="15.75" customHeight="1">
      <c r="A893" s="4"/>
      <c r="B893" s="4"/>
      <c r="C893" s="4"/>
      <c r="D893" s="4"/>
      <c r="E893" s="4"/>
      <c r="F893" s="4"/>
      <c r="G893" s="4"/>
      <c r="H893" s="4"/>
      <c r="I893" s="4"/>
      <c r="J893" s="19"/>
      <c r="K893" s="4"/>
      <c r="L893" s="4"/>
      <c r="M893" s="4"/>
      <c r="N893" s="4"/>
      <c r="O893" s="4"/>
      <c r="P893" s="4"/>
      <c r="Q893" s="4"/>
      <c r="R893" s="4"/>
      <c r="S893" s="4"/>
      <c r="T893" s="4"/>
      <c r="U893" s="4"/>
      <c r="V893" s="4"/>
      <c r="W893" s="4"/>
      <c r="X893" s="4"/>
      <c r="Y893" s="4"/>
      <c r="Z893" s="4"/>
      <c r="AA893" s="4"/>
      <c r="AB893" s="4"/>
      <c r="AC893" s="4"/>
      <c r="AD893" s="4"/>
      <c r="AE893" s="4"/>
      <c r="AF893" s="4"/>
    </row>
    <row r="894" spans="1:32" ht="15.75" customHeight="1">
      <c r="A894" s="4"/>
      <c r="B894" s="4"/>
      <c r="C894" s="4"/>
      <c r="D894" s="4"/>
      <c r="E894" s="4"/>
      <c r="F894" s="4"/>
      <c r="G894" s="4"/>
      <c r="H894" s="4"/>
      <c r="I894" s="4"/>
      <c r="J894" s="19"/>
      <c r="K894" s="4"/>
      <c r="L894" s="4"/>
      <c r="M894" s="4"/>
      <c r="N894" s="4"/>
      <c r="O894" s="4"/>
      <c r="P894" s="4"/>
      <c r="Q894" s="4"/>
      <c r="R894" s="4"/>
      <c r="S894" s="4"/>
      <c r="T894" s="4"/>
      <c r="U894" s="4"/>
      <c r="V894" s="4"/>
      <c r="W894" s="4"/>
      <c r="X894" s="4"/>
      <c r="Y894" s="4"/>
      <c r="Z894" s="4"/>
      <c r="AA894" s="4"/>
      <c r="AB894" s="4"/>
      <c r="AC894" s="4"/>
      <c r="AD894" s="4"/>
      <c r="AE894" s="4"/>
      <c r="AF894" s="4"/>
    </row>
    <row r="895" spans="1:32" ht="15.75" customHeight="1">
      <c r="A895" s="4"/>
      <c r="B895" s="4"/>
      <c r="C895" s="4"/>
      <c r="D895" s="4"/>
      <c r="E895" s="4"/>
      <c r="F895" s="4"/>
      <c r="G895" s="4"/>
      <c r="H895" s="4"/>
      <c r="I895" s="4"/>
      <c r="J895" s="19"/>
      <c r="K895" s="4"/>
      <c r="L895" s="4"/>
      <c r="M895" s="4"/>
      <c r="N895" s="4"/>
      <c r="O895" s="4"/>
      <c r="P895" s="4"/>
      <c r="Q895" s="4"/>
      <c r="R895" s="4"/>
      <c r="S895" s="4"/>
      <c r="T895" s="4"/>
      <c r="U895" s="4"/>
      <c r="V895" s="4"/>
      <c r="W895" s="4"/>
      <c r="X895" s="4"/>
      <c r="Y895" s="4"/>
      <c r="Z895" s="4"/>
      <c r="AA895" s="4"/>
      <c r="AB895" s="4"/>
      <c r="AC895" s="4"/>
      <c r="AD895" s="4"/>
      <c r="AE895" s="4"/>
      <c r="AF895" s="4"/>
    </row>
    <row r="896" spans="1:32" ht="15.75" customHeight="1">
      <c r="A896" s="4"/>
      <c r="B896" s="4"/>
      <c r="C896" s="4"/>
      <c r="D896" s="4"/>
      <c r="E896" s="4"/>
      <c r="F896" s="4"/>
      <c r="G896" s="4"/>
      <c r="H896" s="4"/>
      <c r="I896" s="4"/>
      <c r="J896" s="19"/>
      <c r="K896" s="4"/>
      <c r="L896" s="4"/>
      <c r="M896" s="4"/>
      <c r="N896" s="4"/>
      <c r="O896" s="4"/>
      <c r="P896" s="4"/>
      <c r="Q896" s="4"/>
      <c r="R896" s="4"/>
      <c r="S896" s="4"/>
      <c r="T896" s="4"/>
      <c r="U896" s="4"/>
      <c r="V896" s="4"/>
      <c r="W896" s="4"/>
      <c r="X896" s="4"/>
      <c r="Y896" s="4"/>
      <c r="Z896" s="4"/>
      <c r="AA896" s="4"/>
      <c r="AB896" s="4"/>
      <c r="AC896" s="4"/>
      <c r="AD896" s="4"/>
      <c r="AE896" s="4"/>
      <c r="AF896" s="4"/>
    </row>
    <row r="897" spans="1:32" ht="15.75" customHeight="1">
      <c r="A897" s="4"/>
      <c r="B897" s="4"/>
      <c r="C897" s="4"/>
      <c r="D897" s="4"/>
      <c r="E897" s="4"/>
      <c r="F897" s="4"/>
      <c r="G897" s="4"/>
      <c r="H897" s="4"/>
      <c r="I897" s="4"/>
      <c r="J897" s="19"/>
      <c r="K897" s="4"/>
      <c r="L897" s="4"/>
      <c r="M897" s="4"/>
      <c r="N897" s="4"/>
      <c r="O897" s="4"/>
      <c r="P897" s="4"/>
      <c r="Q897" s="4"/>
      <c r="R897" s="4"/>
      <c r="S897" s="4"/>
      <c r="T897" s="4"/>
      <c r="U897" s="4"/>
      <c r="V897" s="4"/>
      <c r="W897" s="4"/>
      <c r="X897" s="4"/>
      <c r="Y897" s="4"/>
      <c r="Z897" s="4"/>
      <c r="AA897" s="4"/>
      <c r="AB897" s="4"/>
      <c r="AC897" s="4"/>
      <c r="AD897" s="4"/>
      <c r="AE897" s="4"/>
      <c r="AF897" s="4"/>
    </row>
    <row r="898" spans="1:32" ht="15.75" customHeight="1">
      <c r="A898" s="4"/>
      <c r="B898" s="4"/>
      <c r="C898" s="4"/>
      <c r="D898" s="4"/>
      <c r="E898" s="4"/>
      <c r="F898" s="4"/>
      <c r="G898" s="4"/>
      <c r="H898" s="4"/>
      <c r="I898" s="4"/>
      <c r="J898" s="19"/>
      <c r="K898" s="4"/>
      <c r="L898" s="4"/>
      <c r="M898" s="4"/>
      <c r="N898" s="4"/>
      <c r="O898" s="4"/>
      <c r="P898" s="4"/>
      <c r="Q898" s="4"/>
      <c r="R898" s="4"/>
      <c r="S898" s="4"/>
      <c r="T898" s="4"/>
      <c r="U898" s="4"/>
      <c r="V898" s="4"/>
      <c r="W898" s="4"/>
      <c r="X898" s="4"/>
      <c r="Y898" s="4"/>
      <c r="Z898" s="4"/>
      <c r="AA898" s="4"/>
      <c r="AB898" s="4"/>
      <c r="AC898" s="4"/>
      <c r="AD898" s="4"/>
      <c r="AE898" s="4"/>
      <c r="AF898" s="4"/>
    </row>
    <row r="899" spans="1:32" ht="15.75" customHeight="1">
      <c r="A899" s="4"/>
      <c r="B899" s="4"/>
      <c r="C899" s="4"/>
      <c r="D899" s="4"/>
      <c r="E899" s="4"/>
      <c r="F899" s="4"/>
      <c r="G899" s="4"/>
      <c r="H899" s="4"/>
      <c r="I899" s="4"/>
      <c r="J899" s="19"/>
      <c r="K899" s="4"/>
      <c r="L899" s="4"/>
      <c r="M899" s="4"/>
      <c r="N899" s="4"/>
      <c r="O899" s="4"/>
      <c r="P899" s="4"/>
      <c r="Q899" s="4"/>
      <c r="R899" s="4"/>
      <c r="S899" s="4"/>
      <c r="T899" s="4"/>
      <c r="U899" s="4"/>
      <c r="V899" s="4"/>
      <c r="W899" s="4"/>
      <c r="X899" s="4"/>
      <c r="Y899" s="4"/>
      <c r="Z899" s="4"/>
      <c r="AA899" s="4"/>
      <c r="AB899" s="4"/>
      <c r="AC899" s="4"/>
      <c r="AD899" s="4"/>
      <c r="AE899" s="4"/>
      <c r="AF899" s="4"/>
    </row>
    <row r="900" spans="1:32" ht="15.75" customHeight="1">
      <c r="A900" s="4"/>
      <c r="B900" s="4"/>
      <c r="C900" s="4"/>
      <c r="D900" s="4"/>
      <c r="E900" s="4"/>
      <c r="F900" s="4"/>
      <c r="G900" s="4"/>
      <c r="H900" s="4"/>
      <c r="I900" s="4"/>
      <c r="J900" s="19"/>
      <c r="K900" s="4"/>
      <c r="L900" s="4"/>
      <c r="M900" s="4"/>
      <c r="N900" s="4"/>
      <c r="O900" s="4"/>
      <c r="P900" s="4"/>
      <c r="Q900" s="4"/>
      <c r="R900" s="4"/>
      <c r="S900" s="4"/>
      <c r="T900" s="4"/>
      <c r="U900" s="4"/>
      <c r="V900" s="4"/>
      <c r="W900" s="4"/>
      <c r="X900" s="4"/>
      <c r="Y900" s="4"/>
      <c r="Z900" s="4"/>
      <c r="AA900" s="4"/>
      <c r="AB900" s="4"/>
      <c r="AC900" s="4"/>
      <c r="AD900" s="4"/>
      <c r="AE900" s="4"/>
      <c r="AF900" s="4"/>
    </row>
    <row r="901" spans="1:32" ht="15.75" customHeight="1">
      <c r="A901" s="4"/>
      <c r="B901" s="4"/>
      <c r="C901" s="4"/>
      <c r="D901" s="4"/>
      <c r="E901" s="4"/>
      <c r="F901" s="4"/>
      <c r="G901" s="4"/>
      <c r="H901" s="4"/>
      <c r="I901" s="4"/>
      <c r="J901" s="19"/>
      <c r="K901" s="4"/>
      <c r="L901" s="4"/>
      <c r="M901" s="4"/>
      <c r="N901" s="4"/>
      <c r="O901" s="4"/>
      <c r="P901" s="4"/>
      <c r="Q901" s="4"/>
      <c r="R901" s="4"/>
      <c r="S901" s="4"/>
      <c r="T901" s="4"/>
      <c r="U901" s="4"/>
      <c r="V901" s="4"/>
      <c r="W901" s="4"/>
      <c r="X901" s="4"/>
      <c r="Y901" s="4"/>
      <c r="Z901" s="4"/>
      <c r="AA901" s="4"/>
      <c r="AB901" s="4"/>
      <c r="AC901" s="4"/>
      <c r="AD901" s="4"/>
      <c r="AE901" s="4"/>
      <c r="AF901" s="4"/>
    </row>
    <row r="902" spans="1:32" ht="15.75" customHeight="1">
      <c r="A902" s="4"/>
      <c r="B902" s="4"/>
      <c r="C902" s="4"/>
      <c r="D902" s="4"/>
      <c r="E902" s="4"/>
      <c r="F902" s="4"/>
      <c r="G902" s="4"/>
      <c r="H902" s="4"/>
      <c r="I902" s="4"/>
      <c r="J902" s="19"/>
      <c r="K902" s="4"/>
      <c r="L902" s="4"/>
      <c r="M902" s="4"/>
      <c r="N902" s="4"/>
      <c r="O902" s="4"/>
      <c r="P902" s="4"/>
      <c r="Q902" s="4"/>
      <c r="R902" s="4"/>
      <c r="S902" s="4"/>
      <c r="T902" s="4"/>
      <c r="U902" s="4"/>
      <c r="V902" s="4"/>
      <c r="W902" s="4"/>
      <c r="X902" s="4"/>
      <c r="Y902" s="4"/>
      <c r="Z902" s="4"/>
      <c r="AA902" s="4"/>
      <c r="AB902" s="4"/>
      <c r="AC902" s="4"/>
      <c r="AD902" s="4"/>
      <c r="AE902" s="4"/>
      <c r="AF902" s="4"/>
    </row>
    <row r="903" spans="1:32" ht="15.75" customHeight="1">
      <c r="A903" s="4"/>
      <c r="B903" s="4"/>
      <c r="C903" s="4"/>
      <c r="D903" s="4"/>
      <c r="E903" s="4"/>
      <c r="F903" s="4"/>
      <c r="G903" s="4"/>
      <c r="H903" s="4"/>
      <c r="I903" s="4"/>
      <c r="J903" s="19"/>
      <c r="K903" s="4"/>
      <c r="L903" s="4"/>
      <c r="M903" s="4"/>
      <c r="N903" s="4"/>
      <c r="O903" s="4"/>
      <c r="P903" s="4"/>
      <c r="Q903" s="4"/>
      <c r="R903" s="4"/>
      <c r="S903" s="4"/>
      <c r="T903" s="4"/>
      <c r="U903" s="4"/>
      <c r="V903" s="4"/>
      <c r="W903" s="4"/>
      <c r="X903" s="4"/>
      <c r="Y903" s="4"/>
      <c r="Z903" s="4"/>
      <c r="AA903" s="4"/>
      <c r="AB903" s="4"/>
      <c r="AC903" s="4"/>
      <c r="AD903" s="4"/>
      <c r="AE903" s="4"/>
      <c r="AF903" s="4"/>
    </row>
    <row r="904" spans="1:32" ht="15.75" customHeight="1">
      <c r="A904" s="4"/>
      <c r="B904" s="4"/>
      <c r="C904" s="4"/>
      <c r="D904" s="4"/>
      <c r="E904" s="4"/>
      <c r="F904" s="4"/>
      <c r="G904" s="4"/>
      <c r="H904" s="4"/>
      <c r="I904" s="4"/>
      <c r="J904" s="19"/>
      <c r="K904" s="4"/>
      <c r="L904" s="4"/>
      <c r="M904" s="4"/>
      <c r="N904" s="4"/>
      <c r="O904" s="4"/>
      <c r="P904" s="4"/>
      <c r="Q904" s="4"/>
      <c r="R904" s="4"/>
      <c r="S904" s="4"/>
      <c r="T904" s="4"/>
      <c r="U904" s="4"/>
      <c r="V904" s="4"/>
      <c r="W904" s="4"/>
      <c r="X904" s="4"/>
      <c r="Y904" s="4"/>
      <c r="Z904" s="4"/>
      <c r="AA904" s="4"/>
      <c r="AB904" s="4"/>
      <c r="AC904" s="4"/>
      <c r="AD904" s="4"/>
      <c r="AE904" s="4"/>
      <c r="AF904" s="4"/>
    </row>
    <row r="905" spans="1:32" ht="15.75" customHeight="1">
      <c r="A905" s="4"/>
      <c r="B905" s="4"/>
      <c r="C905" s="4"/>
      <c r="D905" s="4"/>
      <c r="E905" s="4"/>
      <c r="F905" s="4"/>
      <c r="G905" s="4"/>
      <c r="H905" s="4"/>
      <c r="I905" s="4"/>
      <c r="J905" s="19"/>
      <c r="K905" s="4"/>
      <c r="L905" s="4"/>
      <c r="M905" s="4"/>
      <c r="N905" s="4"/>
      <c r="O905" s="4"/>
      <c r="P905" s="4"/>
      <c r="Q905" s="4"/>
      <c r="R905" s="4"/>
      <c r="S905" s="4"/>
      <c r="T905" s="4"/>
      <c r="U905" s="4"/>
      <c r="V905" s="4"/>
      <c r="W905" s="4"/>
      <c r="X905" s="4"/>
      <c r="Y905" s="4"/>
      <c r="Z905" s="4"/>
      <c r="AA905" s="4"/>
      <c r="AB905" s="4"/>
      <c r="AC905" s="4"/>
      <c r="AD905" s="4"/>
      <c r="AE905" s="4"/>
      <c r="AF905" s="4"/>
    </row>
    <row r="906" spans="1:32" ht="15.75" customHeight="1">
      <c r="A906" s="4"/>
      <c r="B906" s="4"/>
      <c r="C906" s="4"/>
      <c r="D906" s="4"/>
      <c r="E906" s="4"/>
      <c r="F906" s="4"/>
      <c r="G906" s="4"/>
      <c r="H906" s="4"/>
      <c r="I906" s="4"/>
      <c r="J906" s="19"/>
      <c r="K906" s="4"/>
      <c r="L906" s="4"/>
      <c r="M906" s="4"/>
      <c r="N906" s="4"/>
      <c r="O906" s="4"/>
      <c r="P906" s="4"/>
      <c r="Q906" s="4"/>
      <c r="R906" s="4"/>
      <c r="S906" s="4"/>
      <c r="T906" s="4"/>
      <c r="U906" s="4"/>
      <c r="V906" s="4"/>
      <c r="W906" s="4"/>
      <c r="X906" s="4"/>
      <c r="Y906" s="4"/>
      <c r="Z906" s="4"/>
      <c r="AA906" s="4"/>
      <c r="AB906" s="4"/>
      <c r="AC906" s="4"/>
      <c r="AD906" s="4"/>
      <c r="AE906" s="4"/>
      <c r="AF906" s="4"/>
    </row>
    <row r="907" spans="1:32" ht="15.75" customHeight="1">
      <c r="A907" s="4"/>
      <c r="B907" s="4"/>
      <c r="C907" s="4"/>
      <c r="D907" s="4"/>
      <c r="E907" s="4"/>
      <c r="F907" s="4"/>
      <c r="G907" s="4"/>
      <c r="H907" s="4"/>
      <c r="I907" s="4"/>
      <c r="J907" s="19"/>
      <c r="K907" s="4"/>
      <c r="L907" s="4"/>
      <c r="M907" s="4"/>
      <c r="N907" s="4"/>
      <c r="O907" s="4"/>
      <c r="P907" s="4"/>
      <c r="Q907" s="4"/>
      <c r="R907" s="4"/>
      <c r="S907" s="4"/>
      <c r="T907" s="4"/>
      <c r="U907" s="4"/>
      <c r="V907" s="4"/>
      <c r="W907" s="4"/>
      <c r="X907" s="4"/>
      <c r="Y907" s="4"/>
      <c r="Z907" s="4"/>
      <c r="AA907" s="4"/>
      <c r="AB907" s="4"/>
      <c r="AC907" s="4"/>
      <c r="AD907" s="4"/>
      <c r="AE907" s="4"/>
      <c r="AF907" s="4"/>
    </row>
    <row r="908" spans="1:32" ht="15.75" customHeight="1">
      <c r="A908" s="4"/>
      <c r="B908" s="4"/>
      <c r="C908" s="4"/>
      <c r="D908" s="4"/>
      <c r="E908" s="4"/>
      <c r="F908" s="4"/>
      <c r="G908" s="4"/>
      <c r="H908" s="4"/>
      <c r="I908" s="4"/>
      <c r="J908" s="19"/>
      <c r="K908" s="4"/>
      <c r="L908" s="4"/>
      <c r="M908" s="4"/>
      <c r="N908" s="4"/>
      <c r="O908" s="4"/>
      <c r="P908" s="4"/>
      <c r="Q908" s="4"/>
      <c r="R908" s="4"/>
      <c r="S908" s="4"/>
      <c r="T908" s="4"/>
      <c r="U908" s="4"/>
      <c r="V908" s="4"/>
      <c r="W908" s="4"/>
      <c r="X908" s="4"/>
      <c r="Y908" s="4"/>
      <c r="Z908" s="4"/>
      <c r="AA908" s="4"/>
      <c r="AB908" s="4"/>
      <c r="AC908" s="4"/>
      <c r="AD908" s="4"/>
      <c r="AE908" s="4"/>
      <c r="AF908" s="4"/>
    </row>
    <row r="909" spans="1:32" ht="15.75" customHeight="1">
      <c r="A909" s="4"/>
      <c r="B909" s="4"/>
      <c r="C909" s="4"/>
      <c r="D909" s="4"/>
      <c r="E909" s="4"/>
      <c r="F909" s="4"/>
      <c r="G909" s="4"/>
      <c r="H909" s="4"/>
      <c r="I909" s="4"/>
      <c r="J909" s="19"/>
      <c r="K909" s="4"/>
      <c r="L909" s="4"/>
      <c r="M909" s="4"/>
      <c r="N909" s="4"/>
      <c r="O909" s="4"/>
      <c r="P909" s="4"/>
      <c r="Q909" s="4"/>
      <c r="R909" s="4"/>
      <c r="S909" s="4"/>
      <c r="T909" s="4"/>
      <c r="U909" s="4"/>
      <c r="V909" s="4"/>
      <c r="W909" s="4"/>
      <c r="X909" s="4"/>
      <c r="Y909" s="4"/>
      <c r="Z909" s="4"/>
      <c r="AA909" s="4"/>
      <c r="AB909" s="4"/>
      <c r="AC909" s="4"/>
      <c r="AD909" s="4"/>
      <c r="AE909" s="4"/>
      <c r="AF909" s="4"/>
    </row>
    <row r="910" spans="1:32" ht="15.75" customHeight="1">
      <c r="A910" s="4"/>
      <c r="B910" s="4"/>
      <c r="C910" s="4"/>
      <c r="D910" s="4"/>
      <c r="E910" s="4"/>
      <c r="F910" s="4"/>
      <c r="G910" s="4"/>
      <c r="H910" s="4"/>
      <c r="I910" s="4"/>
      <c r="J910" s="19"/>
      <c r="K910" s="4"/>
      <c r="L910" s="4"/>
      <c r="M910" s="4"/>
      <c r="N910" s="4"/>
      <c r="O910" s="4"/>
      <c r="P910" s="4"/>
      <c r="Q910" s="4"/>
      <c r="R910" s="4"/>
      <c r="S910" s="4"/>
      <c r="T910" s="4"/>
      <c r="U910" s="4"/>
      <c r="V910" s="4"/>
      <c r="W910" s="4"/>
      <c r="X910" s="4"/>
      <c r="Y910" s="4"/>
      <c r="Z910" s="4"/>
      <c r="AA910" s="4"/>
      <c r="AB910" s="4"/>
      <c r="AC910" s="4"/>
      <c r="AD910" s="4"/>
      <c r="AE910" s="4"/>
      <c r="AF910" s="4"/>
    </row>
    <row r="911" spans="1:32" ht="15.75" customHeight="1">
      <c r="A911" s="4"/>
      <c r="B911" s="4"/>
      <c r="C911" s="4"/>
      <c r="D911" s="4"/>
      <c r="E911" s="4"/>
      <c r="F911" s="4"/>
      <c r="G911" s="4"/>
      <c r="H911" s="4"/>
      <c r="I911" s="4"/>
      <c r="J911" s="19"/>
      <c r="K911" s="4"/>
      <c r="L911" s="4"/>
      <c r="M911" s="4"/>
      <c r="N911" s="4"/>
      <c r="O911" s="4"/>
      <c r="P911" s="4"/>
      <c r="Q911" s="4"/>
      <c r="R911" s="4"/>
      <c r="S911" s="4"/>
      <c r="T911" s="4"/>
      <c r="U911" s="4"/>
      <c r="V911" s="4"/>
      <c r="W911" s="4"/>
      <c r="X911" s="4"/>
      <c r="Y911" s="4"/>
      <c r="Z911" s="4"/>
      <c r="AA911" s="4"/>
      <c r="AB911" s="4"/>
      <c r="AC911" s="4"/>
      <c r="AD911" s="4"/>
      <c r="AE911" s="4"/>
      <c r="AF911" s="4"/>
    </row>
    <row r="912" spans="1:32" ht="15.75" customHeight="1">
      <c r="A912" s="4"/>
      <c r="B912" s="4"/>
      <c r="C912" s="4"/>
      <c r="D912" s="4"/>
      <c r="E912" s="4"/>
      <c r="F912" s="4"/>
      <c r="G912" s="4"/>
      <c r="H912" s="4"/>
      <c r="I912" s="4"/>
      <c r="J912" s="19"/>
      <c r="K912" s="4"/>
      <c r="L912" s="4"/>
      <c r="M912" s="4"/>
      <c r="N912" s="4"/>
      <c r="O912" s="4"/>
      <c r="P912" s="4"/>
      <c r="Q912" s="4"/>
      <c r="R912" s="4"/>
      <c r="S912" s="4"/>
      <c r="T912" s="4"/>
      <c r="U912" s="4"/>
      <c r="V912" s="4"/>
      <c r="W912" s="4"/>
      <c r="X912" s="4"/>
      <c r="Y912" s="4"/>
      <c r="Z912" s="4"/>
      <c r="AA912" s="4"/>
      <c r="AB912" s="4"/>
      <c r="AC912" s="4"/>
      <c r="AD912" s="4"/>
      <c r="AE912" s="4"/>
      <c r="AF912" s="4"/>
    </row>
    <row r="913" spans="1:32" ht="15.75" customHeight="1">
      <c r="A913" s="4"/>
      <c r="B913" s="4"/>
      <c r="C913" s="4"/>
      <c r="D913" s="4"/>
      <c r="E913" s="4"/>
      <c r="F913" s="4"/>
      <c r="G913" s="4"/>
      <c r="H913" s="4"/>
      <c r="I913" s="4"/>
      <c r="J913" s="19"/>
      <c r="K913" s="4"/>
      <c r="L913" s="4"/>
      <c r="M913" s="4"/>
      <c r="N913" s="4"/>
      <c r="O913" s="4"/>
      <c r="P913" s="4"/>
      <c r="Q913" s="4"/>
      <c r="R913" s="4"/>
      <c r="S913" s="4"/>
      <c r="T913" s="4"/>
      <c r="U913" s="4"/>
      <c r="V913" s="4"/>
      <c r="W913" s="4"/>
      <c r="X913" s="4"/>
      <c r="Y913" s="4"/>
      <c r="Z913" s="4"/>
      <c r="AA913" s="4"/>
      <c r="AB913" s="4"/>
      <c r="AC913" s="4"/>
      <c r="AD913" s="4"/>
      <c r="AE913" s="4"/>
      <c r="AF913" s="4"/>
    </row>
    <row r="914" spans="1:32" ht="15.75" customHeight="1">
      <c r="A914" s="4"/>
      <c r="B914" s="4"/>
      <c r="C914" s="4"/>
      <c r="D914" s="4"/>
      <c r="E914" s="4"/>
      <c r="F914" s="4"/>
      <c r="G914" s="4"/>
      <c r="H914" s="4"/>
      <c r="I914" s="4"/>
      <c r="J914" s="19"/>
      <c r="K914" s="4"/>
      <c r="L914" s="4"/>
      <c r="M914" s="4"/>
      <c r="N914" s="4"/>
      <c r="O914" s="4"/>
      <c r="P914" s="4"/>
      <c r="Q914" s="4"/>
      <c r="R914" s="4"/>
      <c r="S914" s="4"/>
      <c r="T914" s="4"/>
      <c r="U914" s="4"/>
      <c r="V914" s="4"/>
      <c r="W914" s="4"/>
      <c r="X914" s="4"/>
      <c r="Y914" s="4"/>
      <c r="Z914" s="4"/>
      <c r="AA914" s="4"/>
      <c r="AB914" s="4"/>
      <c r="AC914" s="4"/>
      <c r="AD914" s="4"/>
      <c r="AE914" s="4"/>
      <c r="AF914" s="4"/>
    </row>
    <row r="915" spans="1:32" ht="15.75" customHeight="1">
      <c r="A915" s="4"/>
      <c r="B915" s="4"/>
      <c r="C915" s="4"/>
      <c r="D915" s="4"/>
      <c r="E915" s="4"/>
      <c r="F915" s="4"/>
      <c r="G915" s="4"/>
      <c r="H915" s="4"/>
      <c r="I915" s="4"/>
      <c r="J915" s="19"/>
      <c r="K915" s="4"/>
      <c r="L915" s="4"/>
      <c r="M915" s="4"/>
      <c r="N915" s="4"/>
      <c r="O915" s="4"/>
      <c r="P915" s="4"/>
      <c r="Q915" s="4"/>
      <c r="R915" s="4"/>
      <c r="S915" s="4"/>
      <c r="T915" s="4"/>
      <c r="U915" s="4"/>
      <c r="V915" s="4"/>
      <c r="W915" s="4"/>
      <c r="X915" s="4"/>
      <c r="Y915" s="4"/>
      <c r="Z915" s="4"/>
      <c r="AA915" s="4"/>
      <c r="AB915" s="4"/>
      <c r="AC915" s="4"/>
      <c r="AD915" s="4"/>
      <c r="AE915" s="4"/>
      <c r="AF915" s="4"/>
    </row>
    <row r="916" spans="1:32" ht="15.75" customHeight="1">
      <c r="A916" s="4"/>
      <c r="B916" s="4"/>
      <c r="C916" s="4"/>
      <c r="D916" s="4"/>
      <c r="E916" s="4"/>
      <c r="F916" s="4"/>
      <c r="G916" s="4"/>
      <c r="H916" s="4"/>
      <c r="I916" s="4"/>
      <c r="J916" s="19"/>
      <c r="K916" s="4"/>
      <c r="L916" s="4"/>
      <c r="M916" s="4"/>
      <c r="N916" s="4"/>
      <c r="O916" s="4"/>
      <c r="P916" s="4"/>
      <c r="Q916" s="4"/>
      <c r="R916" s="4"/>
      <c r="S916" s="4"/>
      <c r="T916" s="4"/>
      <c r="U916" s="4"/>
      <c r="V916" s="4"/>
      <c r="W916" s="4"/>
      <c r="X916" s="4"/>
      <c r="Y916" s="4"/>
      <c r="Z916" s="4"/>
      <c r="AA916" s="4"/>
      <c r="AB916" s="4"/>
      <c r="AC916" s="4"/>
      <c r="AD916" s="4"/>
      <c r="AE916" s="4"/>
      <c r="AF916" s="4"/>
    </row>
    <row r="917" spans="1:32" ht="15.75" customHeight="1">
      <c r="A917" s="4"/>
      <c r="B917" s="4"/>
      <c r="C917" s="4"/>
      <c r="D917" s="4"/>
      <c r="E917" s="4"/>
      <c r="F917" s="4"/>
      <c r="G917" s="4"/>
      <c r="H917" s="4"/>
      <c r="I917" s="4"/>
      <c r="J917" s="19"/>
      <c r="K917" s="4"/>
      <c r="L917" s="4"/>
      <c r="M917" s="4"/>
      <c r="N917" s="4"/>
      <c r="O917" s="4"/>
      <c r="P917" s="4"/>
      <c r="Q917" s="4"/>
      <c r="R917" s="4"/>
      <c r="S917" s="4"/>
      <c r="T917" s="4"/>
      <c r="U917" s="4"/>
      <c r="V917" s="4"/>
      <c r="W917" s="4"/>
      <c r="X917" s="4"/>
      <c r="Y917" s="4"/>
      <c r="Z917" s="4"/>
      <c r="AA917" s="4"/>
      <c r="AB917" s="4"/>
      <c r="AC917" s="4"/>
      <c r="AD917" s="4"/>
      <c r="AE917" s="4"/>
      <c r="AF917" s="4"/>
    </row>
    <row r="918" spans="1:32" ht="15.75" customHeight="1">
      <c r="A918" s="4"/>
      <c r="B918" s="4"/>
      <c r="C918" s="4"/>
      <c r="D918" s="4"/>
      <c r="E918" s="4"/>
      <c r="F918" s="4"/>
      <c r="G918" s="4"/>
      <c r="H918" s="4"/>
      <c r="I918" s="4"/>
      <c r="J918" s="19"/>
      <c r="K918" s="4"/>
      <c r="L918" s="4"/>
      <c r="M918" s="4"/>
      <c r="N918" s="4"/>
      <c r="O918" s="4"/>
      <c r="P918" s="4"/>
      <c r="Q918" s="4"/>
      <c r="R918" s="4"/>
      <c r="S918" s="4"/>
      <c r="T918" s="4"/>
      <c r="U918" s="4"/>
      <c r="V918" s="4"/>
      <c r="W918" s="4"/>
      <c r="X918" s="4"/>
      <c r="Y918" s="4"/>
      <c r="Z918" s="4"/>
      <c r="AA918" s="4"/>
      <c r="AB918" s="4"/>
      <c r="AC918" s="4"/>
      <c r="AD918" s="4"/>
      <c r="AE918" s="4"/>
      <c r="AF918" s="4"/>
    </row>
    <row r="919" spans="1:32" ht="15.75" customHeight="1">
      <c r="A919" s="4"/>
      <c r="B919" s="4"/>
      <c r="C919" s="4"/>
      <c r="D919" s="4"/>
      <c r="E919" s="4"/>
      <c r="F919" s="4"/>
      <c r="G919" s="4"/>
      <c r="H919" s="4"/>
      <c r="I919" s="4"/>
      <c r="J919" s="19"/>
      <c r="K919" s="4"/>
      <c r="L919" s="4"/>
      <c r="M919" s="4"/>
      <c r="N919" s="4"/>
      <c r="O919" s="4"/>
      <c r="P919" s="4"/>
      <c r="Q919" s="4"/>
      <c r="R919" s="4"/>
      <c r="S919" s="4"/>
      <c r="T919" s="4"/>
      <c r="U919" s="4"/>
      <c r="V919" s="4"/>
      <c r="W919" s="4"/>
      <c r="X919" s="4"/>
      <c r="Y919" s="4"/>
      <c r="Z919" s="4"/>
      <c r="AA919" s="4"/>
      <c r="AB919" s="4"/>
      <c r="AC919" s="4"/>
      <c r="AD919" s="4"/>
      <c r="AE919" s="4"/>
      <c r="AF919" s="4"/>
    </row>
    <row r="920" spans="1:32" ht="15.75" customHeight="1">
      <c r="A920" s="4"/>
      <c r="B920" s="4"/>
      <c r="C920" s="4"/>
      <c r="D920" s="4"/>
      <c r="E920" s="4"/>
      <c r="F920" s="4"/>
      <c r="G920" s="4"/>
      <c r="H920" s="4"/>
      <c r="I920" s="4"/>
      <c r="J920" s="19"/>
      <c r="K920" s="4"/>
      <c r="L920" s="4"/>
      <c r="M920" s="4"/>
      <c r="N920" s="4"/>
      <c r="O920" s="4"/>
      <c r="P920" s="4"/>
      <c r="Q920" s="4"/>
      <c r="R920" s="4"/>
      <c r="S920" s="4"/>
      <c r="T920" s="4"/>
      <c r="U920" s="4"/>
      <c r="V920" s="4"/>
      <c r="W920" s="4"/>
      <c r="X920" s="4"/>
      <c r="Y920" s="4"/>
      <c r="Z920" s="4"/>
      <c r="AA920" s="4"/>
      <c r="AB920" s="4"/>
      <c r="AC920" s="4"/>
      <c r="AD920" s="4"/>
      <c r="AE920" s="4"/>
      <c r="AF920" s="4"/>
    </row>
    <row r="921" spans="1:32" ht="15.75" customHeight="1">
      <c r="A921" s="4"/>
      <c r="B921" s="4"/>
      <c r="C921" s="4"/>
      <c r="D921" s="4"/>
      <c r="E921" s="4"/>
      <c r="F921" s="4"/>
      <c r="G921" s="4"/>
      <c r="H921" s="4"/>
      <c r="I921" s="4"/>
      <c r="J921" s="19"/>
      <c r="K921" s="4"/>
      <c r="L921" s="4"/>
      <c r="M921" s="4"/>
      <c r="N921" s="4"/>
      <c r="O921" s="4"/>
      <c r="P921" s="4"/>
      <c r="Q921" s="4"/>
      <c r="R921" s="4"/>
      <c r="S921" s="4"/>
      <c r="T921" s="4"/>
      <c r="U921" s="4"/>
      <c r="V921" s="4"/>
      <c r="W921" s="4"/>
      <c r="X921" s="4"/>
      <c r="Y921" s="4"/>
      <c r="Z921" s="4"/>
      <c r="AA921" s="4"/>
      <c r="AB921" s="4"/>
      <c r="AC921" s="4"/>
      <c r="AD921" s="4"/>
      <c r="AE921" s="4"/>
      <c r="AF921" s="4"/>
    </row>
    <row r="922" spans="1:32" ht="15.75" customHeight="1">
      <c r="A922" s="4"/>
      <c r="B922" s="4"/>
      <c r="C922" s="4"/>
      <c r="D922" s="4"/>
      <c r="E922" s="4"/>
      <c r="F922" s="4"/>
      <c r="G922" s="4"/>
      <c r="H922" s="4"/>
      <c r="I922" s="4"/>
      <c r="J922" s="19"/>
      <c r="K922" s="4"/>
      <c r="L922" s="4"/>
      <c r="M922" s="4"/>
      <c r="N922" s="4"/>
      <c r="O922" s="4"/>
      <c r="P922" s="4"/>
      <c r="Q922" s="4"/>
      <c r="R922" s="4"/>
      <c r="S922" s="4"/>
      <c r="T922" s="4"/>
      <c r="U922" s="4"/>
      <c r="V922" s="4"/>
      <c r="W922" s="4"/>
      <c r="X922" s="4"/>
      <c r="Y922" s="4"/>
      <c r="Z922" s="4"/>
      <c r="AA922" s="4"/>
      <c r="AB922" s="4"/>
      <c r="AC922" s="4"/>
      <c r="AD922" s="4"/>
      <c r="AE922" s="4"/>
      <c r="AF922" s="4"/>
    </row>
    <row r="923" spans="1:32" ht="15.75" customHeight="1">
      <c r="A923" s="4"/>
      <c r="B923" s="4"/>
      <c r="C923" s="4"/>
      <c r="D923" s="4"/>
      <c r="E923" s="4"/>
      <c r="F923" s="4"/>
      <c r="G923" s="4"/>
      <c r="H923" s="4"/>
      <c r="I923" s="4"/>
      <c r="J923" s="19"/>
      <c r="K923" s="4"/>
      <c r="L923" s="4"/>
      <c r="M923" s="4"/>
      <c r="N923" s="4"/>
      <c r="O923" s="4"/>
      <c r="P923" s="4"/>
      <c r="Q923" s="4"/>
      <c r="R923" s="4"/>
      <c r="S923" s="4"/>
      <c r="T923" s="4"/>
      <c r="U923" s="4"/>
      <c r="V923" s="4"/>
      <c r="W923" s="4"/>
      <c r="X923" s="4"/>
      <c r="Y923" s="4"/>
      <c r="Z923" s="4"/>
      <c r="AA923" s="4"/>
      <c r="AB923" s="4"/>
      <c r="AC923" s="4"/>
      <c r="AD923" s="4"/>
      <c r="AE923" s="4"/>
      <c r="AF923" s="4"/>
    </row>
    <row r="924" spans="1:32" ht="15.75" customHeight="1">
      <c r="A924" s="4"/>
      <c r="B924" s="4"/>
      <c r="C924" s="4"/>
      <c r="D924" s="4"/>
      <c r="E924" s="4"/>
      <c r="F924" s="4"/>
      <c r="G924" s="4"/>
      <c r="H924" s="4"/>
      <c r="I924" s="4"/>
      <c r="J924" s="19"/>
      <c r="K924" s="4"/>
      <c r="L924" s="4"/>
      <c r="M924" s="4"/>
      <c r="N924" s="4"/>
      <c r="O924" s="4"/>
      <c r="P924" s="4"/>
      <c r="Q924" s="4"/>
      <c r="R924" s="4"/>
      <c r="S924" s="4"/>
      <c r="T924" s="4"/>
      <c r="U924" s="4"/>
      <c r="V924" s="4"/>
      <c r="W924" s="4"/>
      <c r="X924" s="4"/>
      <c r="Y924" s="4"/>
      <c r="Z924" s="4"/>
      <c r="AA924" s="4"/>
      <c r="AB924" s="4"/>
      <c r="AC924" s="4"/>
      <c r="AD924" s="4"/>
      <c r="AE924" s="4"/>
      <c r="AF924" s="4"/>
    </row>
    <row r="925" spans="1:32" ht="15.75" customHeight="1">
      <c r="A925" s="4"/>
      <c r="B925" s="4"/>
      <c r="C925" s="4"/>
      <c r="D925" s="4"/>
      <c r="E925" s="4"/>
      <c r="F925" s="4"/>
      <c r="G925" s="4"/>
      <c r="H925" s="4"/>
      <c r="I925" s="4"/>
      <c r="J925" s="19"/>
      <c r="K925" s="4"/>
      <c r="L925" s="4"/>
      <c r="M925" s="4"/>
      <c r="N925" s="4"/>
      <c r="O925" s="4"/>
      <c r="P925" s="4"/>
      <c r="Q925" s="4"/>
      <c r="R925" s="4"/>
      <c r="S925" s="4"/>
      <c r="T925" s="4"/>
      <c r="U925" s="4"/>
      <c r="V925" s="4"/>
      <c r="W925" s="4"/>
      <c r="X925" s="4"/>
      <c r="Y925" s="4"/>
      <c r="Z925" s="4"/>
      <c r="AA925" s="4"/>
      <c r="AB925" s="4"/>
      <c r="AC925" s="4"/>
      <c r="AD925" s="4"/>
      <c r="AE925" s="4"/>
      <c r="AF925" s="4"/>
    </row>
    <row r="926" spans="1:32" ht="15.75" customHeight="1">
      <c r="A926" s="4"/>
      <c r="B926" s="4"/>
      <c r="C926" s="4"/>
      <c r="D926" s="4"/>
      <c r="E926" s="4"/>
      <c r="F926" s="4"/>
      <c r="G926" s="4"/>
      <c r="H926" s="4"/>
      <c r="I926" s="4"/>
      <c r="J926" s="19"/>
      <c r="K926" s="4"/>
      <c r="L926" s="4"/>
      <c r="M926" s="4"/>
      <c r="N926" s="4"/>
      <c r="O926" s="4"/>
      <c r="P926" s="4"/>
      <c r="Q926" s="4"/>
      <c r="R926" s="4"/>
      <c r="S926" s="4"/>
      <c r="T926" s="4"/>
      <c r="U926" s="4"/>
      <c r="V926" s="4"/>
      <c r="W926" s="4"/>
      <c r="X926" s="4"/>
      <c r="Y926" s="4"/>
      <c r="Z926" s="4"/>
      <c r="AA926" s="4"/>
      <c r="AB926" s="4"/>
      <c r="AC926" s="4"/>
      <c r="AD926" s="4"/>
      <c r="AE926" s="4"/>
      <c r="AF926" s="4"/>
    </row>
    <row r="927" spans="1:32" ht="15.75" customHeight="1">
      <c r="A927" s="4"/>
      <c r="B927" s="4"/>
      <c r="C927" s="4"/>
      <c r="D927" s="4"/>
      <c r="E927" s="4"/>
      <c r="F927" s="4"/>
      <c r="G927" s="4"/>
      <c r="H927" s="4"/>
      <c r="I927" s="4"/>
      <c r="J927" s="19"/>
      <c r="K927" s="4"/>
      <c r="L927" s="4"/>
      <c r="M927" s="4"/>
      <c r="N927" s="4"/>
      <c r="O927" s="4"/>
      <c r="P927" s="4"/>
      <c r="Q927" s="4"/>
      <c r="R927" s="4"/>
      <c r="S927" s="4"/>
      <c r="T927" s="4"/>
      <c r="U927" s="4"/>
      <c r="V927" s="4"/>
      <c r="W927" s="4"/>
      <c r="X927" s="4"/>
      <c r="Y927" s="4"/>
      <c r="Z927" s="4"/>
      <c r="AA927" s="4"/>
      <c r="AB927" s="4"/>
      <c r="AC927" s="4"/>
      <c r="AD927" s="4"/>
      <c r="AE927" s="4"/>
      <c r="AF927" s="4"/>
    </row>
    <row r="928" spans="1:32" ht="15.75" customHeight="1">
      <c r="A928" s="4"/>
      <c r="B928" s="4"/>
      <c r="C928" s="4"/>
      <c r="D928" s="4"/>
      <c r="E928" s="4"/>
      <c r="F928" s="4"/>
      <c r="G928" s="4"/>
      <c r="H928" s="4"/>
      <c r="I928" s="4"/>
      <c r="J928" s="19"/>
      <c r="K928" s="4"/>
      <c r="L928" s="4"/>
      <c r="M928" s="4"/>
      <c r="N928" s="4"/>
      <c r="O928" s="4"/>
      <c r="P928" s="4"/>
      <c r="Q928" s="4"/>
      <c r="R928" s="4"/>
      <c r="S928" s="4"/>
      <c r="T928" s="4"/>
      <c r="U928" s="4"/>
      <c r="V928" s="4"/>
      <c r="W928" s="4"/>
      <c r="X928" s="4"/>
      <c r="Y928" s="4"/>
      <c r="Z928" s="4"/>
      <c r="AA928" s="4"/>
      <c r="AB928" s="4"/>
      <c r="AC928" s="4"/>
      <c r="AD928" s="4"/>
      <c r="AE928" s="4"/>
      <c r="AF928" s="4"/>
    </row>
    <row r="929" spans="1:32" ht="15.75" customHeight="1">
      <c r="A929" s="4"/>
      <c r="B929" s="4"/>
      <c r="C929" s="4"/>
      <c r="D929" s="4"/>
      <c r="E929" s="4"/>
      <c r="F929" s="4"/>
      <c r="G929" s="4"/>
      <c r="H929" s="4"/>
      <c r="I929" s="4"/>
      <c r="J929" s="19"/>
      <c r="K929" s="4"/>
      <c r="L929" s="4"/>
      <c r="M929" s="4"/>
      <c r="N929" s="4"/>
      <c r="O929" s="4"/>
      <c r="P929" s="4"/>
      <c r="Q929" s="4"/>
      <c r="R929" s="4"/>
      <c r="S929" s="4"/>
      <c r="T929" s="4"/>
      <c r="U929" s="4"/>
      <c r="V929" s="4"/>
      <c r="W929" s="4"/>
      <c r="X929" s="4"/>
      <c r="Y929" s="4"/>
      <c r="Z929" s="4"/>
      <c r="AA929" s="4"/>
      <c r="AB929" s="4"/>
      <c r="AC929" s="4"/>
      <c r="AD929" s="4"/>
      <c r="AE929" s="4"/>
      <c r="AF929" s="4"/>
    </row>
    <row r="930" spans="1:32" ht="15.75" customHeight="1">
      <c r="A930" s="4"/>
      <c r="B930" s="4"/>
      <c r="C930" s="4"/>
      <c r="D930" s="4"/>
      <c r="E930" s="4"/>
      <c r="F930" s="4"/>
      <c r="G930" s="4"/>
      <c r="H930" s="4"/>
      <c r="I930" s="4"/>
      <c r="J930" s="19"/>
      <c r="K930" s="4"/>
      <c r="L930" s="4"/>
      <c r="M930" s="4"/>
      <c r="N930" s="4"/>
      <c r="O930" s="4"/>
      <c r="P930" s="4"/>
      <c r="Q930" s="4"/>
      <c r="R930" s="4"/>
      <c r="S930" s="4"/>
      <c r="T930" s="4"/>
      <c r="U930" s="4"/>
      <c r="V930" s="4"/>
      <c r="W930" s="4"/>
      <c r="X930" s="4"/>
      <c r="Y930" s="4"/>
      <c r="Z930" s="4"/>
      <c r="AA930" s="4"/>
      <c r="AB930" s="4"/>
      <c r="AC930" s="4"/>
      <c r="AD930" s="4"/>
      <c r="AE930" s="4"/>
      <c r="AF930" s="4"/>
    </row>
    <row r="931" spans="1:32" ht="15.75" customHeight="1">
      <c r="A931" s="4"/>
      <c r="B931" s="4"/>
      <c r="C931" s="4"/>
      <c r="D931" s="4"/>
      <c r="E931" s="4"/>
      <c r="F931" s="4"/>
      <c r="G931" s="4"/>
      <c r="H931" s="4"/>
      <c r="I931" s="4"/>
      <c r="J931" s="19"/>
      <c r="K931" s="4"/>
      <c r="L931" s="4"/>
      <c r="M931" s="4"/>
      <c r="N931" s="4"/>
      <c r="O931" s="4"/>
      <c r="P931" s="4"/>
      <c r="Q931" s="4"/>
      <c r="R931" s="4"/>
      <c r="S931" s="4"/>
      <c r="T931" s="4"/>
      <c r="U931" s="4"/>
      <c r="V931" s="4"/>
      <c r="W931" s="4"/>
      <c r="X931" s="4"/>
      <c r="Y931" s="4"/>
      <c r="Z931" s="4"/>
      <c r="AA931" s="4"/>
      <c r="AB931" s="4"/>
      <c r="AC931" s="4"/>
      <c r="AD931" s="4"/>
      <c r="AE931" s="4"/>
      <c r="AF931" s="4"/>
    </row>
    <row r="932" spans="1:32" ht="15.75" customHeight="1">
      <c r="A932" s="4"/>
      <c r="B932" s="4"/>
      <c r="C932" s="4"/>
      <c r="D932" s="4"/>
      <c r="E932" s="4"/>
      <c r="F932" s="4"/>
      <c r="G932" s="4"/>
      <c r="H932" s="4"/>
      <c r="I932" s="4"/>
      <c r="J932" s="19"/>
      <c r="K932" s="4"/>
      <c r="L932" s="4"/>
      <c r="M932" s="4"/>
      <c r="N932" s="4"/>
      <c r="O932" s="4"/>
      <c r="P932" s="4"/>
      <c r="Q932" s="4"/>
      <c r="R932" s="4"/>
      <c r="S932" s="4"/>
      <c r="T932" s="4"/>
      <c r="U932" s="4"/>
      <c r="V932" s="4"/>
      <c r="W932" s="4"/>
      <c r="X932" s="4"/>
      <c r="Y932" s="4"/>
      <c r="Z932" s="4"/>
      <c r="AA932" s="4"/>
      <c r="AB932" s="4"/>
      <c r="AC932" s="4"/>
      <c r="AD932" s="4"/>
      <c r="AE932" s="4"/>
      <c r="AF932" s="4"/>
    </row>
    <row r="933" spans="1:32" ht="15.75" customHeight="1">
      <c r="A933" s="4"/>
      <c r="B933" s="4"/>
      <c r="C933" s="4"/>
      <c r="D933" s="4"/>
      <c r="E933" s="4"/>
      <c r="F933" s="4"/>
      <c r="G933" s="4"/>
      <c r="H933" s="4"/>
      <c r="I933" s="4"/>
      <c r="J933" s="19"/>
      <c r="K933" s="4"/>
      <c r="L933" s="4"/>
      <c r="M933" s="4"/>
      <c r="N933" s="4"/>
      <c r="O933" s="4"/>
      <c r="P933" s="4"/>
      <c r="Q933" s="4"/>
      <c r="R933" s="4"/>
      <c r="S933" s="4"/>
      <c r="T933" s="4"/>
      <c r="U933" s="4"/>
      <c r="V933" s="4"/>
      <c r="W933" s="4"/>
      <c r="X933" s="4"/>
      <c r="Y933" s="4"/>
      <c r="Z933" s="4"/>
      <c r="AA933" s="4"/>
      <c r="AB933" s="4"/>
      <c r="AC933" s="4"/>
      <c r="AD933" s="4"/>
      <c r="AE933" s="4"/>
      <c r="AF933" s="4"/>
    </row>
    <row r="934" spans="1:32" ht="15.75" customHeight="1">
      <c r="A934" s="4"/>
      <c r="B934" s="4"/>
      <c r="C934" s="4"/>
      <c r="D934" s="4"/>
      <c r="E934" s="4"/>
      <c r="F934" s="4"/>
      <c r="G934" s="4"/>
      <c r="H934" s="4"/>
      <c r="I934" s="4"/>
      <c r="J934" s="19"/>
      <c r="K934" s="4"/>
      <c r="L934" s="4"/>
      <c r="M934" s="4"/>
      <c r="N934" s="4"/>
      <c r="O934" s="4"/>
      <c r="P934" s="4"/>
      <c r="Q934" s="4"/>
      <c r="R934" s="4"/>
      <c r="S934" s="4"/>
      <c r="T934" s="4"/>
      <c r="U934" s="4"/>
      <c r="V934" s="4"/>
      <c r="W934" s="4"/>
      <c r="X934" s="4"/>
      <c r="Y934" s="4"/>
      <c r="Z934" s="4"/>
      <c r="AA934" s="4"/>
      <c r="AB934" s="4"/>
      <c r="AC934" s="4"/>
      <c r="AD934" s="4"/>
      <c r="AE934" s="4"/>
      <c r="AF934" s="4"/>
    </row>
    <row r="935" spans="1:32" ht="15.75" customHeight="1">
      <c r="A935" s="4"/>
      <c r="B935" s="4"/>
      <c r="C935" s="4"/>
      <c r="D935" s="4"/>
      <c r="E935" s="4"/>
      <c r="F935" s="4"/>
      <c r="G935" s="4"/>
      <c r="H935" s="4"/>
      <c r="I935" s="4"/>
      <c r="J935" s="19"/>
      <c r="K935" s="4"/>
      <c r="L935" s="4"/>
      <c r="M935" s="4"/>
      <c r="N935" s="4"/>
      <c r="O935" s="4"/>
      <c r="P935" s="4"/>
      <c r="Q935" s="4"/>
      <c r="R935" s="4"/>
      <c r="S935" s="4"/>
      <c r="T935" s="4"/>
      <c r="U935" s="4"/>
      <c r="V935" s="4"/>
      <c r="W935" s="4"/>
      <c r="X935" s="4"/>
      <c r="Y935" s="4"/>
      <c r="Z935" s="4"/>
      <c r="AA935" s="4"/>
      <c r="AB935" s="4"/>
      <c r="AC935" s="4"/>
      <c r="AD935" s="4"/>
      <c r="AE935" s="4"/>
      <c r="AF935" s="4"/>
    </row>
    <row r="936" spans="1:32" ht="15.75" customHeight="1">
      <c r="A936" s="4"/>
      <c r="B936" s="4"/>
      <c r="C936" s="4"/>
      <c r="D936" s="4"/>
      <c r="E936" s="4"/>
      <c r="F936" s="4"/>
      <c r="G936" s="4"/>
      <c r="H936" s="4"/>
      <c r="I936" s="4"/>
      <c r="J936" s="19"/>
      <c r="K936" s="4"/>
      <c r="L936" s="4"/>
      <c r="M936" s="4"/>
      <c r="N936" s="4"/>
      <c r="O936" s="4"/>
      <c r="P936" s="4"/>
      <c r="Q936" s="4"/>
      <c r="R936" s="4"/>
      <c r="S936" s="4"/>
      <c r="T936" s="4"/>
      <c r="U936" s="4"/>
      <c r="V936" s="4"/>
      <c r="W936" s="4"/>
      <c r="X936" s="4"/>
      <c r="Y936" s="4"/>
      <c r="Z936" s="4"/>
      <c r="AA936" s="4"/>
      <c r="AB936" s="4"/>
      <c r="AC936" s="4"/>
      <c r="AD936" s="4"/>
      <c r="AE936" s="4"/>
      <c r="AF936" s="4"/>
    </row>
    <row r="937" spans="1:32" ht="15.75" customHeight="1">
      <c r="A937" s="4"/>
      <c r="B937" s="4"/>
      <c r="C937" s="4"/>
      <c r="D937" s="4"/>
      <c r="E937" s="4"/>
      <c r="F937" s="4"/>
      <c r="G937" s="4"/>
      <c r="H937" s="4"/>
      <c r="I937" s="4"/>
      <c r="J937" s="19"/>
      <c r="K937" s="4"/>
      <c r="L937" s="4"/>
      <c r="M937" s="4"/>
      <c r="N937" s="4"/>
      <c r="O937" s="4"/>
      <c r="P937" s="4"/>
      <c r="Q937" s="4"/>
      <c r="R937" s="4"/>
      <c r="S937" s="4"/>
      <c r="T937" s="4"/>
      <c r="U937" s="4"/>
      <c r="V937" s="4"/>
      <c r="W937" s="4"/>
      <c r="X937" s="4"/>
      <c r="Y937" s="4"/>
      <c r="Z937" s="4"/>
      <c r="AA937" s="4"/>
      <c r="AB937" s="4"/>
      <c r="AC937" s="4"/>
      <c r="AD937" s="4"/>
      <c r="AE937" s="4"/>
      <c r="AF937" s="4"/>
    </row>
    <row r="938" spans="1:32" ht="15.75" customHeight="1">
      <c r="A938" s="4"/>
      <c r="B938" s="4"/>
      <c r="C938" s="4"/>
      <c r="D938" s="4"/>
      <c r="E938" s="4"/>
      <c r="F938" s="4"/>
      <c r="G938" s="4"/>
      <c r="H938" s="4"/>
      <c r="I938" s="4"/>
      <c r="J938" s="19"/>
      <c r="K938" s="4"/>
      <c r="L938" s="4"/>
      <c r="M938" s="4"/>
      <c r="N938" s="4"/>
      <c r="O938" s="4"/>
      <c r="P938" s="4"/>
      <c r="Q938" s="4"/>
      <c r="R938" s="4"/>
      <c r="S938" s="4"/>
      <c r="T938" s="4"/>
      <c r="U938" s="4"/>
      <c r="V938" s="4"/>
      <c r="W938" s="4"/>
      <c r="X938" s="4"/>
      <c r="Y938" s="4"/>
      <c r="Z938" s="4"/>
      <c r="AA938" s="4"/>
      <c r="AB938" s="4"/>
      <c r="AC938" s="4"/>
      <c r="AD938" s="4"/>
      <c r="AE938" s="4"/>
      <c r="AF938" s="4"/>
    </row>
    <row r="939" spans="1:32" ht="15.75" customHeight="1">
      <c r="A939" s="4"/>
      <c r="B939" s="4"/>
      <c r="C939" s="4"/>
      <c r="D939" s="4"/>
      <c r="E939" s="4"/>
      <c r="F939" s="4"/>
      <c r="G939" s="4"/>
      <c r="H939" s="4"/>
      <c r="I939" s="4"/>
      <c r="J939" s="19"/>
      <c r="K939" s="4"/>
      <c r="L939" s="4"/>
      <c r="M939" s="4"/>
      <c r="N939" s="4"/>
      <c r="O939" s="4"/>
      <c r="P939" s="4"/>
      <c r="Q939" s="4"/>
      <c r="R939" s="4"/>
      <c r="S939" s="4"/>
      <c r="T939" s="4"/>
      <c r="U939" s="4"/>
      <c r="V939" s="4"/>
      <c r="W939" s="4"/>
      <c r="X939" s="4"/>
      <c r="Y939" s="4"/>
      <c r="Z939" s="4"/>
      <c r="AA939" s="4"/>
      <c r="AB939" s="4"/>
      <c r="AC939" s="4"/>
      <c r="AD939" s="4"/>
      <c r="AE939" s="4"/>
      <c r="AF939" s="4"/>
    </row>
    <row r="940" spans="1:32" ht="15.75" customHeight="1">
      <c r="A940" s="4"/>
      <c r="B940" s="4"/>
      <c r="C940" s="4"/>
      <c r="D940" s="4"/>
      <c r="E940" s="4"/>
      <c r="F940" s="4"/>
      <c r="G940" s="4"/>
      <c r="H940" s="4"/>
      <c r="I940" s="4"/>
      <c r="J940" s="19"/>
      <c r="K940" s="4"/>
      <c r="L940" s="4"/>
      <c r="M940" s="4"/>
      <c r="N940" s="4"/>
      <c r="O940" s="4"/>
      <c r="P940" s="4"/>
      <c r="Q940" s="4"/>
      <c r="R940" s="4"/>
      <c r="S940" s="4"/>
      <c r="T940" s="4"/>
      <c r="U940" s="4"/>
      <c r="V940" s="4"/>
      <c r="W940" s="4"/>
      <c r="X940" s="4"/>
      <c r="Y940" s="4"/>
      <c r="Z940" s="4"/>
      <c r="AA940" s="4"/>
      <c r="AB940" s="4"/>
      <c r="AC940" s="4"/>
      <c r="AD940" s="4"/>
      <c r="AE940" s="4"/>
      <c r="AF940" s="4"/>
    </row>
    <row r="941" spans="1:32" ht="15.75" customHeight="1">
      <c r="A941" s="4"/>
      <c r="B941" s="4"/>
      <c r="C941" s="4"/>
      <c r="D941" s="4"/>
      <c r="E941" s="4"/>
      <c r="F941" s="4"/>
      <c r="G941" s="4"/>
      <c r="H941" s="4"/>
      <c r="I941" s="4"/>
      <c r="J941" s="19"/>
      <c r="K941" s="4"/>
      <c r="L941" s="4"/>
      <c r="M941" s="4"/>
      <c r="N941" s="4"/>
      <c r="O941" s="4"/>
      <c r="P941" s="4"/>
      <c r="Q941" s="4"/>
      <c r="R941" s="4"/>
      <c r="S941" s="4"/>
      <c r="T941" s="4"/>
      <c r="U941" s="4"/>
      <c r="V941" s="4"/>
      <c r="W941" s="4"/>
      <c r="X941" s="4"/>
      <c r="Y941" s="4"/>
      <c r="Z941" s="4"/>
      <c r="AA941" s="4"/>
      <c r="AB941" s="4"/>
      <c r="AC941" s="4"/>
      <c r="AD941" s="4"/>
      <c r="AE941" s="4"/>
      <c r="AF941" s="4"/>
    </row>
    <row r="942" spans="1:32" ht="15.75" customHeight="1">
      <c r="A942" s="4"/>
      <c r="B942" s="4"/>
      <c r="C942" s="4"/>
      <c r="D942" s="4"/>
      <c r="E942" s="4"/>
      <c r="F942" s="4"/>
      <c r="G942" s="4"/>
      <c r="H942" s="4"/>
      <c r="I942" s="4"/>
      <c r="J942" s="19"/>
      <c r="K942" s="4"/>
      <c r="L942" s="4"/>
      <c r="M942" s="4"/>
      <c r="N942" s="4"/>
      <c r="O942" s="4"/>
      <c r="P942" s="4"/>
      <c r="Q942" s="4"/>
      <c r="R942" s="4"/>
      <c r="S942" s="4"/>
      <c r="T942" s="4"/>
      <c r="U942" s="4"/>
      <c r="V942" s="4"/>
      <c r="W942" s="4"/>
      <c r="X942" s="4"/>
      <c r="Y942" s="4"/>
      <c r="Z942" s="4"/>
      <c r="AA942" s="4"/>
      <c r="AB942" s="4"/>
      <c r="AC942" s="4"/>
      <c r="AD942" s="4"/>
      <c r="AE942" s="4"/>
      <c r="AF942" s="4"/>
    </row>
    <row r="943" spans="1:32" ht="15.75" customHeight="1">
      <c r="A943" s="4"/>
      <c r="B943" s="4"/>
      <c r="C943" s="4"/>
      <c r="D943" s="4"/>
      <c r="E943" s="4"/>
      <c r="F943" s="4"/>
      <c r="G943" s="4"/>
      <c r="H943" s="4"/>
      <c r="I943" s="4"/>
      <c r="J943" s="19"/>
      <c r="K943" s="4"/>
      <c r="L943" s="4"/>
      <c r="M943" s="4"/>
      <c r="N943" s="4"/>
      <c r="O943" s="4"/>
      <c r="P943" s="4"/>
      <c r="Q943" s="4"/>
      <c r="R943" s="4"/>
      <c r="S943" s="4"/>
      <c r="T943" s="4"/>
      <c r="U943" s="4"/>
      <c r="V943" s="4"/>
      <c r="W943" s="4"/>
      <c r="X943" s="4"/>
      <c r="Y943" s="4"/>
      <c r="Z943" s="4"/>
      <c r="AA943" s="4"/>
      <c r="AB943" s="4"/>
      <c r="AC943" s="4"/>
      <c r="AD943" s="4"/>
      <c r="AE943" s="4"/>
      <c r="AF943" s="4"/>
    </row>
    <row r="944" spans="1:32" ht="15.75" customHeight="1">
      <c r="A944" s="4"/>
      <c r="B944" s="4"/>
      <c r="C944" s="4"/>
      <c r="D944" s="4"/>
      <c r="E944" s="4"/>
      <c r="F944" s="4"/>
      <c r="G944" s="4"/>
      <c r="H944" s="4"/>
      <c r="I944" s="4"/>
      <c r="J944" s="19"/>
      <c r="K944" s="4"/>
      <c r="L944" s="4"/>
      <c r="M944" s="4"/>
      <c r="N944" s="4"/>
      <c r="O944" s="4"/>
      <c r="P944" s="4"/>
      <c r="Q944" s="4"/>
      <c r="R944" s="4"/>
      <c r="S944" s="4"/>
      <c r="T944" s="4"/>
      <c r="U944" s="4"/>
      <c r="V944" s="4"/>
      <c r="W944" s="4"/>
      <c r="X944" s="4"/>
      <c r="Y944" s="4"/>
      <c r="Z944" s="4"/>
      <c r="AA944" s="4"/>
      <c r="AB944" s="4"/>
      <c r="AC944" s="4"/>
      <c r="AD944" s="4"/>
      <c r="AE944" s="4"/>
      <c r="AF944" s="4"/>
    </row>
    <row r="945" spans="1:32" ht="15.75" customHeight="1">
      <c r="A945" s="4"/>
      <c r="B945" s="4"/>
      <c r="C945" s="4"/>
      <c r="D945" s="4"/>
      <c r="E945" s="4"/>
      <c r="F945" s="4"/>
      <c r="G945" s="4"/>
      <c r="H945" s="4"/>
      <c r="I945" s="4"/>
      <c r="J945" s="19"/>
      <c r="K945" s="4"/>
      <c r="L945" s="4"/>
      <c r="M945" s="4"/>
      <c r="N945" s="4"/>
      <c r="O945" s="4"/>
      <c r="P945" s="4"/>
      <c r="Q945" s="4"/>
      <c r="R945" s="4"/>
      <c r="S945" s="4"/>
      <c r="T945" s="4"/>
      <c r="U945" s="4"/>
      <c r="V945" s="4"/>
      <c r="W945" s="4"/>
      <c r="X945" s="4"/>
      <c r="Y945" s="4"/>
      <c r="Z945" s="4"/>
      <c r="AA945" s="4"/>
      <c r="AB945" s="4"/>
      <c r="AC945" s="4"/>
      <c r="AD945" s="4"/>
      <c r="AE945" s="4"/>
      <c r="AF945" s="4"/>
    </row>
    <row r="946" spans="1:32" ht="15.75" customHeight="1">
      <c r="A946" s="4"/>
      <c r="B946" s="4"/>
      <c r="C946" s="4"/>
      <c r="D946" s="4"/>
      <c r="E946" s="4"/>
      <c r="F946" s="4"/>
      <c r="G946" s="4"/>
      <c r="H946" s="4"/>
      <c r="I946" s="4"/>
      <c r="J946" s="19"/>
      <c r="K946" s="4"/>
      <c r="L946" s="4"/>
      <c r="M946" s="4"/>
      <c r="N946" s="4"/>
      <c r="O946" s="4"/>
      <c r="P946" s="4"/>
      <c r="Q946" s="4"/>
      <c r="R946" s="4"/>
      <c r="S946" s="4"/>
      <c r="T946" s="4"/>
      <c r="U946" s="4"/>
      <c r="V946" s="4"/>
      <c r="W946" s="4"/>
      <c r="X946" s="4"/>
      <c r="Y946" s="4"/>
      <c r="Z946" s="4"/>
      <c r="AA946" s="4"/>
      <c r="AB946" s="4"/>
      <c r="AC946" s="4"/>
      <c r="AD946" s="4"/>
      <c r="AE946" s="4"/>
      <c r="AF946" s="4"/>
    </row>
    <row r="947" spans="1:32" ht="15.75" customHeight="1">
      <c r="A947" s="4"/>
      <c r="B947" s="4"/>
      <c r="C947" s="4"/>
      <c r="D947" s="4"/>
      <c r="E947" s="4"/>
      <c r="F947" s="4"/>
      <c r="G947" s="4"/>
      <c r="H947" s="4"/>
      <c r="I947" s="4"/>
      <c r="J947" s="19"/>
      <c r="K947" s="4"/>
      <c r="L947" s="4"/>
      <c r="M947" s="4"/>
      <c r="N947" s="4"/>
      <c r="O947" s="4"/>
      <c r="P947" s="4"/>
      <c r="Q947" s="4"/>
      <c r="R947" s="4"/>
      <c r="S947" s="4"/>
      <c r="T947" s="4"/>
      <c r="U947" s="4"/>
      <c r="V947" s="4"/>
      <c r="W947" s="4"/>
      <c r="X947" s="4"/>
      <c r="Y947" s="4"/>
      <c r="Z947" s="4"/>
      <c r="AA947" s="4"/>
      <c r="AB947" s="4"/>
      <c r="AC947" s="4"/>
      <c r="AD947" s="4"/>
      <c r="AE947" s="4"/>
      <c r="AF947" s="4"/>
    </row>
    <row r="948" spans="1:32" ht="15.75" customHeight="1">
      <c r="A948" s="4"/>
      <c r="B948" s="4"/>
      <c r="C948" s="4"/>
      <c r="D948" s="4"/>
      <c r="E948" s="4"/>
      <c r="F948" s="4"/>
      <c r="G948" s="4"/>
      <c r="H948" s="4"/>
      <c r="I948" s="4"/>
      <c r="J948" s="19"/>
      <c r="K948" s="4"/>
      <c r="L948" s="4"/>
      <c r="M948" s="4"/>
      <c r="N948" s="4"/>
      <c r="O948" s="4"/>
      <c r="P948" s="4"/>
      <c r="Q948" s="4"/>
      <c r="R948" s="4"/>
      <c r="S948" s="4"/>
      <c r="T948" s="4"/>
      <c r="U948" s="4"/>
      <c r="V948" s="4"/>
      <c r="W948" s="4"/>
      <c r="X948" s="4"/>
      <c r="Y948" s="4"/>
      <c r="Z948" s="4"/>
      <c r="AA948" s="4"/>
      <c r="AB948" s="4"/>
      <c r="AC948" s="4"/>
      <c r="AD948" s="4"/>
      <c r="AE948" s="4"/>
      <c r="AF948" s="4"/>
    </row>
    <row r="949" spans="1:32" ht="15.75" customHeight="1">
      <c r="A949" s="4"/>
      <c r="B949" s="4"/>
      <c r="C949" s="4"/>
      <c r="D949" s="4"/>
      <c r="E949" s="4"/>
      <c r="F949" s="4"/>
      <c r="G949" s="4"/>
      <c r="H949" s="4"/>
      <c r="I949" s="4"/>
      <c r="J949" s="19"/>
      <c r="K949" s="4"/>
      <c r="L949" s="4"/>
      <c r="M949" s="4"/>
      <c r="N949" s="4"/>
      <c r="O949" s="4"/>
      <c r="P949" s="4"/>
      <c r="Q949" s="4"/>
      <c r="R949" s="4"/>
      <c r="S949" s="4"/>
      <c r="T949" s="4"/>
      <c r="U949" s="4"/>
      <c r="V949" s="4"/>
      <c r="W949" s="4"/>
      <c r="X949" s="4"/>
      <c r="Y949" s="4"/>
      <c r="Z949" s="4"/>
      <c r="AA949" s="4"/>
      <c r="AB949" s="4"/>
      <c r="AC949" s="4"/>
      <c r="AD949" s="4"/>
      <c r="AE949" s="4"/>
      <c r="AF949" s="4"/>
    </row>
    <row r="950" spans="1:32" ht="15.75" customHeight="1">
      <c r="A950" s="4"/>
      <c r="B950" s="4"/>
      <c r="C950" s="4"/>
      <c r="D950" s="4"/>
      <c r="E950" s="4"/>
      <c r="F950" s="4"/>
      <c r="G950" s="4"/>
      <c r="H950" s="4"/>
      <c r="I950" s="4"/>
      <c r="J950" s="19"/>
      <c r="K950" s="4"/>
      <c r="L950" s="4"/>
      <c r="M950" s="4"/>
      <c r="N950" s="4"/>
      <c r="O950" s="4"/>
      <c r="P950" s="4"/>
      <c r="Q950" s="4"/>
      <c r="R950" s="4"/>
      <c r="S950" s="4"/>
      <c r="T950" s="4"/>
      <c r="U950" s="4"/>
      <c r="V950" s="4"/>
      <c r="W950" s="4"/>
      <c r="X950" s="4"/>
      <c r="Y950" s="4"/>
      <c r="Z950" s="4"/>
      <c r="AA950" s="4"/>
      <c r="AB950" s="4"/>
      <c r="AC950" s="4"/>
      <c r="AD950" s="4"/>
      <c r="AE950" s="4"/>
      <c r="AF950" s="4"/>
    </row>
    <row r="951" spans="1:32" ht="15.75" customHeight="1">
      <c r="A951" s="4"/>
      <c r="B951" s="4"/>
      <c r="C951" s="4"/>
      <c r="D951" s="4"/>
      <c r="E951" s="4"/>
      <c r="F951" s="4"/>
      <c r="G951" s="4"/>
      <c r="H951" s="4"/>
      <c r="I951" s="4"/>
      <c r="J951" s="19"/>
      <c r="K951" s="4"/>
      <c r="L951" s="4"/>
      <c r="M951" s="4"/>
      <c r="N951" s="4"/>
      <c r="O951" s="4"/>
      <c r="P951" s="4"/>
      <c r="Q951" s="4"/>
      <c r="R951" s="4"/>
      <c r="S951" s="4"/>
      <c r="T951" s="4"/>
      <c r="U951" s="4"/>
      <c r="V951" s="4"/>
      <c r="W951" s="4"/>
      <c r="X951" s="4"/>
      <c r="Y951" s="4"/>
      <c r="Z951" s="4"/>
      <c r="AA951" s="4"/>
      <c r="AB951" s="4"/>
      <c r="AC951" s="4"/>
      <c r="AD951" s="4"/>
      <c r="AE951" s="4"/>
      <c r="AF951" s="4"/>
    </row>
    <row r="952" spans="1:32" ht="15.75" customHeight="1">
      <c r="A952" s="4"/>
      <c r="B952" s="4"/>
      <c r="C952" s="4"/>
      <c r="D952" s="4"/>
      <c r="E952" s="4"/>
      <c r="F952" s="4"/>
      <c r="G952" s="4"/>
      <c r="H952" s="4"/>
      <c r="I952" s="4"/>
      <c r="J952" s="19"/>
      <c r="K952" s="4"/>
      <c r="L952" s="4"/>
      <c r="M952" s="4"/>
      <c r="N952" s="4"/>
      <c r="O952" s="4"/>
      <c r="P952" s="4"/>
      <c r="Q952" s="4"/>
      <c r="R952" s="4"/>
      <c r="S952" s="4"/>
      <c r="T952" s="4"/>
      <c r="U952" s="4"/>
      <c r="V952" s="4"/>
      <c r="W952" s="4"/>
      <c r="X952" s="4"/>
      <c r="Y952" s="4"/>
      <c r="Z952" s="4"/>
      <c r="AA952" s="4"/>
      <c r="AB952" s="4"/>
      <c r="AC952" s="4"/>
      <c r="AD952" s="4"/>
      <c r="AE952" s="4"/>
      <c r="AF952" s="4"/>
    </row>
    <row r="953" spans="1:32" ht="15.75" customHeight="1">
      <c r="A953" s="4"/>
      <c r="B953" s="4"/>
      <c r="C953" s="4"/>
      <c r="D953" s="4"/>
      <c r="E953" s="4"/>
      <c r="F953" s="4"/>
      <c r="G953" s="4"/>
      <c r="H953" s="4"/>
      <c r="I953" s="4"/>
      <c r="J953" s="19"/>
      <c r="K953" s="4"/>
      <c r="L953" s="4"/>
      <c r="M953" s="4"/>
      <c r="N953" s="4"/>
      <c r="O953" s="4"/>
      <c r="P953" s="4"/>
      <c r="Q953" s="4"/>
      <c r="R953" s="4"/>
      <c r="S953" s="4"/>
      <c r="T953" s="4"/>
      <c r="U953" s="4"/>
      <c r="V953" s="4"/>
      <c r="W953" s="4"/>
      <c r="X953" s="4"/>
      <c r="Y953" s="4"/>
      <c r="Z953" s="4"/>
      <c r="AA953" s="4"/>
      <c r="AB953" s="4"/>
      <c r="AC953" s="4"/>
      <c r="AD953" s="4"/>
      <c r="AE953" s="4"/>
      <c r="AF953" s="4"/>
    </row>
    <row r="954" spans="1:32" ht="15.75" customHeight="1">
      <c r="A954" s="4"/>
      <c r="B954" s="4"/>
      <c r="C954" s="4"/>
      <c r="D954" s="4"/>
      <c r="E954" s="4"/>
      <c r="F954" s="4"/>
      <c r="G954" s="4"/>
      <c r="H954" s="4"/>
      <c r="I954" s="4"/>
      <c r="J954" s="19"/>
      <c r="K954" s="4"/>
      <c r="L954" s="4"/>
      <c r="M954" s="4"/>
      <c r="N954" s="4"/>
      <c r="O954" s="4"/>
      <c r="P954" s="4"/>
      <c r="Q954" s="4"/>
      <c r="R954" s="4"/>
      <c r="S954" s="4"/>
      <c r="T954" s="4"/>
      <c r="U954" s="4"/>
      <c r="V954" s="4"/>
      <c r="W954" s="4"/>
      <c r="X954" s="4"/>
      <c r="Y954" s="4"/>
      <c r="Z954" s="4"/>
      <c r="AA954" s="4"/>
      <c r="AB954" s="4"/>
      <c r="AC954" s="4"/>
      <c r="AD954" s="4"/>
      <c r="AE954" s="4"/>
      <c r="AF954" s="4"/>
    </row>
    <row r="955" spans="1:32" ht="15.75" customHeight="1">
      <c r="A955" s="4"/>
      <c r="B955" s="4"/>
      <c r="C955" s="4"/>
      <c r="D955" s="4"/>
      <c r="E955" s="4"/>
      <c r="F955" s="4"/>
      <c r="G955" s="4"/>
      <c r="H955" s="4"/>
      <c r="I955" s="4"/>
      <c r="J955" s="19"/>
      <c r="K955" s="4"/>
      <c r="L955" s="4"/>
      <c r="M955" s="4"/>
      <c r="N955" s="4"/>
      <c r="O955" s="4"/>
      <c r="P955" s="4"/>
      <c r="Q955" s="4"/>
      <c r="R955" s="4"/>
      <c r="S955" s="4"/>
      <c r="T955" s="4"/>
      <c r="U955" s="4"/>
      <c r="V955" s="4"/>
      <c r="W955" s="4"/>
      <c r="X955" s="4"/>
      <c r="Y955" s="4"/>
      <c r="Z955" s="4"/>
      <c r="AA955" s="4"/>
      <c r="AB955" s="4"/>
      <c r="AC955" s="4"/>
      <c r="AD955" s="4"/>
      <c r="AE955" s="4"/>
      <c r="AF955" s="4"/>
    </row>
    <row r="956" spans="1:32" ht="15.75" customHeight="1">
      <c r="A956" s="4"/>
      <c r="B956" s="4"/>
      <c r="C956" s="4"/>
      <c r="D956" s="4"/>
      <c r="E956" s="4"/>
      <c r="F956" s="4"/>
      <c r="G956" s="4"/>
      <c r="H956" s="4"/>
      <c r="I956" s="4"/>
      <c r="J956" s="19"/>
      <c r="K956" s="4"/>
      <c r="L956" s="4"/>
      <c r="M956" s="4"/>
      <c r="N956" s="4"/>
      <c r="O956" s="4"/>
      <c r="P956" s="4"/>
      <c r="Q956" s="4"/>
      <c r="R956" s="4"/>
      <c r="S956" s="4"/>
      <c r="T956" s="4"/>
      <c r="U956" s="4"/>
      <c r="V956" s="4"/>
      <c r="W956" s="4"/>
      <c r="X956" s="4"/>
      <c r="Y956" s="4"/>
      <c r="Z956" s="4"/>
      <c r="AA956" s="4"/>
      <c r="AB956" s="4"/>
      <c r="AC956" s="4"/>
      <c r="AD956" s="4"/>
      <c r="AE956" s="4"/>
      <c r="AF956" s="4"/>
    </row>
    <row r="957" spans="1:32" ht="15.75" customHeight="1">
      <c r="A957" s="4"/>
      <c r="B957" s="4"/>
      <c r="C957" s="4"/>
      <c r="D957" s="4"/>
      <c r="E957" s="4"/>
      <c r="F957" s="4"/>
      <c r="G957" s="4"/>
      <c r="H957" s="4"/>
      <c r="I957" s="4"/>
      <c r="J957" s="19"/>
      <c r="K957" s="4"/>
      <c r="L957" s="4"/>
      <c r="M957" s="4"/>
      <c r="N957" s="4"/>
      <c r="O957" s="4"/>
      <c r="P957" s="4"/>
      <c r="Q957" s="4"/>
      <c r="R957" s="4"/>
      <c r="S957" s="4"/>
      <c r="T957" s="4"/>
      <c r="U957" s="4"/>
      <c r="V957" s="4"/>
      <c r="W957" s="4"/>
      <c r="X957" s="4"/>
      <c r="Y957" s="4"/>
      <c r="Z957" s="4"/>
      <c r="AA957" s="4"/>
      <c r="AB957" s="4"/>
      <c r="AC957" s="4"/>
      <c r="AD957" s="4"/>
      <c r="AE957" s="4"/>
      <c r="AF957" s="4"/>
    </row>
    <row r="958" spans="1:32" ht="15.75" customHeight="1">
      <c r="A958" s="4"/>
      <c r="B958" s="4"/>
      <c r="C958" s="4"/>
      <c r="D958" s="4"/>
      <c r="E958" s="4"/>
      <c r="F958" s="4"/>
      <c r="G958" s="4"/>
      <c r="H958" s="4"/>
      <c r="I958" s="4"/>
      <c r="J958" s="19"/>
      <c r="K958" s="4"/>
      <c r="L958" s="4"/>
      <c r="M958" s="4"/>
      <c r="N958" s="4"/>
      <c r="O958" s="4"/>
      <c r="P958" s="4"/>
      <c r="Q958" s="4"/>
      <c r="R958" s="4"/>
      <c r="S958" s="4"/>
      <c r="T958" s="4"/>
      <c r="U958" s="4"/>
      <c r="V958" s="4"/>
      <c r="W958" s="4"/>
      <c r="X958" s="4"/>
      <c r="Y958" s="4"/>
      <c r="Z958" s="4"/>
      <c r="AA958" s="4"/>
      <c r="AB958" s="4"/>
      <c r="AC958" s="4"/>
      <c r="AD958" s="4"/>
      <c r="AE958" s="4"/>
      <c r="AF958" s="4"/>
    </row>
    <row r="959" spans="1:32" ht="15.75" customHeight="1">
      <c r="A959" s="4"/>
      <c r="B959" s="4"/>
      <c r="C959" s="4"/>
      <c r="D959" s="4"/>
      <c r="E959" s="4"/>
      <c r="F959" s="4"/>
      <c r="G959" s="4"/>
      <c r="H959" s="4"/>
      <c r="I959" s="4"/>
      <c r="J959" s="19"/>
      <c r="K959" s="4"/>
      <c r="L959" s="4"/>
      <c r="M959" s="4"/>
      <c r="N959" s="4"/>
      <c r="O959" s="4"/>
      <c r="P959" s="4"/>
      <c r="Q959" s="4"/>
      <c r="R959" s="4"/>
      <c r="S959" s="4"/>
      <c r="T959" s="4"/>
      <c r="U959" s="4"/>
      <c r="V959" s="4"/>
      <c r="W959" s="4"/>
      <c r="X959" s="4"/>
      <c r="Y959" s="4"/>
      <c r="Z959" s="4"/>
      <c r="AA959" s="4"/>
      <c r="AB959" s="4"/>
      <c r="AC959" s="4"/>
      <c r="AD959" s="4"/>
      <c r="AE959" s="4"/>
      <c r="AF959" s="4"/>
    </row>
    <row r="960" spans="1:32" ht="15.75" customHeight="1">
      <c r="A960" s="4"/>
      <c r="B960" s="4"/>
      <c r="C960" s="4"/>
      <c r="D960" s="4"/>
      <c r="E960" s="4"/>
      <c r="F960" s="4"/>
      <c r="G960" s="4"/>
      <c r="H960" s="4"/>
      <c r="I960" s="4"/>
      <c r="J960" s="19"/>
      <c r="K960" s="4"/>
      <c r="L960" s="4"/>
      <c r="M960" s="4"/>
      <c r="N960" s="4"/>
      <c r="O960" s="4"/>
      <c r="P960" s="4"/>
      <c r="Q960" s="4"/>
      <c r="R960" s="4"/>
      <c r="S960" s="4"/>
      <c r="T960" s="4"/>
      <c r="U960" s="4"/>
      <c r="V960" s="4"/>
      <c r="W960" s="4"/>
      <c r="X960" s="4"/>
      <c r="Y960" s="4"/>
      <c r="Z960" s="4"/>
      <c r="AA960" s="4"/>
      <c r="AB960" s="4"/>
      <c r="AC960" s="4"/>
      <c r="AD960" s="4"/>
      <c r="AE960" s="4"/>
      <c r="AF960" s="4"/>
    </row>
    <row r="961" spans="1:32" ht="15.75" customHeight="1">
      <c r="A961" s="4"/>
      <c r="B961" s="4"/>
      <c r="C961" s="4"/>
      <c r="D961" s="4"/>
      <c r="E961" s="4"/>
      <c r="F961" s="4"/>
      <c r="G961" s="4"/>
      <c r="H961" s="4"/>
      <c r="I961" s="4"/>
      <c r="J961" s="19"/>
      <c r="K961" s="4"/>
      <c r="L961" s="4"/>
      <c r="M961" s="4"/>
      <c r="N961" s="4"/>
      <c r="O961" s="4"/>
      <c r="P961" s="4"/>
      <c r="Q961" s="4"/>
      <c r="R961" s="4"/>
      <c r="S961" s="4"/>
      <c r="T961" s="4"/>
      <c r="U961" s="4"/>
      <c r="V961" s="4"/>
      <c r="W961" s="4"/>
      <c r="X961" s="4"/>
      <c r="Y961" s="4"/>
      <c r="Z961" s="4"/>
      <c r="AA961" s="4"/>
      <c r="AB961" s="4"/>
      <c r="AC961" s="4"/>
      <c r="AD961" s="4"/>
      <c r="AE961" s="4"/>
      <c r="AF961" s="4"/>
    </row>
    <row r="962" spans="1:32" ht="15.75" customHeight="1">
      <c r="A962" s="4"/>
      <c r="B962" s="4"/>
      <c r="C962" s="4"/>
      <c r="D962" s="4"/>
      <c r="E962" s="4"/>
      <c r="F962" s="4"/>
      <c r="G962" s="4"/>
      <c r="H962" s="4"/>
      <c r="I962" s="4"/>
      <c r="J962" s="19"/>
      <c r="K962" s="4"/>
      <c r="L962" s="4"/>
      <c r="M962" s="4"/>
      <c r="N962" s="4"/>
      <c r="O962" s="4"/>
      <c r="P962" s="4"/>
      <c r="Q962" s="4"/>
      <c r="R962" s="4"/>
      <c r="S962" s="4"/>
      <c r="T962" s="4"/>
      <c r="U962" s="4"/>
      <c r="V962" s="4"/>
      <c r="W962" s="4"/>
      <c r="X962" s="4"/>
      <c r="Y962" s="4"/>
      <c r="Z962" s="4"/>
      <c r="AA962" s="4"/>
      <c r="AB962" s="4"/>
      <c r="AC962" s="4"/>
      <c r="AD962" s="4"/>
      <c r="AE962" s="4"/>
      <c r="AF962" s="4"/>
    </row>
    <row r="963" spans="1:32" ht="15.75" customHeight="1">
      <c r="A963" s="4"/>
      <c r="B963" s="4"/>
      <c r="C963" s="4"/>
      <c r="D963" s="4"/>
      <c r="E963" s="4"/>
      <c r="F963" s="4"/>
      <c r="G963" s="4"/>
      <c r="H963" s="4"/>
      <c r="I963" s="4"/>
      <c r="J963" s="19"/>
      <c r="K963" s="4"/>
      <c r="L963" s="4"/>
      <c r="M963" s="4"/>
      <c r="N963" s="4"/>
      <c r="O963" s="4"/>
      <c r="P963" s="4"/>
      <c r="Q963" s="4"/>
      <c r="R963" s="4"/>
      <c r="S963" s="4"/>
      <c r="T963" s="4"/>
      <c r="U963" s="4"/>
      <c r="V963" s="4"/>
      <c r="W963" s="4"/>
      <c r="X963" s="4"/>
      <c r="Y963" s="4"/>
      <c r="Z963" s="4"/>
      <c r="AA963" s="4"/>
      <c r="AB963" s="4"/>
      <c r="AC963" s="4"/>
      <c r="AD963" s="4"/>
      <c r="AE963" s="4"/>
      <c r="AF963" s="4"/>
    </row>
    <row r="964" spans="1:32" ht="15.75" customHeight="1">
      <c r="A964" s="4"/>
      <c r="B964" s="4"/>
      <c r="C964" s="4"/>
      <c r="D964" s="4"/>
      <c r="E964" s="4"/>
      <c r="F964" s="4"/>
      <c r="G964" s="4"/>
      <c r="H964" s="4"/>
      <c r="I964" s="4"/>
      <c r="J964" s="19"/>
      <c r="K964" s="4"/>
      <c r="L964" s="4"/>
      <c r="M964" s="4"/>
      <c r="N964" s="4"/>
      <c r="O964" s="4"/>
      <c r="P964" s="4"/>
      <c r="Q964" s="4"/>
      <c r="R964" s="4"/>
      <c r="S964" s="4"/>
      <c r="T964" s="4"/>
      <c r="U964" s="4"/>
      <c r="V964" s="4"/>
      <c r="W964" s="4"/>
      <c r="X964" s="4"/>
      <c r="Y964" s="4"/>
      <c r="Z964" s="4"/>
      <c r="AA964" s="4"/>
      <c r="AB964" s="4"/>
      <c r="AC964" s="4"/>
      <c r="AD964" s="4"/>
      <c r="AE964" s="4"/>
      <c r="AF964" s="4"/>
    </row>
    <row r="965" spans="1:32" ht="15.75" customHeight="1">
      <c r="A965" s="4"/>
      <c r="B965" s="4"/>
      <c r="C965" s="4"/>
      <c r="D965" s="4"/>
      <c r="E965" s="4"/>
      <c r="F965" s="4"/>
      <c r="G965" s="4"/>
      <c r="H965" s="4"/>
      <c r="I965" s="4"/>
      <c r="J965" s="19"/>
      <c r="K965" s="4"/>
      <c r="L965" s="4"/>
      <c r="M965" s="4"/>
      <c r="N965" s="4"/>
      <c r="O965" s="4"/>
      <c r="P965" s="4"/>
      <c r="Q965" s="4"/>
      <c r="R965" s="4"/>
      <c r="S965" s="4"/>
      <c r="T965" s="4"/>
      <c r="U965" s="4"/>
      <c r="V965" s="4"/>
      <c r="W965" s="4"/>
      <c r="X965" s="4"/>
      <c r="Y965" s="4"/>
      <c r="Z965" s="4"/>
      <c r="AA965" s="4"/>
      <c r="AB965" s="4"/>
      <c r="AC965" s="4"/>
      <c r="AD965" s="4"/>
      <c r="AE965" s="4"/>
      <c r="AF965" s="4"/>
    </row>
    <row r="966" spans="1:32" ht="15.75" customHeight="1">
      <c r="A966" s="4"/>
      <c r="B966" s="4"/>
      <c r="C966" s="4"/>
      <c r="D966" s="4"/>
      <c r="E966" s="4"/>
      <c r="F966" s="4"/>
      <c r="G966" s="4"/>
      <c r="H966" s="4"/>
      <c r="I966" s="4"/>
      <c r="J966" s="19"/>
      <c r="K966" s="4"/>
      <c r="L966" s="4"/>
      <c r="M966" s="4"/>
      <c r="N966" s="4"/>
      <c r="O966" s="4"/>
      <c r="P966" s="4"/>
      <c r="Q966" s="4"/>
      <c r="R966" s="4"/>
      <c r="S966" s="4"/>
      <c r="T966" s="4"/>
      <c r="U966" s="4"/>
      <c r="V966" s="4"/>
      <c r="W966" s="4"/>
      <c r="X966" s="4"/>
      <c r="Y966" s="4"/>
      <c r="Z966" s="4"/>
      <c r="AA966" s="4"/>
      <c r="AB966" s="4"/>
      <c r="AC966" s="4"/>
      <c r="AD966" s="4"/>
      <c r="AE966" s="4"/>
      <c r="AF966" s="4"/>
    </row>
    <row r="967" spans="1:32" ht="15.75" customHeight="1">
      <c r="A967" s="4"/>
      <c r="B967" s="4"/>
      <c r="C967" s="4"/>
      <c r="D967" s="4"/>
      <c r="E967" s="4"/>
      <c r="F967" s="4"/>
      <c r="G967" s="4"/>
      <c r="H967" s="4"/>
      <c r="I967" s="4"/>
      <c r="J967" s="19"/>
      <c r="K967" s="4"/>
      <c r="L967" s="4"/>
      <c r="M967" s="4"/>
      <c r="N967" s="4"/>
      <c r="O967" s="4"/>
      <c r="P967" s="4"/>
      <c r="Q967" s="4"/>
      <c r="R967" s="4"/>
      <c r="S967" s="4"/>
      <c r="T967" s="4"/>
      <c r="U967" s="4"/>
      <c r="V967" s="4"/>
      <c r="W967" s="4"/>
      <c r="X967" s="4"/>
      <c r="Y967" s="4"/>
      <c r="Z967" s="4"/>
      <c r="AA967" s="4"/>
      <c r="AB967" s="4"/>
      <c r="AC967" s="4"/>
      <c r="AD967" s="4"/>
      <c r="AE967" s="4"/>
      <c r="AF967" s="4"/>
    </row>
    <row r="968" spans="1:32" ht="15.75" customHeight="1">
      <c r="A968" s="4"/>
      <c r="B968" s="4"/>
      <c r="C968" s="4"/>
      <c r="D968" s="4"/>
      <c r="E968" s="4"/>
      <c r="F968" s="4"/>
      <c r="G968" s="4"/>
      <c r="H968" s="4"/>
      <c r="I968" s="4"/>
      <c r="J968" s="19"/>
      <c r="K968" s="4"/>
      <c r="L968" s="4"/>
      <c r="M968" s="4"/>
      <c r="N968" s="4"/>
      <c r="O968" s="4"/>
      <c r="P968" s="4"/>
      <c r="Q968" s="4"/>
      <c r="R968" s="4"/>
      <c r="S968" s="4"/>
      <c r="T968" s="4"/>
      <c r="U968" s="4"/>
      <c r="V968" s="4"/>
      <c r="W968" s="4"/>
      <c r="X968" s="4"/>
      <c r="Y968" s="4"/>
      <c r="Z968" s="4"/>
      <c r="AA968" s="4"/>
      <c r="AB968" s="4"/>
      <c r="AC968" s="4"/>
      <c r="AD968" s="4"/>
      <c r="AE968" s="4"/>
      <c r="AF968" s="4"/>
    </row>
    <row r="969" spans="1:32" ht="15.75" customHeight="1">
      <c r="A969" s="4"/>
      <c r="B969" s="4"/>
      <c r="C969" s="4"/>
      <c r="D969" s="4"/>
      <c r="E969" s="4"/>
      <c r="F969" s="4"/>
      <c r="G969" s="4"/>
      <c r="H969" s="4"/>
      <c r="I969" s="4"/>
      <c r="J969" s="19"/>
      <c r="K969" s="4"/>
      <c r="L969" s="4"/>
      <c r="M969" s="4"/>
      <c r="N969" s="4"/>
      <c r="O969" s="4"/>
      <c r="P969" s="4"/>
      <c r="Q969" s="4"/>
      <c r="R969" s="4"/>
      <c r="S969" s="4"/>
      <c r="T969" s="4"/>
      <c r="U969" s="4"/>
      <c r="V969" s="4"/>
      <c r="W969" s="4"/>
      <c r="X969" s="4"/>
      <c r="Y969" s="4"/>
      <c r="Z969" s="4"/>
      <c r="AA969" s="4"/>
      <c r="AB969" s="4"/>
      <c r="AC969" s="4"/>
      <c r="AD969" s="4"/>
      <c r="AE969" s="4"/>
      <c r="AF969" s="4"/>
    </row>
    <row r="970" spans="1:32" ht="15.75" customHeight="1">
      <c r="A970" s="4"/>
      <c r="B970" s="4"/>
      <c r="C970" s="4"/>
      <c r="D970" s="4"/>
      <c r="E970" s="4"/>
      <c r="F970" s="4"/>
      <c r="G970" s="4"/>
      <c r="H970" s="4"/>
      <c r="I970" s="4"/>
      <c r="J970" s="19"/>
      <c r="K970" s="4"/>
      <c r="L970" s="4"/>
      <c r="M970" s="4"/>
      <c r="N970" s="4"/>
      <c r="O970" s="4"/>
      <c r="P970" s="4"/>
      <c r="Q970" s="4"/>
      <c r="R970" s="4"/>
      <c r="S970" s="4"/>
      <c r="T970" s="4"/>
      <c r="U970" s="4"/>
      <c r="V970" s="4"/>
      <c r="W970" s="4"/>
      <c r="X970" s="4"/>
      <c r="Y970" s="4"/>
      <c r="Z970" s="4"/>
      <c r="AA970" s="4"/>
      <c r="AB970" s="4"/>
      <c r="AC970" s="4"/>
      <c r="AD970" s="4"/>
      <c r="AE970" s="4"/>
      <c r="AF970" s="4"/>
    </row>
    <row r="971" spans="1:32" ht="15.75" customHeight="1">
      <c r="A971" s="4"/>
      <c r="B971" s="4"/>
      <c r="C971" s="4"/>
      <c r="D971" s="4"/>
      <c r="E971" s="4"/>
      <c r="F971" s="4"/>
      <c r="G971" s="4"/>
      <c r="H971" s="4"/>
      <c r="I971" s="4"/>
      <c r="J971" s="19"/>
      <c r="K971" s="4"/>
      <c r="L971" s="4"/>
      <c r="M971" s="4"/>
      <c r="N971" s="4"/>
      <c r="O971" s="4"/>
      <c r="P971" s="4"/>
      <c r="Q971" s="4"/>
      <c r="R971" s="4"/>
      <c r="S971" s="4"/>
      <c r="T971" s="4"/>
      <c r="U971" s="4"/>
      <c r="V971" s="4"/>
      <c r="W971" s="4"/>
      <c r="X971" s="4"/>
      <c r="Y971" s="4"/>
      <c r="Z971" s="4"/>
      <c r="AA971" s="4"/>
      <c r="AB971" s="4"/>
      <c r="AC971" s="4"/>
      <c r="AD971" s="4"/>
      <c r="AE971" s="4"/>
      <c r="AF971" s="4"/>
    </row>
    <row r="972" spans="1:32" ht="15.75" customHeight="1">
      <c r="A972" s="4"/>
      <c r="B972" s="4"/>
      <c r="C972" s="4"/>
      <c r="D972" s="4"/>
      <c r="E972" s="4"/>
      <c r="F972" s="4"/>
      <c r="G972" s="4"/>
      <c r="H972" s="4"/>
      <c r="I972" s="4"/>
      <c r="J972" s="19"/>
      <c r="K972" s="4"/>
      <c r="L972" s="4"/>
      <c r="M972" s="4"/>
      <c r="N972" s="4"/>
      <c r="O972" s="4"/>
      <c r="P972" s="4"/>
      <c r="Q972" s="4"/>
      <c r="R972" s="4"/>
      <c r="S972" s="4"/>
      <c r="T972" s="4"/>
      <c r="U972" s="4"/>
      <c r="V972" s="4"/>
      <c r="W972" s="4"/>
      <c r="X972" s="4"/>
      <c r="Y972" s="4"/>
      <c r="Z972" s="4"/>
      <c r="AA972" s="4"/>
      <c r="AB972" s="4"/>
      <c r="AC972" s="4"/>
      <c r="AD972" s="4"/>
      <c r="AE972" s="4"/>
      <c r="AF972" s="4"/>
    </row>
    <row r="973" spans="1:32" ht="15.75" customHeight="1">
      <c r="A973" s="4"/>
      <c r="B973" s="4"/>
      <c r="C973" s="4"/>
      <c r="D973" s="4"/>
      <c r="E973" s="4"/>
      <c r="F973" s="4"/>
      <c r="G973" s="4"/>
      <c r="H973" s="4"/>
      <c r="I973" s="4"/>
      <c r="J973" s="19"/>
      <c r="K973" s="4"/>
      <c r="L973" s="4"/>
      <c r="M973" s="4"/>
      <c r="N973" s="4"/>
      <c r="O973" s="4"/>
      <c r="P973" s="4"/>
      <c r="Q973" s="4"/>
      <c r="R973" s="4"/>
      <c r="S973" s="4"/>
      <c r="T973" s="4"/>
      <c r="U973" s="4"/>
      <c r="V973" s="4"/>
      <c r="W973" s="4"/>
      <c r="X973" s="4"/>
      <c r="Y973" s="4"/>
      <c r="Z973" s="4"/>
      <c r="AA973" s="4"/>
      <c r="AB973" s="4"/>
      <c r="AC973" s="4"/>
      <c r="AD973" s="4"/>
      <c r="AE973" s="4"/>
      <c r="AF973" s="4"/>
    </row>
    <row r="974" spans="1:32" ht="15.75" customHeight="1">
      <c r="A974" s="4"/>
      <c r="B974" s="4"/>
      <c r="C974" s="4"/>
      <c r="D974" s="4"/>
      <c r="E974" s="4"/>
      <c r="F974" s="4"/>
      <c r="G974" s="4"/>
      <c r="H974" s="4"/>
      <c r="I974" s="4"/>
      <c r="J974" s="19"/>
      <c r="K974" s="4"/>
      <c r="L974" s="4"/>
      <c r="M974" s="4"/>
      <c r="N974" s="4"/>
      <c r="O974" s="4"/>
      <c r="P974" s="4"/>
      <c r="Q974" s="4"/>
      <c r="R974" s="4"/>
      <c r="S974" s="4"/>
      <c r="T974" s="4"/>
      <c r="U974" s="4"/>
      <c r="V974" s="4"/>
      <c r="W974" s="4"/>
      <c r="X974" s="4"/>
      <c r="Y974" s="4"/>
      <c r="Z974" s="4"/>
      <c r="AA974" s="4"/>
      <c r="AB974" s="4"/>
      <c r="AC974" s="4"/>
      <c r="AD974" s="4"/>
      <c r="AE974" s="4"/>
      <c r="AF974" s="4"/>
    </row>
    <row r="975" spans="1:32" ht="15.75" customHeight="1">
      <c r="A975" s="4"/>
      <c r="B975" s="4"/>
      <c r="C975" s="4"/>
      <c r="D975" s="4"/>
      <c r="E975" s="4"/>
      <c r="F975" s="4"/>
      <c r="G975" s="4"/>
      <c r="H975" s="4"/>
      <c r="I975" s="4"/>
      <c r="J975" s="19"/>
      <c r="K975" s="4"/>
      <c r="L975" s="4"/>
      <c r="M975" s="4"/>
      <c r="N975" s="4"/>
      <c r="O975" s="4"/>
      <c r="P975" s="4"/>
      <c r="Q975" s="4"/>
      <c r="R975" s="4"/>
      <c r="S975" s="4"/>
      <c r="T975" s="4"/>
      <c r="U975" s="4"/>
      <c r="V975" s="4"/>
      <c r="W975" s="4"/>
      <c r="X975" s="4"/>
      <c r="Y975" s="4"/>
      <c r="Z975" s="4"/>
      <c r="AA975" s="4"/>
      <c r="AB975" s="4"/>
      <c r="AC975" s="4"/>
      <c r="AD975" s="4"/>
      <c r="AE975" s="4"/>
      <c r="AF975" s="4"/>
    </row>
    <row r="976" spans="1:32" ht="15.75" customHeight="1">
      <c r="A976" s="4"/>
      <c r="B976" s="4"/>
      <c r="C976" s="4"/>
      <c r="D976" s="4"/>
      <c r="E976" s="4"/>
      <c r="F976" s="4"/>
      <c r="G976" s="4"/>
      <c r="H976" s="4"/>
      <c r="I976" s="4"/>
      <c r="J976" s="19"/>
      <c r="K976" s="4"/>
      <c r="L976" s="4"/>
      <c r="M976" s="4"/>
      <c r="N976" s="4"/>
      <c r="O976" s="4"/>
      <c r="P976" s="4"/>
      <c r="Q976" s="4"/>
      <c r="R976" s="4"/>
      <c r="S976" s="4"/>
      <c r="T976" s="4"/>
      <c r="U976" s="4"/>
      <c r="V976" s="4"/>
      <c r="W976" s="4"/>
      <c r="X976" s="4"/>
      <c r="Y976" s="4"/>
      <c r="Z976" s="4"/>
      <c r="AA976" s="4"/>
      <c r="AB976" s="4"/>
      <c r="AC976" s="4"/>
      <c r="AD976" s="4"/>
      <c r="AE976" s="4"/>
      <c r="AF976" s="4"/>
    </row>
    <row r="977" spans="1:32" ht="15.75" customHeight="1">
      <c r="A977" s="4"/>
      <c r="B977" s="4"/>
      <c r="C977" s="4"/>
      <c r="D977" s="4"/>
      <c r="E977" s="4"/>
      <c r="F977" s="4"/>
      <c r="G977" s="4"/>
      <c r="H977" s="4"/>
      <c r="I977" s="4"/>
      <c r="J977" s="19"/>
      <c r="K977" s="4"/>
      <c r="L977" s="4"/>
      <c r="M977" s="4"/>
      <c r="N977" s="4"/>
      <c r="O977" s="4"/>
      <c r="P977" s="4"/>
      <c r="Q977" s="4"/>
      <c r="R977" s="4"/>
      <c r="S977" s="4"/>
      <c r="T977" s="4"/>
      <c r="U977" s="4"/>
      <c r="V977" s="4"/>
      <c r="W977" s="4"/>
      <c r="X977" s="4"/>
      <c r="Y977" s="4"/>
      <c r="Z977" s="4"/>
      <c r="AA977" s="4"/>
      <c r="AB977" s="4"/>
      <c r="AC977" s="4"/>
      <c r="AD977" s="4"/>
      <c r="AE977" s="4"/>
      <c r="AF977" s="4"/>
    </row>
    <row r="978" spans="1:32" ht="15.75" customHeight="1">
      <c r="A978" s="4"/>
      <c r="B978" s="4"/>
      <c r="C978" s="4"/>
      <c r="D978" s="4"/>
      <c r="E978" s="4"/>
      <c r="F978" s="4"/>
      <c r="G978" s="4"/>
      <c r="H978" s="4"/>
      <c r="I978" s="4"/>
      <c r="J978" s="19"/>
      <c r="K978" s="4"/>
      <c r="L978" s="4"/>
      <c r="M978" s="4"/>
      <c r="N978" s="4"/>
      <c r="O978" s="4"/>
      <c r="P978" s="4"/>
      <c r="Q978" s="4"/>
      <c r="R978" s="4"/>
      <c r="S978" s="4"/>
      <c r="T978" s="4"/>
      <c r="U978" s="4"/>
      <c r="V978" s="4"/>
      <c r="W978" s="4"/>
      <c r="X978" s="4"/>
      <c r="Y978" s="4"/>
      <c r="Z978" s="4"/>
      <c r="AA978" s="4"/>
      <c r="AB978" s="4"/>
      <c r="AC978" s="4"/>
      <c r="AD978" s="4"/>
      <c r="AE978" s="4"/>
      <c r="AF978" s="4"/>
    </row>
    <row r="979" spans="1:32" ht="15.75" customHeight="1">
      <c r="A979" s="4"/>
      <c r="B979" s="4"/>
      <c r="C979" s="4"/>
      <c r="D979" s="4"/>
      <c r="E979" s="4"/>
      <c r="F979" s="4"/>
      <c r="G979" s="4"/>
      <c r="H979" s="4"/>
      <c r="I979" s="4"/>
      <c r="J979" s="19"/>
      <c r="K979" s="4"/>
      <c r="L979" s="4"/>
      <c r="M979" s="4"/>
      <c r="N979" s="4"/>
      <c r="O979" s="4"/>
      <c r="P979" s="4"/>
      <c r="Q979" s="4"/>
      <c r="R979" s="4"/>
      <c r="S979" s="4"/>
      <c r="T979" s="4"/>
      <c r="U979" s="4"/>
      <c r="V979" s="4"/>
      <c r="W979" s="4"/>
      <c r="X979" s="4"/>
      <c r="Y979" s="4"/>
      <c r="Z979" s="4"/>
      <c r="AA979" s="4"/>
      <c r="AB979" s="4"/>
      <c r="AC979" s="4"/>
      <c r="AD979" s="4"/>
      <c r="AE979" s="4"/>
      <c r="AF979" s="4"/>
    </row>
    <row r="980" spans="1:32" ht="15.75" customHeight="1">
      <c r="A980" s="4"/>
      <c r="B980" s="4"/>
      <c r="C980" s="4"/>
      <c r="D980" s="4"/>
      <c r="E980" s="4"/>
      <c r="F980" s="4"/>
      <c r="G980" s="4"/>
      <c r="H980" s="4"/>
      <c r="I980" s="4"/>
      <c r="J980" s="19"/>
      <c r="K980" s="4"/>
      <c r="L980" s="4"/>
      <c r="M980" s="4"/>
      <c r="N980" s="4"/>
      <c r="O980" s="4"/>
      <c r="P980" s="4"/>
      <c r="Q980" s="4"/>
      <c r="R980" s="4"/>
      <c r="S980" s="4"/>
      <c r="T980" s="4"/>
      <c r="U980" s="4"/>
      <c r="V980" s="4"/>
      <c r="W980" s="4"/>
      <c r="X980" s="4"/>
      <c r="Y980" s="4"/>
      <c r="Z980" s="4"/>
      <c r="AA980" s="4"/>
      <c r="AB980" s="4"/>
      <c r="AC980" s="4"/>
      <c r="AD980" s="4"/>
      <c r="AE980" s="4"/>
      <c r="AF980" s="4"/>
    </row>
    <row r="981" spans="1:32" ht="15.75" customHeight="1">
      <c r="A981" s="4"/>
      <c r="B981" s="4"/>
      <c r="C981" s="4"/>
      <c r="D981" s="4"/>
      <c r="E981" s="4"/>
      <c r="F981" s="4"/>
      <c r="G981" s="4"/>
      <c r="H981" s="4"/>
      <c r="I981" s="4"/>
      <c r="J981" s="19"/>
      <c r="K981" s="4"/>
      <c r="L981" s="4"/>
      <c r="M981" s="4"/>
      <c r="N981" s="4"/>
      <c r="O981" s="4"/>
      <c r="P981" s="4"/>
      <c r="Q981" s="4"/>
      <c r="R981" s="4"/>
      <c r="S981" s="4"/>
      <c r="T981" s="4"/>
      <c r="U981" s="4"/>
      <c r="V981" s="4"/>
      <c r="W981" s="4"/>
      <c r="X981" s="4"/>
      <c r="Y981" s="4"/>
      <c r="Z981" s="4"/>
      <c r="AA981" s="4"/>
      <c r="AB981" s="4"/>
      <c r="AC981" s="4"/>
      <c r="AD981" s="4"/>
      <c r="AE981" s="4"/>
      <c r="AF981" s="4"/>
    </row>
    <row r="982" spans="1:32" ht="15.75" customHeight="1">
      <c r="A982" s="4"/>
      <c r="B982" s="4"/>
      <c r="C982" s="4"/>
      <c r="D982" s="4"/>
      <c r="E982" s="4"/>
      <c r="F982" s="4"/>
      <c r="G982" s="4"/>
      <c r="H982" s="4"/>
      <c r="I982" s="4"/>
      <c r="J982" s="19"/>
      <c r="K982" s="4"/>
      <c r="L982" s="4"/>
      <c r="M982" s="4"/>
      <c r="N982" s="4"/>
      <c r="O982" s="4"/>
      <c r="P982" s="4"/>
      <c r="Q982" s="4"/>
      <c r="R982" s="4"/>
      <c r="S982" s="4"/>
      <c r="T982" s="4"/>
      <c r="U982" s="4"/>
      <c r="V982" s="4"/>
      <c r="W982" s="4"/>
      <c r="X982" s="4"/>
      <c r="Y982" s="4"/>
      <c r="Z982" s="4"/>
      <c r="AA982" s="4"/>
      <c r="AB982" s="4"/>
      <c r="AC982" s="4"/>
      <c r="AD982" s="4"/>
      <c r="AE982" s="4"/>
      <c r="AF982" s="4"/>
    </row>
    <row r="983" spans="1:32" ht="15.75" customHeight="1">
      <c r="A983" s="4"/>
      <c r="B983" s="4"/>
      <c r="C983" s="4"/>
      <c r="D983" s="4"/>
      <c r="E983" s="4"/>
      <c r="F983" s="4"/>
      <c r="G983" s="4"/>
      <c r="H983" s="4"/>
      <c r="I983" s="4"/>
      <c r="J983" s="19"/>
      <c r="K983" s="4"/>
      <c r="L983" s="4"/>
      <c r="M983" s="4"/>
      <c r="N983" s="4"/>
      <c r="O983" s="4"/>
      <c r="P983" s="4"/>
      <c r="Q983" s="4"/>
      <c r="R983" s="4"/>
      <c r="S983" s="4"/>
      <c r="T983" s="4"/>
      <c r="U983" s="4"/>
      <c r="V983" s="4"/>
      <c r="W983" s="4"/>
      <c r="X983" s="4"/>
      <c r="Y983" s="4"/>
      <c r="Z983" s="4"/>
      <c r="AA983" s="4"/>
      <c r="AB983" s="4"/>
      <c r="AC983" s="4"/>
      <c r="AD983" s="4"/>
      <c r="AE983" s="4"/>
      <c r="AF983" s="4"/>
    </row>
    <row r="984" spans="1:32" ht="15.75" customHeight="1">
      <c r="A984" s="4"/>
      <c r="B984" s="4"/>
      <c r="C984" s="4"/>
      <c r="D984" s="4"/>
      <c r="E984" s="4"/>
      <c r="F984" s="4"/>
      <c r="G984" s="4"/>
      <c r="H984" s="4"/>
      <c r="I984" s="4"/>
      <c r="J984" s="19"/>
      <c r="K984" s="4"/>
      <c r="L984" s="4"/>
      <c r="M984" s="4"/>
      <c r="N984" s="4"/>
      <c r="O984" s="4"/>
      <c r="P984" s="4"/>
      <c r="Q984" s="4"/>
      <c r="R984" s="4"/>
      <c r="S984" s="4"/>
      <c r="T984" s="4"/>
      <c r="U984" s="4"/>
      <c r="V984" s="4"/>
      <c r="W984" s="4"/>
      <c r="X984" s="4"/>
      <c r="Y984" s="4"/>
      <c r="Z984" s="4"/>
      <c r="AA984" s="4"/>
      <c r="AB984" s="4"/>
      <c r="AC984" s="4"/>
      <c r="AD984" s="4"/>
      <c r="AE984" s="4"/>
      <c r="AF984" s="4"/>
    </row>
    <row r="985" spans="1:32" ht="15.75" customHeight="1">
      <c r="A985" s="4"/>
      <c r="B985" s="4"/>
      <c r="C985" s="4"/>
      <c r="D985" s="4"/>
      <c r="E985" s="4"/>
      <c r="F985" s="4"/>
      <c r="G985" s="4"/>
      <c r="H985" s="4"/>
      <c r="I985" s="4"/>
      <c r="J985" s="19"/>
      <c r="K985" s="4"/>
      <c r="L985" s="4"/>
      <c r="M985" s="4"/>
      <c r="N985" s="4"/>
      <c r="O985" s="4"/>
      <c r="P985" s="4"/>
      <c r="Q985" s="4"/>
      <c r="R985" s="4"/>
      <c r="S985" s="4"/>
      <c r="T985" s="4"/>
      <c r="U985" s="4"/>
      <c r="V985" s="4"/>
      <c r="W985" s="4"/>
      <c r="X985" s="4"/>
      <c r="Y985" s="4"/>
      <c r="Z985" s="4"/>
      <c r="AA985" s="4"/>
      <c r="AB985" s="4"/>
      <c r="AC985" s="4"/>
      <c r="AD985" s="4"/>
      <c r="AE985" s="4"/>
      <c r="AF985" s="4"/>
    </row>
    <row r="986" spans="1:32" ht="15.75" customHeight="1">
      <c r="A986" s="4"/>
      <c r="B986" s="4"/>
      <c r="C986" s="4"/>
      <c r="D986" s="4"/>
      <c r="E986" s="4"/>
      <c r="F986" s="4"/>
      <c r="G986" s="4"/>
      <c r="H986" s="4"/>
      <c r="I986" s="4"/>
      <c r="J986" s="19"/>
      <c r="K986" s="4"/>
      <c r="L986" s="4"/>
      <c r="M986" s="4"/>
      <c r="N986" s="4"/>
      <c r="O986" s="4"/>
      <c r="P986" s="4"/>
      <c r="Q986" s="4"/>
      <c r="R986" s="4"/>
      <c r="S986" s="4"/>
      <c r="T986" s="4"/>
      <c r="U986" s="4"/>
      <c r="V986" s="4"/>
      <c r="W986" s="4"/>
      <c r="X986" s="4"/>
      <c r="Y986" s="4"/>
      <c r="Z986" s="4"/>
      <c r="AA986" s="4"/>
      <c r="AB986" s="4"/>
      <c r="AC986" s="4"/>
      <c r="AD986" s="4"/>
      <c r="AE986" s="4"/>
      <c r="AF986" s="4"/>
    </row>
    <row r="987" spans="1:32" ht="15.75" customHeight="1">
      <c r="A987" s="4"/>
      <c r="B987" s="4"/>
      <c r="C987" s="4"/>
      <c r="D987" s="4"/>
      <c r="E987" s="4"/>
      <c r="F987" s="4"/>
      <c r="G987" s="4"/>
      <c r="H987" s="4"/>
      <c r="I987" s="4"/>
      <c r="J987" s="19"/>
      <c r="K987" s="4"/>
      <c r="L987" s="4"/>
      <c r="M987" s="4"/>
      <c r="N987" s="4"/>
      <c r="O987" s="4"/>
      <c r="P987" s="4"/>
      <c r="Q987" s="4"/>
      <c r="R987" s="4"/>
      <c r="S987" s="4"/>
      <c r="T987" s="4"/>
      <c r="U987" s="4"/>
      <c r="V987" s="4"/>
      <c r="W987" s="4"/>
      <c r="X987" s="4"/>
      <c r="Y987" s="4"/>
      <c r="Z987" s="4"/>
      <c r="AA987" s="4"/>
      <c r="AB987" s="4"/>
      <c r="AC987" s="4"/>
      <c r="AD987" s="4"/>
      <c r="AE987" s="4"/>
      <c r="AF987" s="4"/>
    </row>
    <row r="988" spans="1:32" ht="15.75" customHeight="1">
      <c r="A988" s="4"/>
      <c r="B988" s="4"/>
      <c r="C988" s="4"/>
      <c r="D988" s="4"/>
      <c r="E988" s="4"/>
      <c r="F988" s="4"/>
      <c r="G988" s="4"/>
      <c r="H988" s="4"/>
      <c r="I988" s="4"/>
      <c r="J988" s="19"/>
      <c r="K988" s="4"/>
      <c r="L988" s="4"/>
      <c r="M988" s="4"/>
      <c r="N988" s="4"/>
      <c r="O988" s="4"/>
      <c r="P988" s="4"/>
      <c r="Q988" s="4"/>
      <c r="R988" s="4"/>
      <c r="S988" s="4"/>
      <c r="T988" s="4"/>
      <c r="U988" s="4"/>
      <c r="V988" s="4"/>
      <c r="W988" s="4"/>
      <c r="X988" s="4"/>
      <c r="Y988" s="4"/>
      <c r="Z988" s="4"/>
      <c r="AA988" s="4"/>
      <c r="AB988" s="4"/>
      <c r="AC988" s="4"/>
      <c r="AD988" s="4"/>
      <c r="AE988" s="4"/>
      <c r="AF988" s="4"/>
    </row>
    <row r="989" spans="1:32" ht="15.75" customHeight="1">
      <c r="A989" s="4"/>
      <c r="B989" s="4"/>
      <c r="C989" s="4"/>
      <c r="D989" s="4"/>
      <c r="E989" s="4"/>
      <c r="F989" s="4"/>
      <c r="G989" s="4"/>
      <c r="H989" s="4"/>
      <c r="I989" s="4"/>
      <c r="J989" s="19"/>
      <c r="K989" s="4"/>
      <c r="L989" s="4"/>
      <c r="M989" s="4"/>
      <c r="N989" s="4"/>
      <c r="O989" s="4"/>
      <c r="P989" s="4"/>
      <c r="Q989" s="4"/>
      <c r="R989" s="4"/>
      <c r="S989" s="4"/>
      <c r="T989" s="4"/>
      <c r="U989" s="4"/>
      <c r="V989" s="4"/>
      <c r="W989" s="4"/>
      <c r="X989" s="4"/>
      <c r="Y989" s="4"/>
      <c r="Z989" s="4"/>
      <c r="AA989" s="4"/>
      <c r="AB989" s="4"/>
      <c r="AC989" s="4"/>
      <c r="AD989" s="4"/>
      <c r="AE989" s="4"/>
      <c r="AF989" s="4"/>
    </row>
    <row r="990" spans="1:32" ht="15.75" customHeight="1">
      <c r="A990" s="4"/>
      <c r="B990" s="4"/>
      <c r="C990" s="4"/>
      <c r="D990" s="4"/>
      <c r="E990" s="4"/>
      <c r="F990" s="4"/>
      <c r="G990" s="4"/>
      <c r="H990" s="4"/>
      <c r="I990" s="4"/>
      <c r="J990" s="19"/>
      <c r="K990" s="4"/>
      <c r="L990" s="4"/>
      <c r="M990" s="4"/>
      <c r="N990" s="4"/>
      <c r="O990" s="4"/>
      <c r="P990" s="4"/>
      <c r="Q990" s="4"/>
      <c r="R990" s="4"/>
      <c r="S990" s="4"/>
      <c r="T990" s="4"/>
      <c r="U990" s="4"/>
      <c r="V990" s="4"/>
      <c r="W990" s="4"/>
      <c r="X990" s="4"/>
      <c r="Y990" s="4"/>
      <c r="Z990" s="4"/>
      <c r="AA990" s="4"/>
      <c r="AB990" s="4"/>
      <c r="AC990" s="4"/>
      <c r="AD990" s="4"/>
      <c r="AE990" s="4"/>
      <c r="AF990" s="4"/>
    </row>
    <row r="991" spans="1:32" ht="15.75" customHeight="1">
      <c r="A991" s="4"/>
      <c r="B991" s="4"/>
      <c r="C991" s="4"/>
      <c r="D991" s="4"/>
      <c r="E991" s="4"/>
      <c r="F991" s="4"/>
      <c r="G991" s="4"/>
      <c r="H991" s="4"/>
      <c r="I991" s="4"/>
      <c r="J991" s="19"/>
      <c r="K991" s="4"/>
      <c r="L991" s="4"/>
      <c r="M991" s="4"/>
      <c r="N991" s="4"/>
      <c r="O991" s="4"/>
      <c r="P991" s="4"/>
      <c r="Q991" s="4"/>
      <c r="R991" s="4"/>
      <c r="S991" s="4"/>
      <c r="T991" s="4"/>
      <c r="U991" s="4"/>
      <c r="V991" s="4"/>
      <c r="W991" s="4"/>
      <c r="X991" s="4"/>
      <c r="Y991" s="4"/>
      <c r="Z991" s="4"/>
      <c r="AA991" s="4"/>
      <c r="AB991" s="4"/>
      <c r="AC991" s="4"/>
      <c r="AD991" s="4"/>
      <c r="AE991" s="4"/>
      <c r="AF991" s="4"/>
    </row>
    <row r="992" spans="1:32" ht="15.75" customHeight="1">
      <c r="A992" s="4"/>
      <c r="B992" s="4"/>
      <c r="C992" s="4"/>
      <c r="D992" s="4"/>
      <c r="E992" s="4"/>
      <c r="F992" s="4"/>
      <c r="G992" s="4"/>
      <c r="H992" s="4"/>
      <c r="I992" s="4"/>
      <c r="J992" s="19"/>
      <c r="K992" s="4"/>
      <c r="L992" s="4"/>
      <c r="M992" s="4"/>
      <c r="N992" s="4"/>
      <c r="O992" s="4"/>
      <c r="P992" s="4"/>
      <c r="Q992" s="4"/>
      <c r="R992" s="4"/>
      <c r="S992" s="4"/>
      <c r="T992" s="4"/>
      <c r="U992" s="4"/>
      <c r="V992" s="4"/>
      <c r="W992" s="4"/>
      <c r="X992" s="4"/>
      <c r="Y992" s="4"/>
      <c r="Z992" s="4"/>
      <c r="AA992" s="4"/>
      <c r="AB992" s="4"/>
      <c r="AC992" s="4"/>
      <c r="AD992" s="4"/>
      <c r="AE992" s="4"/>
      <c r="AF992" s="4"/>
    </row>
    <row r="993" spans="1:32" ht="15.75" customHeight="1">
      <c r="A993" s="4"/>
      <c r="B993" s="4"/>
      <c r="C993" s="4"/>
      <c r="D993" s="4"/>
      <c r="E993" s="4"/>
      <c r="F993" s="4"/>
      <c r="G993" s="4"/>
      <c r="H993" s="4"/>
      <c r="I993" s="4"/>
      <c r="J993" s="19"/>
      <c r="K993" s="4"/>
      <c r="L993" s="4"/>
      <c r="M993" s="4"/>
      <c r="N993" s="4"/>
      <c r="O993" s="4"/>
      <c r="P993" s="4"/>
      <c r="Q993" s="4"/>
      <c r="R993" s="4"/>
      <c r="S993" s="4"/>
      <c r="T993" s="4"/>
      <c r="U993" s="4"/>
      <c r="V993" s="4"/>
      <c r="W993" s="4"/>
      <c r="X993" s="4"/>
      <c r="Y993" s="4"/>
      <c r="Z993" s="4"/>
      <c r="AA993" s="4"/>
      <c r="AB993" s="4"/>
      <c r="AC993" s="4"/>
      <c r="AD993" s="4"/>
      <c r="AE993" s="4"/>
      <c r="AF993" s="4"/>
    </row>
    <row r="994" spans="1:32" ht="15.75" customHeight="1">
      <c r="A994" s="4"/>
      <c r="B994" s="4"/>
      <c r="C994" s="4"/>
      <c r="D994" s="4"/>
      <c r="E994" s="4"/>
      <c r="F994" s="4"/>
      <c r="G994" s="4"/>
      <c r="H994" s="4"/>
      <c r="I994" s="4"/>
      <c r="J994" s="19"/>
      <c r="K994" s="4"/>
      <c r="L994" s="4"/>
      <c r="M994" s="4"/>
      <c r="N994" s="4"/>
      <c r="O994" s="4"/>
      <c r="P994" s="4"/>
      <c r="Q994" s="4"/>
      <c r="R994" s="4"/>
      <c r="S994" s="4"/>
      <c r="T994" s="4"/>
      <c r="U994" s="4"/>
      <c r="V994" s="4"/>
      <c r="W994" s="4"/>
      <c r="X994" s="4"/>
      <c r="Y994" s="4"/>
      <c r="Z994" s="4"/>
      <c r="AA994" s="4"/>
      <c r="AB994" s="4"/>
      <c r="AC994" s="4"/>
      <c r="AD994" s="4"/>
      <c r="AE994" s="4"/>
      <c r="AF994" s="4"/>
    </row>
    <row r="995" spans="1:32" ht="15.75" customHeight="1">
      <c r="A995" s="4"/>
      <c r="B995" s="4"/>
      <c r="C995" s="4"/>
      <c r="D995" s="4"/>
      <c r="E995" s="4"/>
      <c r="F995" s="4"/>
      <c r="G995" s="4"/>
      <c r="H995" s="4"/>
      <c r="I995" s="4"/>
      <c r="J995" s="19"/>
      <c r="K995" s="4"/>
      <c r="L995" s="4"/>
      <c r="M995" s="4"/>
      <c r="N995" s="4"/>
      <c r="O995" s="4"/>
      <c r="P995" s="4"/>
      <c r="Q995" s="4"/>
      <c r="R995" s="4"/>
      <c r="S995" s="4"/>
      <c r="T995" s="4"/>
      <c r="U995" s="4"/>
      <c r="V995" s="4"/>
      <c r="W995" s="4"/>
      <c r="X995" s="4"/>
      <c r="Y995" s="4"/>
      <c r="Z995" s="4"/>
      <c r="AA995" s="4"/>
      <c r="AB995" s="4"/>
      <c r="AC995" s="4"/>
      <c r="AD995" s="4"/>
      <c r="AE995" s="4"/>
      <c r="AF995" s="4"/>
    </row>
  </sheetData>
  <hyperlinks>
    <hyperlink ref="D3" r:id="rId1" xr:uid="{00000000-0004-0000-0300-000000000000}"/>
    <hyperlink ref="D4" r:id="rId2" xr:uid="{00000000-0004-0000-0300-000001000000}"/>
    <hyperlink ref="D5" r:id="rId3" xr:uid="{00000000-0004-0000-0300-000002000000}"/>
    <hyperlink ref="D6" r:id="rId4" xr:uid="{00000000-0004-0000-0300-000003000000}"/>
    <hyperlink ref="D7" r:id="rId5" xr:uid="{00000000-0004-0000-0300-000004000000}"/>
    <hyperlink ref="D9" r:id="rId6" xr:uid="{00000000-0004-0000-0300-000005000000}"/>
    <hyperlink ref="D10" r:id="rId7" xr:uid="{00000000-0004-0000-0300-000006000000}"/>
    <hyperlink ref="D11" r:id="rId8" xr:uid="{00000000-0004-0000-0300-000007000000}"/>
    <hyperlink ref="D12" r:id="rId9" xr:uid="{00000000-0004-0000-0300-000008000000}"/>
    <hyperlink ref="D13" r:id="rId10" xr:uid="{00000000-0004-0000-0300-000009000000}"/>
    <hyperlink ref="D14" r:id="rId11" xr:uid="{00000000-0004-0000-0300-00000A000000}"/>
    <hyperlink ref="D15" r:id="rId12" xr:uid="{00000000-0004-0000-0300-00000B000000}"/>
    <hyperlink ref="D16" r:id="rId13" xr:uid="{00000000-0004-0000-0300-00000C000000}"/>
    <hyperlink ref="D17" r:id="rId14" xr:uid="{00000000-0004-0000-0300-00000D000000}"/>
    <hyperlink ref="D18" r:id="rId15" xr:uid="{00000000-0004-0000-0300-00000E000000}"/>
    <hyperlink ref="D19" r:id="rId16" xr:uid="{00000000-0004-0000-0300-00000F000000}"/>
    <hyperlink ref="D20" r:id="rId17" xr:uid="{00000000-0004-0000-0300-000010000000}"/>
    <hyperlink ref="D21" r:id="rId18" xr:uid="{00000000-0004-0000-0300-000011000000}"/>
    <hyperlink ref="D22" r:id="rId19" xr:uid="{00000000-0004-0000-0300-000012000000}"/>
    <hyperlink ref="D23" r:id="rId20" xr:uid="{00000000-0004-0000-0300-000013000000}"/>
    <hyperlink ref="D24" r:id="rId21" xr:uid="{00000000-0004-0000-0300-000014000000}"/>
    <hyperlink ref="D25" r:id="rId22" xr:uid="{00000000-0004-0000-0300-000015000000}"/>
    <hyperlink ref="D26" r:id="rId23" xr:uid="{00000000-0004-0000-0300-000016000000}"/>
    <hyperlink ref="D27" r:id="rId24" xr:uid="{00000000-0004-0000-0300-000017000000}"/>
    <hyperlink ref="D28" r:id="rId25" xr:uid="{00000000-0004-0000-0300-000018000000}"/>
    <hyperlink ref="D29" r:id="rId26" xr:uid="{00000000-0004-0000-0300-000019000000}"/>
    <hyperlink ref="D30" r:id="rId27" xr:uid="{00000000-0004-0000-0300-00001A000000}"/>
    <hyperlink ref="D31" r:id="rId28" xr:uid="{00000000-0004-0000-0300-00001B000000}"/>
    <hyperlink ref="D32" r:id="rId29" xr:uid="{00000000-0004-0000-0300-00001C000000}"/>
    <hyperlink ref="D33" r:id="rId30" xr:uid="{00000000-0004-0000-0300-00001D000000}"/>
    <hyperlink ref="D34" r:id="rId31" xr:uid="{00000000-0004-0000-0300-00001E000000}"/>
    <hyperlink ref="D35" r:id="rId32" xr:uid="{00000000-0004-0000-0300-00001F000000}"/>
    <hyperlink ref="D36" r:id="rId33" xr:uid="{00000000-0004-0000-0300-000020000000}"/>
    <hyperlink ref="D37" r:id="rId34" xr:uid="{00000000-0004-0000-0300-000021000000}"/>
    <hyperlink ref="D38" r:id="rId35" xr:uid="{00000000-0004-0000-0300-000022000000}"/>
    <hyperlink ref="D39" r:id="rId36" xr:uid="{00000000-0004-0000-0300-000023000000}"/>
    <hyperlink ref="D40" r:id="rId37" xr:uid="{00000000-0004-0000-0300-000024000000}"/>
    <hyperlink ref="D41" r:id="rId38" xr:uid="{00000000-0004-0000-0300-000025000000}"/>
    <hyperlink ref="D42" r:id="rId39" xr:uid="{00000000-0004-0000-0300-000026000000}"/>
    <hyperlink ref="D43" r:id="rId40" xr:uid="{00000000-0004-0000-0300-000027000000}"/>
    <hyperlink ref="D44" r:id="rId41" xr:uid="{00000000-0004-0000-0300-000028000000}"/>
    <hyperlink ref="D45" r:id="rId42" xr:uid="{00000000-0004-0000-0300-000029000000}"/>
    <hyperlink ref="D46" r:id="rId43" xr:uid="{00000000-0004-0000-0300-00002A000000}"/>
    <hyperlink ref="D47" r:id="rId44" xr:uid="{00000000-0004-0000-0300-00002B000000}"/>
    <hyperlink ref="D48" r:id="rId45" xr:uid="{00000000-0004-0000-0300-00002C000000}"/>
    <hyperlink ref="D49" r:id="rId46" xr:uid="{00000000-0004-0000-0300-00002D000000}"/>
    <hyperlink ref="D50" r:id="rId47" xr:uid="{00000000-0004-0000-0300-00002E000000}"/>
    <hyperlink ref="D51" r:id="rId48" xr:uid="{00000000-0004-0000-0300-00002F000000}"/>
    <hyperlink ref="D52" r:id="rId49" xr:uid="{00000000-0004-0000-0300-000030000000}"/>
    <hyperlink ref="D53" r:id="rId50" xr:uid="{00000000-0004-0000-0300-000031000000}"/>
    <hyperlink ref="D54" r:id="rId51" xr:uid="{00000000-0004-0000-0300-000032000000}"/>
    <hyperlink ref="D55" r:id="rId52" xr:uid="{00000000-0004-0000-0300-000033000000}"/>
    <hyperlink ref="D56" r:id="rId53" xr:uid="{00000000-0004-0000-0300-000034000000}"/>
    <hyperlink ref="D57" r:id="rId54" xr:uid="{00000000-0004-0000-0300-000035000000}"/>
    <hyperlink ref="D58" r:id="rId55" xr:uid="{00000000-0004-0000-0300-000036000000}"/>
    <hyperlink ref="D59" r:id="rId56" xr:uid="{00000000-0004-0000-0300-000037000000}"/>
    <hyperlink ref="D60" r:id="rId57" xr:uid="{00000000-0004-0000-0300-000038000000}"/>
    <hyperlink ref="D61" r:id="rId58" xr:uid="{00000000-0004-0000-0300-000039000000}"/>
    <hyperlink ref="D62" r:id="rId59" xr:uid="{00000000-0004-0000-0300-00003A000000}"/>
    <hyperlink ref="D63" r:id="rId60" xr:uid="{00000000-0004-0000-0300-00003B000000}"/>
    <hyperlink ref="D64" r:id="rId61" xr:uid="{00000000-0004-0000-0300-00003C000000}"/>
    <hyperlink ref="D65" r:id="rId62" xr:uid="{00000000-0004-0000-0300-00003D000000}"/>
    <hyperlink ref="D66" r:id="rId63" xr:uid="{00000000-0004-0000-0300-00003E000000}"/>
    <hyperlink ref="D67" r:id="rId64" xr:uid="{00000000-0004-0000-0300-00003F000000}"/>
    <hyperlink ref="D68" r:id="rId65" xr:uid="{00000000-0004-0000-0300-000040000000}"/>
    <hyperlink ref="D69" r:id="rId66" xr:uid="{00000000-0004-0000-0300-000041000000}"/>
    <hyperlink ref="D70" r:id="rId67" xr:uid="{00000000-0004-0000-0300-000042000000}"/>
    <hyperlink ref="D71" r:id="rId68" xr:uid="{00000000-0004-0000-0300-000043000000}"/>
    <hyperlink ref="D72" r:id="rId69" xr:uid="{00000000-0004-0000-0300-000044000000}"/>
    <hyperlink ref="D73" r:id="rId70" xr:uid="{00000000-0004-0000-0300-000045000000}"/>
    <hyperlink ref="D74" r:id="rId71" xr:uid="{00000000-0004-0000-0300-000046000000}"/>
    <hyperlink ref="D75" r:id="rId72" xr:uid="{00000000-0004-0000-0300-000047000000}"/>
    <hyperlink ref="D76" r:id="rId73" xr:uid="{00000000-0004-0000-0300-000048000000}"/>
    <hyperlink ref="D77" r:id="rId74" xr:uid="{00000000-0004-0000-0300-000049000000}"/>
    <hyperlink ref="D78" r:id="rId75" xr:uid="{00000000-0004-0000-0300-00004A000000}"/>
    <hyperlink ref="D79" r:id="rId76" xr:uid="{00000000-0004-0000-0300-00004B000000}"/>
    <hyperlink ref="D80" r:id="rId77" xr:uid="{00000000-0004-0000-0300-00004C000000}"/>
    <hyperlink ref="D81" r:id="rId78" xr:uid="{00000000-0004-0000-0300-00004D000000}"/>
    <hyperlink ref="D82" r:id="rId79" xr:uid="{00000000-0004-0000-0300-00004E000000}"/>
    <hyperlink ref="D83" r:id="rId80" xr:uid="{00000000-0004-0000-0300-00004F000000}"/>
    <hyperlink ref="D84" r:id="rId81" xr:uid="{00000000-0004-0000-0300-000050000000}"/>
    <hyperlink ref="D85" r:id="rId82" xr:uid="{00000000-0004-0000-0300-000051000000}"/>
    <hyperlink ref="D86" r:id="rId83" xr:uid="{00000000-0004-0000-0300-000052000000}"/>
    <hyperlink ref="D87" r:id="rId84" xr:uid="{00000000-0004-0000-0300-000053000000}"/>
    <hyperlink ref="D88" r:id="rId85" xr:uid="{00000000-0004-0000-0300-000054000000}"/>
    <hyperlink ref="D89" r:id="rId86" xr:uid="{00000000-0004-0000-0300-000055000000}"/>
    <hyperlink ref="D90" r:id="rId87" xr:uid="{00000000-0004-0000-0300-000056000000}"/>
    <hyperlink ref="D91" r:id="rId88" xr:uid="{00000000-0004-0000-0300-000057000000}"/>
    <hyperlink ref="D92" r:id="rId89" xr:uid="{00000000-0004-0000-0300-000058000000}"/>
    <hyperlink ref="D93" r:id="rId90" xr:uid="{00000000-0004-0000-0300-000059000000}"/>
    <hyperlink ref="D94" r:id="rId91" xr:uid="{00000000-0004-0000-0300-00005A000000}"/>
    <hyperlink ref="D95" r:id="rId92" xr:uid="{00000000-0004-0000-0300-00005B000000}"/>
    <hyperlink ref="D96" r:id="rId93" xr:uid="{00000000-0004-0000-0300-00005C000000}"/>
    <hyperlink ref="D97" r:id="rId94" xr:uid="{00000000-0004-0000-0300-00005D000000}"/>
    <hyperlink ref="D98" r:id="rId95" xr:uid="{00000000-0004-0000-0300-00005E000000}"/>
    <hyperlink ref="D99" r:id="rId96" xr:uid="{00000000-0004-0000-0300-00005F000000}"/>
    <hyperlink ref="D100" r:id="rId97" xr:uid="{00000000-0004-0000-0300-000060000000}"/>
    <hyperlink ref="D101" r:id="rId98" xr:uid="{00000000-0004-0000-0300-000061000000}"/>
    <hyperlink ref="D102" r:id="rId99" xr:uid="{00000000-0004-0000-0300-000062000000}"/>
    <hyperlink ref="D103" r:id="rId100" xr:uid="{00000000-0004-0000-0300-000063000000}"/>
    <hyperlink ref="D104" r:id="rId101" xr:uid="{00000000-0004-0000-0300-000064000000}"/>
    <hyperlink ref="D105" r:id="rId102" xr:uid="{00000000-0004-0000-0300-000065000000}"/>
    <hyperlink ref="D106" r:id="rId103" xr:uid="{00000000-0004-0000-0300-000066000000}"/>
    <hyperlink ref="D107" r:id="rId104" xr:uid="{00000000-0004-0000-0300-000067000000}"/>
    <hyperlink ref="D108" r:id="rId105" xr:uid="{00000000-0004-0000-0300-000068000000}"/>
  </hyperlinks>
  <pageMargins left="0.7" right="0.7" top="0.75" bottom="0.75" header="0" footer="0"/>
  <pageSetup orientation="landscape"/>
  <drawing r:id="rId10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CGPT data extraction Reviewer 1</vt:lpstr>
      <vt:lpstr>CGPT data extraction Reviewer 2</vt:lpstr>
      <vt:lpstr>CGPT data extraction Reviewer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2022-12-21T22:58:17Z</dcterms:created>
  <dcterms:modified xsi:type="dcterms:W3CDTF">2024-05-12T22:19:30Z</dcterms:modified>
</cp:coreProperties>
</file>